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ink/ink1.xml" ContentType="application/inkml+xml"/>
  <Override PartName="/xl/tables/table2.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fileSharing readOnlyRecommended="1"/>
  <workbookPr hidePivotFieldList="1" defaultThemeVersion="166925"/>
  <mc:AlternateContent xmlns:mc="http://schemas.openxmlformats.org/markup-compatibility/2006">
    <mc:Choice Requires="x15">
      <x15ac:absPath xmlns:x15ac="http://schemas.microsoft.com/office/spreadsheetml/2010/11/ac" url="S:\EXCEL PROJECT\"/>
    </mc:Choice>
  </mc:AlternateContent>
  <xr:revisionPtr revIDLastSave="0" documentId="13_ncr:1_{DA8C3024-52EF-42F3-9DA7-5FAD3C21F3A9}" xr6:coauthVersionLast="36" xr6:coauthVersionMax="36" xr10:uidLastSave="{00000000-0000-0000-0000-000000000000}"/>
  <bookViews>
    <workbookView xWindow="0" yWindow="0" windowWidth="19200" windowHeight="6810" xr2:uid="{00000000-000D-0000-FFFF-FFFF00000000}"/>
  </bookViews>
  <sheets>
    <sheet name="Documentation" sheetId="18" r:id="rId1"/>
    <sheet name=" Healthcare Analytics Data" sheetId="1" r:id="rId2"/>
    <sheet name="Dashboard" sheetId="15" r:id="rId3"/>
    <sheet name="KPIs" sheetId="14" r:id="rId4"/>
    <sheet name="Insights" sheetId="17" r:id="rId5"/>
    <sheet name="Cleaned &amp; Processed Data" sheetId="2" r:id="rId6"/>
    <sheet name="Demographics" sheetId="5" r:id="rId7"/>
    <sheet name="Department Analysis" sheetId="6" r:id="rId8"/>
    <sheet name="Length of Stay" sheetId="8" r:id="rId9"/>
    <sheet name="Treatment Success" sheetId="10" r:id="rId10"/>
    <sheet name="Billing Analysis" sheetId="12" r:id="rId11"/>
    <sheet name="Procedure Analysis" sheetId="13" r:id="rId12"/>
  </sheets>
  <definedNames>
    <definedName name="_xlnm._FilterDatabase" localSheetId="5" hidden="1">'Cleaned &amp; Processed Data'!$A$1:$N$1001</definedName>
    <definedName name="Slicer_Age_group">#N/A</definedName>
    <definedName name="Slicer_Department">#N/A</definedName>
    <definedName name="Slicer_Doctor_ID">#N/A</definedName>
    <definedName name="Slicer_Gender">#N/A</definedName>
    <definedName name="Slicer_Treatment_Success">#N/A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14" l="1"/>
  <c r="I2" i="2" l="1"/>
  <c r="B1" i="18" l="1"/>
  <c r="H10" i="14" l="1"/>
  <c r="H4" i="14"/>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H8" i="14" l="1"/>
  <c r="H6" i="14"/>
</calcChain>
</file>

<file path=xl/sharedStrings.xml><?xml version="1.0" encoding="utf-8"?>
<sst xmlns="http://schemas.openxmlformats.org/spreadsheetml/2006/main" count="12128" uniqueCount="1117">
  <si>
    <t>Patient_ID</t>
  </si>
  <si>
    <t>Age</t>
  </si>
  <si>
    <t>Gender</t>
  </si>
  <si>
    <t>Department</t>
  </si>
  <si>
    <t>Doctor_ID</t>
  </si>
  <si>
    <t>Admission_Date</t>
  </si>
  <si>
    <t>Discharge_Date</t>
  </si>
  <si>
    <t>Bed_ID</t>
  </si>
  <si>
    <t>Procedure</t>
  </si>
  <si>
    <t>Treatment_Success</t>
  </si>
  <si>
    <t>Billing_Amount</t>
  </si>
  <si>
    <t>P0001</t>
  </si>
  <si>
    <t>Female</t>
  </si>
  <si>
    <t>Orthopedics</t>
  </si>
  <si>
    <t>D08</t>
  </si>
  <si>
    <t>Surgery</t>
  </si>
  <si>
    <t>Yes</t>
  </si>
  <si>
    <t>P0002</t>
  </si>
  <si>
    <t>Male</t>
  </si>
  <si>
    <t>P0003</t>
  </si>
  <si>
    <t>D15</t>
  </si>
  <si>
    <t>P0004</t>
  </si>
  <si>
    <t>D25</t>
  </si>
  <si>
    <t>P0005</t>
  </si>
  <si>
    <t>Cardiology</t>
  </si>
  <si>
    <t>D24</t>
  </si>
  <si>
    <t>No</t>
  </si>
  <si>
    <t>P0006</t>
  </si>
  <si>
    <t>Pediatrics</t>
  </si>
  <si>
    <t>D07</t>
  </si>
  <si>
    <t>P0007</t>
  </si>
  <si>
    <t>General</t>
  </si>
  <si>
    <t>D09</t>
  </si>
  <si>
    <t>Medication</t>
  </si>
  <si>
    <t>P0008</t>
  </si>
  <si>
    <t>D20</t>
  </si>
  <si>
    <t>Therapy</t>
  </si>
  <si>
    <t>P0009</t>
  </si>
  <si>
    <t>Neurology</t>
  </si>
  <si>
    <t>P0010</t>
  </si>
  <si>
    <t>D23</t>
  </si>
  <si>
    <t>P0011</t>
  </si>
  <si>
    <t>P0012</t>
  </si>
  <si>
    <t>D16</t>
  </si>
  <si>
    <t>P0013</t>
  </si>
  <si>
    <t>D03</t>
  </si>
  <si>
    <t>Diagnostics</t>
  </si>
  <si>
    <t>P0014</t>
  </si>
  <si>
    <t>P0015</t>
  </si>
  <si>
    <t>D17</t>
  </si>
  <si>
    <t>P0016</t>
  </si>
  <si>
    <t>P0017</t>
  </si>
  <si>
    <t>D02</t>
  </si>
  <si>
    <t>P0018</t>
  </si>
  <si>
    <t>D22</t>
  </si>
  <si>
    <t>P0019</t>
  </si>
  <si>
    <t>D13</t>
  </si>
  <si>
    <t>P0020</t>
  </si>
  <si>
    <t>D19</t>
  </si>
  <si>
    <t>P0021</t>
  </si>
  <si>
    <t>P0022</t>
  </si>
  <si>
    <t>D18</t>
  </si>
  <si>
    <t>P0023</t>
  </si>
  <si>
    <t>D12</t>
  </si>
  <si>
    <t>P0024</t>
  </si>
  <si>
    <t>P0025</t>
  </si>
  <si>
    <t>D06</t>
  </si>
  <si>
    <t>P0026</t>
  </si>
  <si>
    <t>D21</t>
  </si>
  <si>
    <t>P0027</t>
  </si>
  <si>
    <t>P0028</t>
  </si>
  <si>
    <t>P0029</t>
  </si>
  <si>
    <t>P0030</t>
  </si>
  <si>
    <t>P0031</t>
  </si>
  <si>
    <t>P0032</t>
  </si>
  <si>
    <t>P0033</t>
  </si>
  <si>
    <t>P0034</t>
  </si>
  <si>
    <t>P0035</t>
  </si>
  <si>
    <t>P0036</t>
  </si>
  <si>
    <t>P0037</t>
  </si>
  <si>
    <t>D01</t>
  </si>
  <si>
    <t>P0038</t>
  </si>
  <si>
    <t>P0039</t>
  </si>
  <si>
    <t>D10</t>
  </si>
  <si>
    <t>P0040</t>
  </si>
  <si>
    <t>P0041</t>
  </si>
  <si>
    <t>P0042</t>
  </si>
  <si>
    <t>P0043</t>
  </si>
  <si>
    <t>P0044</t>
  </si>
  <si>
    <t>P0045</t>
  </si>
  <si>
    <t>D04</t>
  </si>
  <si>
    <t>P0046</t>
  </si>
  <si>
    <t>P0047</t>
  </si>
  <si>
    <t>D14</t>
  </si>
  <si>
    <t>P0048</t>
  </si>
  <si>
    <t>D11</t>
  </si>
  <si>
    <t>P0049</t>
  </si>
  <si>
    <t>P0050</t>
  </si>
  <si>
    <t>P0051</t>
  </si>
  <si>
    <t>P0052</t>
  </si>
  <si>
    <t>P0053</t>
  </si>
  <si>
    <t>P0054</t>
  </si>
  <si>
    <t>P0055</t>
  </si>
  <si>
    <t>P0056</t>
  </si>
  <si>
    <t>P0057</t>
  </si>
  <si>
    <t>P0058</t>
  </si>
  <si>
    <t>D05</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</si>
  <si>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</si>
  <si>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</si>
  <si>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</si>
  <si>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</si>
  <si>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</si>
  <si>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</si>
  <si>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</si>
  <si>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</si>
  <si>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</si>
  <si>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</si>
  <si>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</si>
  <si>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</si>
  <si>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</si>
  <si>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</si>
  <si>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</si>
  <si>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</si>
  <si>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</si>
  <si>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</si>
  <si>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</si>
  <si>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</si>
  <si>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</si>
  <si>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</si>
  <si>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</si>
  <si>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</si>
  <si>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</si>
  <si>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</si>
  <si>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</si>
  <si>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</si>
  <si>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</si>
  <si>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</si>
  <si>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</si>
  <si>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</si>
  <si>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</si>
  <si>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</si>
  <si>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</si>
  <si>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</si>
  <si>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</si>
  <si>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</si>
  <si>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</si>
  <si>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</si>
  <si>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</si>
  <si>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</si>
  <si>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</si>
  <si>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</si>
  <si>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</si>
  <si>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</si>
  <si>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</si>
  <si>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</si>
  <si>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</si>
  <si>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</si>
  <si>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</si>
  <si>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</si>
  <si>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</si>
  <si>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</si>
  <si>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</si>
  <si>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</si>
  <si>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</si>
  <si>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</si>
  <si>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</si>
  <si>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</si>
  <si>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</si>
  <si>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</si>
  <si>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</si>
  <si>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</si>
  <si>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</si>
  <si>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</si>
  <si>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</si>
  <si>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</si>
  <si>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</si>
  <si>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</si>
  <si>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</si>
  <si>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</si>
  <si>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</si>
  <si>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</si>
  <si>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</si>
  <si>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</si>
  <si>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</si>
  <si>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</si>
  <si>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</si>
  <si>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</si>
  <si>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</si>
  <si>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</si>
  <si>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</si>
  <si>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</si>
  <si>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</si>
  <si>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</si>
  <si>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</si>
  <si>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</si>
  <si>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</si>
  <si>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</si>
  <si>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</si>
  <si>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</si>
  <si>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</si>
  <si>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</si>
  <si>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</si>
  <si>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</si>
  <si>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</si>
  <si>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</si>
  <si>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</si>
  <si>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</si>
  <si>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</si>
  <si>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</si>
  <si>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</si>
  <si>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</si>
  <si>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</si>
  <si>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</si>
  <si>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</si>
  <si>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</si>
  <si>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</si>
  <si>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</si>
  <si>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</si>
  <si>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</si>
  <si>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</si>
  <si>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</si>
  <si>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</si>
  <si>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</si>
  <si>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</si>
  <si>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</si>
  <si>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</si>
  <si>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</si>
  <si>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</si>
  <si>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</si>
  <si>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</si>
  <si>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</si>
  <si>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</si>
  <si>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</si>
  <si>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</si>
  <si>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</si>
  <si>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</si>
  <si>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</si>
  <si>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</si>
  <si>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</si>
  <si>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</si>
  <si>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</si>
  <si>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</si>
  <si>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</si>
  <si>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</si>
  <si>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</si>
  <si>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</si>
  <si>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</si>
  <si>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</si>
  <si>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</si>
  <si>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</si>
  <si>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</si>
  <si>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</si>
  <si>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</si>
  <si>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</si>
  <si>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</si>
  <si>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</si>
  <si>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</si>
  <si>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</si>
  <si>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</si>
  <si>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</si>
  <si>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</si>
  <si>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</si>
  <si>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</si>
  <si>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</si>
  <si>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</si>
  <si>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</si>
  <si>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</si>
  <si>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</si>
  <si>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</si>
  <si>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</si>
  <si>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</si>
  <si>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</si>
  <si>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</si>
  <si>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</si>
  <si>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</si>
  <si>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</si>
  <si>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</si>
  <si>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</si>
  <si>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</si>
  <si>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</si>
  <si>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</si>
  <si>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</si>
  <si>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</si>
  <si>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</si>
  <si>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</si>
  <si>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</si>
  <si>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</si>
  <si>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</si>
  <si>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</si>
  <si>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</si>
  <si>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</si>
  <si>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</si>
  <si>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</si>
  <si>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</si>
  <si>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</si>
  <si>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</si>
  <si>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</si>
  <si>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</si>
  <si>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</si>
  <si>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</si>
  <si>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</si>
  <si>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</si>
  <si>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</si>
  <si>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</si>
  <si>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</si>
  <si>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</si>
  <si>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</si>
  <si>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</si>
  <si>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</si>
  <si>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</si>
  <si>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</si>
  <si>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</si>
  <si>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</si>
  <si>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</si>
  <si>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</si>
  <si>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</si>
  <si>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</si>
  <si>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</si>
  <si>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</si>
  <si>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</si>
  <si>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</si>
  <si>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</si>
  <si>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</si>
  <si>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</si>
  <si>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</si>
  <si>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</si>
  <si>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</si>
  <si>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</si>
  <si>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</si>
  <si>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</si>
  <si>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</si>
  <si>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</si>
  <si>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</si>
  <si>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</si>
  <si>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</si>
  <si>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</si>
  <si>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</si>
  <si>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</si>
  <si>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</si>
  <si>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</si>
  <si>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</si>
  <si>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</si>
  <si>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</si>
  <si>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</si>
  <si>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</si>
  <si>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</si>
  <si>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</si>
  <si>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</si>
  <si>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</si>
  <si>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</si>
  <si>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</si>
  <si>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</si>
  <si>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</si>
  <si>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</si>
  <si>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</si>
  <si>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</si>
  <si>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</si>
  <si>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</si>
  <si>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</si>
  <si>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</si>
  <si>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</si>
  <si>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</si>
  <si>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</si>
  <si>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</si>
  <si>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</si>
  <si>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</si>
  <si>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</si>
  <si>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</si>
  <si>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</si>
  <si>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</si>
  <si>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</si>
  <si>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</si>
  <si>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</si>
  <si>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</si>
  <si>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</si>
  <si>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</si>
  <si>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</si>
  <si>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</si>
  <si>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</si>
  <si>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</si>
  <si>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</si>
  <si>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</si>
  <si>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</si>
  <si>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</si>
  <si>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</si>
  <si>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</si>
  <si>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</si>
  <si>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</si>
  <si>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</si>
  <si>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</si>
  <si>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</si>
  <si>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</si>
  <si>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</si>
  <si>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</si>
  <si>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</si>
  <si>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</si>
  <si>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</si>
  <si>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</si>
  <si>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</si>
  <si>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</si>
  <si>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</si>
  <si>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</si>
  <si>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</si>
  <si>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</si>
  <si>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</si>
  <si>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</si>
  <si>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</si>
  <si>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</si>
  <si>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</si>
  <si>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</si>
  <si>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</si>
  <si>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</si>
  <si>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</si>
  <si>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</si>
  <si>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</si>
  <si>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</si>
  <si>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</si>
  <si>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</si>
  <si>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</si>
  <si>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</si>
  <si>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</si>
  <si>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</si>
  <si>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</si>
  <si>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</si>
  <si>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</si>
  <si>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</si>
  <si>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</si>
  <si>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</si>
  <si>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</si>
  <si>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</si>
  <si>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</si>
  <si>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</si>
  <si>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</si>
  <si>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</si>
  <si>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</si>
  <si>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</si>
  <si>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</si>
  <si>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</si>
  <si>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</si>
  <si>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</si>
  <si>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</si>
  <si>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</si>
  <si>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</si>
  <si>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</si>
  <si>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</si>
  <si>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</si>
  <si>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</si>
  <si>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</si>
  <si>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</si>
  <si>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</si>
  <si>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</si>
  <si>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</si>
  <si>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</si>
  <si>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</si>
  <si>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</si>
  <si>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</si>
  <si>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</si>
  <si>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</si>
  <si>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</si>
  <si>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</si>
  <si>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</si>
  <si>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</si>
  <si>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</si>
  <si>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</si>
  <si>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</si>
  <si>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</si>
  <si>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</si>
  <si>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</si>
  <si>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</si>
  <si>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</si>
  <si>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</si>
  <si>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</si>
  <si>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</si>
  <si>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</si>
  <si>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</si>
  <si>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</si>
  <si>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</si>
  <si>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</si>
  <si>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</si>
  <si>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</si>
  <si>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</si>
  <si>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</si>
  <si>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</si>
  <si>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</si>
  <si>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</si>
  <si>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</si>
  <si>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</si>
  <si>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</si>
  <si>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</si>
  <si>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</si>
  <si>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</si>
  <si>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</si>
  <si>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</si>
  <si>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</si>
  <si>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</si>
  <si>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</si>
  <si>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</si>
  <si>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</si>
  <si>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</si>
  <si>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</si>
  <si>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</si>
  <si>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</si>
  <si>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</si>
  <si>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</si>
  <si>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</si>
  <si>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</si>
  <si>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</si>
  <si>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</si>
  <si>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</si>
  <si>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</si>
  <si>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</si>
  <si>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</si>
  <si>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</si>
  <si>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</si>
  <si>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</si>
  <si>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</si>
  <si>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</si>
  <si>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</si>
  <si>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</si>
  <si>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</si>
  <si>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</si>
  <si>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</si>
  <si>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</si>
  <si>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</si>
  <si>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</si>
  <si>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</si>
  <si>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</si>
  <si>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</si>
  <si>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</si>
  <si>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</si>
  <si>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</si>
  <si>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</si>
  <si>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</si>
  <si>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</si>
  <si>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</si>
  <si>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</si>
  <si>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</si>
  <si>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</si>
  <si>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</si>
  <si>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</si>
  <si>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</si>
  <si>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</si>
  <si>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</si>
  <si>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</si>
  <si>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</si>
  <si>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</si>
  <si>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</si>
  <si>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</si>
  <si>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</si>
  <si>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</si>
  <si>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</si>
  <si>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</si>
  <si>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</si>
  <si>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</si>
  <si>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</si>
  <si>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</si>
  <si>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</si>
  <si>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</si>
  <si>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</si>
  <si>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</si>
  <si>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</si>
  <si>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</si>
  <si>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</si>
  <si>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</si>
  <si>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</si>
  <si>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</si>
  <si>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</si>
  <si>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</si>
  <si>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</si>
  <si>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</si>
  <si>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</si>
  <si>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</si>
  <si>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</si>
  <si>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</si>
  <si>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</si>
  <si>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</si>
  <si>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</si>
  <si>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</si>
  <si>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</si>
  <si>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</si>
  <si>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</si>
  <si>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</si>
  <si>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</si>
  <si>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</si>
  <si>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</si>
  <si>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</si>
  <si>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</si>
  <si>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</si>
  <si>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</si>
  <si>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</si>
  <si>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</si>
  <si>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</si>
  <si>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</si>
  <si>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</si>
  <si>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</si>
  <si>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</si>
  <si>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</si>
  <si>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</si>
  <si>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</si>
  <si>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</si>
  <si>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</si>
  <si>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</si>
  <si>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</si>
  <si>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</si>
  <si>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</si>
  <si>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</si>
  <si>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</si>
  <si>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</si>
  <si>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</si>
  <si>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</si>
  <si>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</si>
  <si>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</si>
  <si>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</si>
  <si>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</si>
  <si>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</si>
  <si>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</si>
  <si>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</si>
  <si>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</si>
  <si>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</si>
  <si>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</si>
  <si>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</si>
  <si>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</si>
  <si>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</si>
  <si>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</si>
  <si>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</si>
  <si>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</si>
  <si>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</si>
  <si>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</si>
  <si>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</si>
  <si>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</si>
  <si>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</si>
  <si>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</si>
  <si>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</si>
  <si>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</si>
  <si>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</si>
  <si>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</si>
  <si>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</si>
  <si>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</si>
  <si>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</si>
  <si>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</si>
  <si>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</si>
  <si>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</si>
  <si>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</si>
  <si>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</si>
  <si>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</si>
  <si>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</si>
  <si>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</si>
  <si>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</si>
  <si>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</si>
  <si>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</si>
  <si>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</si>
  <si>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</si>
  <si>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</si>
  <si>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</si>
  <si>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</si>
  <si>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</si>
  <si>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</si>
  <si>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</si>
  <si>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</si>
  <si>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</si>
  <si>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</si>
  <si>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</si>
  <si>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</si>
  <si>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</si>
  <si>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</si>
  <si>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</si>
  <si>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</si>
  <si>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</si>
  <si>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</si>
  <si>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</si>
  <si>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</si>
  <si>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</si>
  <si>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</si>
  <si>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</si>
  <si>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</si>
  <si>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</si>
  <si>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</si>
  <si>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</si>
  <si>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</si>
  <si>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</si>
  <si>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</si>
  <si>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</si>
  <si>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</si>
  <si>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</si>
  <si>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</si>
  <si>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</si>
  <si>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</si>
  <si>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</si>
  <si>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</si>
  <si>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</si>
  <si>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</si>
  <si>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</si>
  <si>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</si>
  <si>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</si>
  <si>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</si>
  <si>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</si>
  <si>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</si>
  <si>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</si>
  <si>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</si>
  <si>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</si>
  <si>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</si>
  <si>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</si>
  <si>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</si>
  <si>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</si>
  <si>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</si>
  <si>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</si>
  <si>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</si>
  <si>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</si>
  <si>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</si>
  <si>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</si>
  <si>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</si>
  <si>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</si>
  <si>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</si>
  <si>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</si>
  <si>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</si>
  <si>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</si>
  <si>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</si>
  <si>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</si>
  <si>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</si>
  <si>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</si>
  <si>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</si>
  <si>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</si>
  <si>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</si>
  <si>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</si>
  <si>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</si>
  <si>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</si>
  <si>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</si>
  <si>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</si>
  <si>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</si>
  <si>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</si>
  <si>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</si>
  <si>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</si>
  <si>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</si>
  <si>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</si>
  <si>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</si>
  <si>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</si>
  <si>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</si>
  <si>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</si>
  <si>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</si>
  <si>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</si>
  <si>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</si>
  <si>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</si>
  <si>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</si>
  <si>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</si>
  <si>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</si>
  <si>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</si>
  <si>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</si>
  <si>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</si>
  <si>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</si>
  <si>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</si>
  <si>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</si>
  <si>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</si>
  <si>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</si>
  <si>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</si>
  <si>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</si>
  <si>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</si>
  <si>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</si>
  <si>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</si>
  <si>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</si>
  <si>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</si>
  <si>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</si>
  <si>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</si>
  <si>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</si>
  <si>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</si>
  <si>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</si>
  <si>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</si>
  <si>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</si>
  <si>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</si>
  <si>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</si>
  <si>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</si>
  <si>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</si>
  <si>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</si>
  <si>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</si>
  <si>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</si>
  <si>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</si>
  <si>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</si>
  <si>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</si>
  <si>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</si>
  <si>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</si>
  <si>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</si>
  <si>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</si>
  <si>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</si>
  <si>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</si>
  <si>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</si>
  <si>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</si>
  <si>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</si>
  <si>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</si>
  <si>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</si>
  <si>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</si>
  <si>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</si>
  <si>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</si>
  <si>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</si>
  <si>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</si>
  <si>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</si>
  <si>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</si>
  <si>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</si>
  <si>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</si>
  <si>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</si>
  <si>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</si>
  <si>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</si>
  <si>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</si>
  <si>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</si>
  <si>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</si>
  <si>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</si>
  <si>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</si>
  <si>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</si>
  <si>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</si>
  <si>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</si>
  <si>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</si>
  <si>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</si>
  <si>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</si>
  <si>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</si>
  <si>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</si>
  <si>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</si>
  <si>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</si>
  <si>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</si>
  <si>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</si>
  <si>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</si>
  <si>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</si>
  <si>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</si>
  <si>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</si>
  <si>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</si>
  <si>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</si>
  <si>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</si>
  <si>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</si>
  <si>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</si>
  <si>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</si>
  <si>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</si>
  <si>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</si>
  <si>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</si>
  <si>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</si>
  <si>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</si>
  <si>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</si>
  <si>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</si>
  <si>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</si>
  <si>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</si>
  <si>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</si>
  <si>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</si>
  <si>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</si>
  <si>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</si>
  <si>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</si>
  <si>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</si>
  <si>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</si>
  <si>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</si>
  <si>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</si>
  <si>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</si>
  <si>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</si>
  <si>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</si>
  <si>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</si>
  <si>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</si>
  <si>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</si>
  <si>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</si>
  <si>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</si>
  <si>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</si>
  <si>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</si>
  <si>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</si>
  <si>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</si>
  <si>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</si>
  <si>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</si>
  <si>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</si>
  <si>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</si>
  <si>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</si>
  <si>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</si>
  <si>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</si>
  <si>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</si>
  <si>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</si>
  <si>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</si>
  <si>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</si>
  <si>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</si>
  <si>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</si>
  <si>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</si>
  <si>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</si>
  <si>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</si>
  <si>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</si>
  <si>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</si>
  <si>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</si>
  <si>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</si>
  <si>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</si>
  <si>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</si>
  <si>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</si>
  <si>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</si>
  <si>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</si>
  <si>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</si>
  <si>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</si>
  <si>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</si>
  <si>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</si>
  <si>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</si>
  <si>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</si>
  <si>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</si>
  <si>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</si>
  <si>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</si>
  <si>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</si>
  <si>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</si>
  <si>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</si>
  <si>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</si>
  <si>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</si>
  <si>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</si>
  <si>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</si>
  <si>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</si>
  <si>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</si>
  <si>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</si>
  <si>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</si>
  <si>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</si>
  <si>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</si>
  <si>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</si>
  <si>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</si>
  <si>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</si>
  <si>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</si>
  <si>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</si>
  <si>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</si>
  <si>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</si>
  <si>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</si>
  <si>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</si>
  <si>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</si>
  <si>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</si>
  <si>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</si>
  <si>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</si>
  <si>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</si>
  <si>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</si>
  <si>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</si>
  <si>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</si>
  <si>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</si>
  <si>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</si>
  <si>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</si>
  <si>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</si>
  <si>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</si>
  <si>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</si>
  <si>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</si>
  <si>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</si>
  <si>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</si>
  <si>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</si>
  <si>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</si>
  <si>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</si>
  <si>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</si>
  <si>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</si>
  <si>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</si>
  <si>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</si>
  <si>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</si>
  <si>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</si>
  <si>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</si>
  <si>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</si>
  <si>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</si>
  <si>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</si>
  <si>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</si>
  <si>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</si>
  <si>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</si>
  <si>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</si>
  <si>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</si>
  <si>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</si>
  <si>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</si>
  <si>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</si>
  <si>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</si>
  <si>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</si>
  <si>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</si>
  <si>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</si>
  <si>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</si>
  <si>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</si>
  <si>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</si>
  <si>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</si>
  <si>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</si>
  <si>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</si>
  <si>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</si>
  <si>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</si>
  <si>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</si>
  <si>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</si>
  <si>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</si>
  <si>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</si>
  <si>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</si>
  <si>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</si>
  <si>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</si>
  <si>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</si>
  <si>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</si>
  <si>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</si>
  <si>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</si>
  <si>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</si>
  <si>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</si>
  <si>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</si>
  <si>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</si>
  <si>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</si>
  <si>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</si>
  <si>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</si>
  <si>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</si>
  <si>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</si>
  <si>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</si>
  <si>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</si>
  <si>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</si>
  <si>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</si>
  <si>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</si>
  <si>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</si>
  <si>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</si>
  <si>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</si>
  <si>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</si>
  <si>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</si>
  <si>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</si>
  <si>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</si>
  <si>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</si>
  <si>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</si>
  <si>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</si>
  <si>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</si>
  <si>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</si>
  <si>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</si>
  <si>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</si>
  <si>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</si>
  <si>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</si>
  <si>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</si>
  <si>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</si>
  <si>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</si>
  <si>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</si>
  <si>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</si>
  <si>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</si>
  <si>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</si>
  <si>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</si>
  <si>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</si>
  <si>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</si>
  <si>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</si>
  <si>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</si>
  <si>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</si>
  <si>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</si>
  <si>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</si>
  <si>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</si>
  <si>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</si>
  <si>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</si>
  <si>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</si>
  <si>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</si>
  <si>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</si>
  <si>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</si>
  <si>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</si>
  <si>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</si>
  <si>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</si>
  <si>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</si>
  <si>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</si>
  <si>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</si>
  <si>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</si>
  <si>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</si>
  <si>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</si>
  <si>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</si>
  <si>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</si>
  <si>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</si>
  <si>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</si>
  <si>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</si>
  <si>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</si>
  <si>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P0993</t>
  </si>
  <si>
    <t>P0994</t>
  </si>
  <si>
    <t>P0995</t>
  </si>
  <si>
    <t>P0996</t>
  </si>
  <si>
    <t>P0997</t>
  </si>
  <si>
    <t>P0998</t>
  </si>
  <si>
    <t>P0999</t>
  </si>
  <si>
    <t>P1000</t>
  </si>
  <si>
    <t>Length of Stay</t>
  </si>
  <si>
    <t xml:space="preserve">Treatment Success Rate </t>
  </si>
  <si>
    <t>Row Labels</t>
  </si>
  <si>
    <t>Count of Patient_ID</t>
  </si>
  <si>
    <t>DEMOGRAPHICS</t>
  </si>
  <si>
    <t>DEPARTMENT ANALYSIS</t>
  </si>
  <si>
    <t>LENGTH OF STAY</t>
  </si>
  <si>
    <t>Average of Length of Stay</t>
  </si>
  <si>
    <t>TREATMENT SUCCESS</t>
  </si>
  <si>
    <t xml:space="preserve">Sum of Treatment Success Rate </t>
  </si>
  <si>
    <t>BILLING ANALYSIS</t>
  </si>
  <si>
    <t>Sum of Billing_Amount</t>
  </si>
  <si>
    <t>PROCEDURE ANALYSIS</t>
  </si>
  <si>
    <t>TOTOL PATIENTS IN 2024</t>
  </si>
  <si>
    <t>TOTOL REVENUE</t>
  </si>
  <si>
    <t>AVE LENGTH OF STAY</t>
  </si>
  <si>
    <t>RUPPESS</t>
  </si>
  <si>
    <t>DAYS</t>
  </si>
  <si>
    <t>TREATMENT SUCCESS RATE</t>
  </si>
  <si>
    <t>AVERAGE BILLING AMOUMT</t>
  </si>
  <si>
    <t>KPI DASHBOARD</t>
  </si>
  <si>
    <t>PERSONS</t>
  </si>
  <si>
    <t>DASHBOARD</t>
  </si>
  <si>
    <t>INSIGHTS</t>
  </si>
  <si>
    <t>6. Bed occupancy varies significantly across departments</t>
  </si>
  <si>
    <t>7. Opportunity to reduce LOS and improve revenue via process optimization</t>
  </si>
  <si>
    <t>1. Cardiology has the highest average length of stay</t>
  </si>
  <si>
    <t>2. Cardiology generates lower revenue per bed-day</t>
  </si>
  <si>
    <t>3. Male patients form the majority of admissions</t>
  </si>
  <si>
    <t>4. Female patients are underrepresented</t>
  </si>
  <si>
    <t>5. Certain age groups drive most admissions</t>
  </si>
  <si>
    <t>Project Overview</t>
  </si>
  <si>
    <t>This project focuses on analyzing a healthcare dataset using Microsoft Excel. The goal is to understand patient trends, department performance, and revenue patterns through an interactive dashboard.</t>
  </si>
  <si>
    <t>Objective</t>
  </si>
  <si>
    <t>Dataset Description</t>
  </si>
  <si>
    <t>The dataset contains patient details including department, gender, length of stay, and revenue. It represents hospital admission and discharge data.</t>
  </si>
  <si>
    <t>Tools Used</t>
  </si>
  <si>
    <t>Dashboard Summary</t>
  </si>
  <si>
    <t>The dashboard shows department-wise performance, length of stay, revenue trends, and patient demographics. Filters are used to make the dashboard interactive and easy to explore.</t>
  </si>
  <si>
    <t>Key Insights</t>
  </si>
  <si>
    <t>Recommendations</t>
  </si>
  <si>
    <t>Conclusion</t>
  </si>
  <si>
    <t>This Excel dashboard helps identify performance gaps and improvement areas in hospital operations. The insights can support better decision-making and resource optimization.</t>
  </si>
  <si>
    <t>1.Analyze patient distribution across departments</t>
  </si>
  <si>
    <t>2.Identify departments with long hospital stays</t>
  </si>
  <si>
    <t>3.Compare revenue performance</t>
  </si>
  <si>
    <t>4.Study patient demographics such as gender</t>
  </si>
  <si>
    <t>5.Provide insights that can help improve hospital efficiency</t>
  </si>
  <si>
    <t>1.Microsoft Excel</t>
  </si>
  <si>
    <t>2.Pivot Tables &amp; Pivot Charts</t>
  </si>
  <si>
    <t>3.Slicers</t>
  </si>
  <si>
    <t>4.Calculated fields and basic data cleaning</t>
  </si>
  <si>
    <t>1.Cardiology department has longer patient stays but lower revenue</t>
  </si>
  <si>
    <t>2.Male patients are more in number compared to female patients</t>
  </si>
  <si>
    <t>3.Revenue and patient volume vary across departments</t>
  </si>
  <si>
    <t>4.Some departments show better efficiency than others</t>
  </si>
  <si>
    <t>1.Reduce length of stay in Cardiology through better planning</t>
  </si>
  <si>
    <t>2.Improve bed utilization to increase revenue</t>
  </si>
  <si>
    <t>3.Focus on preventive and outpatient care</t>
  </si>
  <si>
    <t>4.Encourage women-focused healthcare programs</t>
  </si>
  <si>
    <t>PATIENTS</t>
  </si>
  <si>
    <t>Age Group</t>
  </si>
  <si>
    <t>5. Artificial Intelligemce</t>
  </si>
  <si>
    <t>. TOTAL PATIENTS IN 2024</t>
  </si>
  <si>
    <t>. TOTAL REVENUE</t>
  </si>
  <si>
    <t>. AVERAGE LENGTH OF STAY</t>
  </si>
  <si>
    <t>. TREATMENT SUCCESS RATE</t>
  </si>
  <si>
    <t>. AVERAGE BILLING AMOUMT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</si>
</sst>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6" x14ac:knownFonts="1">
    <font>
      <sz val="11"/>
      <color theme="1"/>
      <name val="Calibri Light"/>
      <family val="2"/>
    </font>
    <font>
      <sz val="11"/>
      <color theme="1"/>
      <name val="Calibri Light"/>
      <family val="2"/>
    </font>
    <font>
      <sz val="18"/>
      <color theme="3"/>
      <name val="Calibri Light"/>
      <family val="2"/>
      <scheme val="major"/>
    </font>
    <font>
      <b/>
      <sz val="15"/>
      <color theme="3"/>
      <name val="Calibri Light"/>
      <family val="2"/>
    </font>
    <font>
      <b/>
      <sz val="13"/>
      <color theme="3"/>
      <name val="Calibri Light"/>
      <family val="2"/>
    </font>
    <font>
      <b/>
      <sz val="11"/>
      <color theme="3"/>
      <name val="Calibri Light"/>
      <family val="2"/>
    </font>
    <font>
      <sz val="11"/>
      <color rgb="FF006100"/>
      <name val="Calibri Light"/>
      <family val="2"/>
    </font>
    <font>
      <sz val="11"/>
      <color rgb="FF9C0006"/>
      <name val="Calibri Light"/>
      <family val="2"/>
    </font>
    <font>
      <sz val="11"/>
      <color rgb="FF9C5700"/>
      <name val="Calibri Light"/>
      <family val="2"/>
    </font>
    <font>
      <sz val="11"/>
      <color rgb="FF3F3F76"/>
      <name val="Calibri Light"/>
      <family val="2"/>
    </font>
    <font>
      <b/>
      <sz val="11"/>
      <color rgb="FF3F3F3F"/>
      <name val="Calibri Light"/>
      <family val="2"/>
    </font>
    <font>
      <b/>
      <sz val="11"/>
      <color rgb="FFFA7D00"/>
      <name val="Calibri Light"/>
      <family val="2"/>
    </font>
    <font>
      <sz val="11"/>
      <color rgb="FFFA7D00"/>
      <name val="Calibri Light"/>
      <family val="2"/>
    </font>
    <font>
      <b/>
      <sz val="11"/>
      <color theme="0"/>
      <name val="Calibri Light"/>
      <family val="2"/>
    </font>
    <font>
      <sz val="11"/>
      <color rgb="FFFF0000"/>
      <name val="Calibri Light"/>
      <family val="2"/>
    </font>
    <font>
      <i/>
      <sz val="11"/>
      <color rgb="FF7F7F7F"/>
      <name val="Calibri Light"/>
      <family val="2"/>
    </font>
    <font>
      <b/>
      <sz val="11"/>
      <color theme="1"/>
      <name val="Calibri Light"/>
      <family val="2"/>
    </font>
    <font>
      <sz val="11"/>
      <color theme="0"/>
      <name val="Calibri Light"/>
      <family val="2"/>
    </font>
    <font>
      <b/>
      <sz val="14"/>
      <color theme="0"/>
      <name val="Calibri Light"/>
      <family val="2"/>
    </font>
    <font>
      <b/>
      <sz val="18"/>
      <color theme="0"/>
      <name val="Calibri Light"/>
      <family val="2"/>
    </font>
    <font>
      <b/>
      <i/>
      <sz val="11"/>
      <color theme="1"/>
      <name val="Calibri Light"/>
      <family val="2"/>
    </font>
    <font>
      <b/>
      <i/>
      <sz val="28"/>
      <color theme="1"/>
      <name val="Calibri Light"/>
      <family val="2"/>
    </font>
    <font>
      <sz val="28"/>
      <color theme="1"/>
      <name val="Calibri Light"/>
      <family val="2"/>
    </font>
    <font>
      <b/>
      <i/>
      <sz val="28"/>
      <color theme="0"/>
      <name val="Calibri Light"/>
      <family val="2"/>
    </font>
    <font>
      <b/>
      <sz val="26"/>
      <color theme="0"/>
      <name val="Calibri Light"/>
      <family val="2"/>
    </font>
    <font>
      <b/>
      <sz val="24"/>
      <color theme="0"/>
      <name val="Calibri Light"/>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0"/>
        <bgColor indexed="64"/>
      </patternFill>
    </fill>
    <fill>
      <patternFill patternType="solid">
        <fgColor theme="5" tint="0.39997558519241921"/>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9">
    <xf numFmtId="0" fontId="0" fillId="0" borderId="0" xfId="0"/>
    <xf numFmtId="14" fontId="0" fillId="0" borderId="0" xfId="0" applyNumberFormat="1"/>
    <xf numFmtId="0" fontId="0" fillId="0" borderId="0" xfId="0" applyNumberFormat="1"/>
    <xf numFmtId="0" fontId="17" fillId="0" borderId="0" xfId="0" applyFont="1"/>
    <xf numFmtId="0" fontId="0" fillId="0" borderId="0" xfId="0" applyBorder="1"/>
    <xf numFmtId="0" fontId="0" fillId="0" borderId="11" xfId="0" applyBorder="1"/>
    <xf numFmtId="0" fontId="0" fillId="0" borderId="10" xfId="0" applyBorder="1"/>
    <xf numFmtId="0" fontId="0" fillId="0" borderId="12" xfId="0" applyBorder="1"/>
    <xf numFmtId="0" fontId="0" fillId="0" borderId="13" xfId="0" applyBorder="1"/>
    <xf numFmtId="0" fontId="0" fillId="0" borderId="14" xfId="0" applyBorder="1"/>
    <xf numFmtId="0" fontId="21" fillId="0" borderId="10" xfId="0" applyFont="1" applyBorder="1" applyAlignment="1">
      <alignment horizontal="left" vertical="center"/>
    </xf>
    <xf numFmtId="0" fontId="21" fillId="0" borderId="0" xfId="0" applyFont="1" applyBorder="1" applyAlignment="1">
      <alignment horizontal="left" vertical="center"/>
    </xf>
    <xf numFmtId="0" fontId="22" fillId="0" borderId="0" xfId="0" applyFont="1" applyBorder="1"/>
    <xf numFmtId="0" fontId="21" fillId="0" borderId="10" xfId="0" applyFont="1" applyBorder="1" applyAlignment="1">
      <alignment vertical="center"/>
    </xf>
    <xf numFmtId="0" fontId="21" fillId="0" borderId="0" xfId="0" applyFont="1" applyBorder="1" applyAlignment="1">
      <alignment vertical="center"/>
    </xf>
    <xf numFmtId="0" fontId="23" fillId="34" borderId="0" xfId="0" applyFont="1" applyFill="1" applyBorder="1" applyAlignment="1">
      <alignment horizontal="left" vertical="center"/>
    </xf>
    <xf numFmtId="0" fontId="23" fillId="33" borderId="10" xfId="0" applyFont="1" applyFill="1" applyBorder="1" applyAlignment="1">
      <alignment horizontal="left" vertical="center"/>
    </xf>
    <xf numFmtId="0" fontId="23" fillId="33" borderId="0" xfId="0" applyFont="1" applyFill="1" applyBorder="1" applyAlignment="1">
      <alignment horizontal="left" vertical="center"/>
    </xf>
    <xf numFmtId="0" fontId="23" fillId="33" borderId="11" xfId="0" applyFont="1" applyFill="1" applyBorder="1" applyAlignment="1">
      <alignment horizontal="left" vertical="center"/>
    </xf>
    <xf numFmtId="10" fontId="0" fillId="0" borderId="22" xfId="0" applyNumberFormat="1" applyBorder="1"/>
    <xf numFmtId="10" fontId="0" fillId="0" borderId="23" xfId="0" applyNumberFormat="1" applyBorder="1"/>
    <xf numFmtId="0" fontId="0" fillId="0" borderId="21" xfId="0" pivotButton="1" applyBorder="1"/>
    <xf numFmtId="0" fontId="0" fillId="0" borderId="22" xfId="0" applyBorder="1" applyAlignment="1">
      <alignment horizontal="left"/>
    </xf>
    <xf numFmtId="0" fontId="0" fillId="0" borderId="23" xfId="0" applyBorder="1" applyAlignment="1">
      <alignment horizontal="left"/>
    </xf>
    <xf numFmtId="0" fontId="0" fillId="0" borderId="21" xfId="0" applyBorder="1"/>
    <xf numFmtId="10" fontId="0" fillId="0" borderId="24" xfId="0" applyNumberFormat="1" applyBorder="1"/>
    <xf numFmtId="0" fontId="0" fillId="0" borderId="24" xfId="0" applyBorder="1" applyAlignment="1">
      <alignment horizontal="left"/>
    </xf>
    <xf numFmtId="0" fontId="0" fillId="33" borderId="10" xfId="0" applyFill="1" applyBorder="1"/>
    <xf numFmtId="0" fontId="0" fillId="33" borderId="0" xfId="0" applyFill="1" applyBorder="1"/>
    <xf numFmtId="0" fontId="16" fillId="33" borderId="0" xfId="0" applyFont="1" applyFill="1" applyBorder="1"/>
    <xf numFmtId="0" fontId="16" fillId="33" borderId="10" xfId="0" applyFont="1" applyFill="1" applyBorder="1"/>
    <xf numFmtId="0" fontId="0" fillId="33" borderId="12" xfId="0" applyFill="1" applyBorder="1"/>
    <xf numFmtId="0" fontId="0" fillId="33" borderId="13" xfId="0" applyFill="1" applyBorder="1"/>
    <xf numFmtId="0" fontId="16" fillId="33" borderId="12" xfId="0" applyFont="1" applyFill="1" applyBorder="1"/>
    <xf numFmtId="0" fontId="16" fillId="33" borderId="13" xfId="0" applyFont="1" applyFill="1" applyBorder="1"/>
    <xf numFmtId="0" fontId="13" fillId="33" borderId="19" xfId="0" applyFont="1" applyFill="1" applyBorder="1"/>
    <xf numFmtId="0" fontId="13" fillId="33" borderId="18" xfId="0" applyFont="1" applyFill="1" applyBorder="1"/>
    <xf numFmtId="0" fontId="13" fillId="33" borderId="10" xfId="0" applyFont="1" applyFill="1" applyBorder="1"/>
    <xf numFmtId="0" fontId="13" fillId="33" borderId="0" xfId="0" applyFont="1" applyFill="1" applyBorder="1"/>
    <xf numFmtId="164" fontId="13" fillId="33" borderId="0" xfId="0" applyNumberFormat="1" applyFont="1" applyFill="1" applyBorder="1"/>
    <xf numFmtId="10" fontId="13" fillId="33" borderId="0" xfId="0" applyNumberFormat="1" applyFont="1" applyFill="1" applyBorder="1"/>
    <xf numFmtId="0" fontId="0" fillId="33" borderId="11" xfId="0" applyFill="1" applyBorder="1"/>
    <xf numFmtId="0" fontId="16" fillId="33" borderId="20" xfId="0" applyFont="1" applyFill="1" applyBorder="1"/>
    <xf numFmtId="0" fontId="16" fillId="33" borderId="11" xfId="0" applyFont="1" applyFill="1" applyBorder="1"/>
    <xf numFmtId="0" fontId="16" fillId="33" borderId="14" xfId="0" applyFont="1" applyFill="1" applyBorder="1"/>
    <xf numFmtId="0" fontId="14" fillId="0" borderId="0" xfId="0" applyFont="1"/>
    <xf numFmtId="0" fontId="0" fillId="0" borderId="0" xfId="0" applyBorder="1" applyAlignment="1">
      <alignment vertical="center"/>
    </xf>
    <xf numFmtId="0" fontId="24" fillId="33" borderId="15" xfId="0" applyFont="1" applyFill="1" applyBorder="1" applyAlignment="1">
      <alignment horizontal="center" vertical="center"/>
    </xf>
    <xf numFmtId="0" fontId="24" fillId="33" borderId="16" xfId="0" applyFont="1" applyFill="1" applyBorder="1" applyAlignment="1">
      <alignment horizontal="center" vertical="center"/>
    </xf>
    <xf numFmtId="0" fontId="24" fillId="33" borderId="17" xfId="0" applyFont="1" applyFill="1" applyBorder="1" applyAlignment="1">
      <alignment horizontal="center" vertical="center"/>
    </xf>
    <xf numFmtId="0" fontId="21" fillId="0" borderId="10"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11" xfId="0" applyFont="1" applyBorder="1" applyAlignment="1">
      <alignment horizontal="center" vertical="center" wrapText="1"/>
    </xf>
    <xf numFmtId="0" fontId="23" fillId="33" borderId="10" xfId="0" applyFont="1" applyFill="1" applyBorder="1" applyAlignment="1">
      <alignment horizontal="left" vertical="center"/>
    </xf>
    <xf numFmtId="0" fontId="23" fillId="33" borderId="0" xfId="0" applyFont="1" applyFill="1" applyBorder="1" applyAlignment="1">
      <alignment horizontal="left" vertical="center"/>
    </xf>
    <xf numFmtId="0" fontId="23" fillId="33" borderId="11" xfId="0" applyFont="1" applyFill="1" applyBorder="1" applyAlignment="1">
      <alignment horizontal="left" vertical="center"/>
    </xf>
    <xf numFmtId="0" fontId="25" fillId="33" borderId="19" xfId="0" applyFont="1" applyFill="1" applyBorder="1" applyAlignment="1">
      <alignment horizontal="center" vertical="center"/>
    </xf>
    <xf numFmtId="0" fontId="25" fillId="33" borderId="18" xfId="0" applyFont="1" applyFill="1" applyBorder="1" applyAlignment="1">
      <alignment horizontal="center" vertical="center"/>
    </xf>
    <xf numFmtId="0" fontId="25" fillId="33" borderId="20" xfId="0" applyFont="1" applyFill="1" applyBorder="1" applyAlignment="1">
      <alignment horizontal="center" vertical="center"/>
    </xf>
    <xf numFmtId="0" fontId="25" fillId="33" borderId="12" xfId="0" applyFont="1" applyFill="1" applyBorder="1" applyAlignment="1">
      <alignment horizontal="center" vertical="center"/>
    </xf>
    <xf numFmtId="0" fontId="25" fillId="33" borderId="13" xfId="0" applyFont="1" applyFill="1" applyBorder="1" applyAlignment="1">
      <alignment horizontal="center" vertical="center"/>
    </xf>
    <xf numFmtId="0" fontId="25" fillId="33" borderId="14" xfId="0" applyFont="1" applyFill="1" applyBorder="1" applyAlignment="1">
      <alignment horizontal="center" vertical="center"/>
    </xf>
    <xf numFmtId="0" fontId="19" fillId="33" borderId="15" xfId="0" applyFont="1" applyFill="1" applyBorder="1" applyAlignment="1">
      <alignment horizontal="center"/>
    </xf>
    <xf numFmtId="0" fontId="19" fillId="33" borderId="16" xfId="0" applyFont="1" applyFill="1" applyBorder="1" applyAlignment="1">
      <alignment horizontal="center"/>
    </xf>
    <xf numFmtId="0" fontId="19" fillId="33" borderId="17" xfId="0" applyFont="1" applyFill="1" applyBorder="1" applyAlignment="1">
      <alignment horizontal="center"/>
    </xf>
    <xf numFmtId="0" fontId="18" fillId="33" borderId="15" xfId="0" applyFont="1" applyFill="1" applyBorder="1" applyAlignment="1">
      <alignment horizontal="center" vertical="center"/>
    </xf>
    <xf numFmtId="0" fontId="18" fillId="33" borderId="16" xfId="0" applyFont="1" applyFill="1" applyBorder="1" applyAlignment="1">
      <alignment horizontal="center" vertical="center"/>
    </xf>
    <xf numFmtId="0" fontId="18" fillId="33" borderId="17" xfId="0" applyFont="1" applyFill="1" applyBorder="1" applyAlignment="1">
      <alignment horizontal="center" vertical="center"/>
    </xf>
    <xf numFmtId="0" fontId="13" fillId="33" borderId="19" xfId="0" applyFont="1" applyFill="1" applyBorder="1" applyAlignment="1">
      <alignment horizontal="center" vertical="center"/>
    </xf>
    <xf numFmtId="0" fontId="13" fillId="33" borderId="18" xfId="0" applyFont="1" applyFill="1" applyBorder="1" applyAlignment="1">
      <alignment horizontal="center" vertical="center"/>
    </xf>
    <xf numFmtId="0" fontId="13" fillId="33" borderId="20" xfId="0" applyFont="1" applyFill="1" applyBorder="1" applyAlignment="1">
      <alignment horizontal="center" vertical="center"/>
    </xf>
    <xf numFmtId="0" fontId="16" fillId="35" borderId="10" xfId="0" applyFont="1" applyFill="1" applyBorder="1" applyAlignment="1">
      <alignment vertical="center"/>
    </xf>
    <xf numFmtId="0" fontId="16" fillId="35" borderId="0" xfId="0" applyFont="1" applyFill="1" applyBorder="1" applyAlignment="1">
      <alignment horizontal="left" vertical="center"/>
    </xf>
    <xf numFmtId="0" fontId="16" fillId="35" borderId="0" xfId="0" applyFont="1" applyFill="1" applyBorder="1" applyAlignment="1">
      <alignment vertical="center"/>
    </xf>
    <xf numFmtId="0" fontId="0" fillId="35" borderId="11" xfId="0" applyFill="1" applyBorder="1"/>
    <xf numFmtId="0" fontId="0" fillId="35" borderId="10" xfId="0" applyFill="1" applyBorder="1"/>
    <xf numFmtId="0" fontId="0" fillId="35" borderId="0" xfId="0" applyFill="1" applyBorder="1"/>
    <xf numFmtId="164" fontId="16" fillId="35" borderId="0" xfId="0" applyNumberFormat="1" applyFont="1" applyFill="1" applyBorder="1" applyAlignment="1">
      <alignment vertical="center"/>
    </xf>
    <xf numFmtId="0" fontId="16" fillId="35" borderId="11" xfId="0" applyFont="1" applyFill="1" applyBorder="1"/>
    <xf numFmtId="10" fontId="16" fillId="35" borderId="0" xfId="0" applyNumberFormat="1" applyFont="1" applyFill="1" applyBorder="1" applyAlignment="1">
      <alignment vertical="center"/>
    </xf>
    <xf numFmtId="0" fontId="0" fillId="35" borderId="12" xfId="0" applyFill="1" applyBorder="1"/>
    <xf numFmtId="0" fontId="0" fillId="35" borderId="13" xfId="0" applyFill="1" applyBorder="1"/>
    <xf numFmtId="0" fontId="0" fillId="35" borderId="14" xfId="0" applyFill="1" applyBorder="1"/>
    <xf numFmtId="0" fontId="20" fillId="35" borderId="10" xfId="0" applyFont="1" applyFill="1" applyBorder="1" applyAlignment="1">
      <alignment horizontal="left" vertical="center" indent="1"/>
    </xf>
    <xf numFmtId="0" fontId="20" fillId="35" borderId="0" xfId="0" applyFont="1" applyFill="1" applyBorder="1"/>
    <xf numFmtId="0" fontId="20" fillId="35" borderId="11" xfId="0" applyFont="1" applyFill="1" applyBorder="1"/>
    <xf numFmtId="0" fontId="20" fillId="35" borderId="12" xfId="0" applyFont="1" applyFill="1" applyBorder="1"/>
    <xf numFmtId="0" fontId="20" fillId="35" borderId="13" xfId="0" applyFont="1" applyFill="1" applyBorder="1"/>
    <xf numFmtId="0" fontId="20" fillId="35" borderId="14"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7">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9" formatCode="dd/mm/yyyy"/>
    </dxf>
    <dxf>
      <numFmt numFmtId="19" formatCode="dd/mm/yyyy"/>
    </dxf>
    <dxf>
      <numFmt numFmtId="19" formatCode="dd/mm/yyyy"/>
    </dxf>
    <dxf>
      <numFmt numFmtId="0" formatCode="General"/>
    </dxf>
    <dxf>
      <numFmt numFmtId="19" formatCode="dd/mm/yyyy"/>
    </dxf>
    <dxf>
      <numFmt numFmtId="19" formatCode="dd/mm/yyyy"/>
    </dxf>
    <dxf>
      <font>
        <b/>
        <color theme="1"/>
      </font>
      <border>
        <bottom style="thin">
          <color theme="7"/>
        </bottom>
        <vertical/>
        <horizontal/>
      </border>
    </dxf>
    <dxf>
      <font>
        <color theme="1"/>
      </font>
      <fill>
        <patternFill>
          <bgColor rgb="FF0070C0"/>
        </patternFill>
      </fill>
      <border>
        <left style="thin">
          <color theme="7"/>
        </left>
        <right style="thin">
          <color theme="7"/>
        </right>
        <top style="thin">
          <color theme="7"/>
        </top>
        <bottom style="thin">
          <color theme="7"/>
        </bottom>
        <vertical/>
        <horizontal/>
      </border>
    </dxf>
    <dxf>
      <font>
        <b/>
        <color theme="1"/>
      </font>
      <border>
        <bottom style="thin">
          <color theme="4"/>
        </bottom>
        <vertical/>
        <horizontal/>
      </border>
    </dxf>
    <dxf>
      <font>
        <color theme="1"/>
      </font>
      <fill>
        <patternFill>
          <bgColor rgb="FF0070C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070C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0"/>
      </font>
      <fill>
        <patternFill>
          <bgColor rgb="FF0070C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0"/>
      </font>
      <fill>
        <patternFill>
          <bgColor rgb="FF0070C0"/>
        </patternFill>
      </fill>
      <border>
        <left style="thin">
          <color theme="4"/>
        </left>
        <right style="thin">
          <color theme="4"/>
        </right>
        <top style="thin">
          <color theme="4"/>
        </top>
        <bottom style="thin">
          <color theme="4"/>
        </bottom>
        <vertical/>
        <horizontal/>
      </border>
    </dxf>
    <dxf>
      <font>
        <color theme="0"/>
      </font>
      <border>
        <bottom style="thin">
          <color theme="4"/>
        </bottom>
        <vertical/>
        <horizontal/>
      </border>
    </dxf>
    <dxf>
      <font>
        <color theme="0"/>
      </font>
      <fill>
        <patternFill>
          <bgColor theme="5"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0"/>
      </font>
      <fill>
        <patternFill>
          <bgColor theme="5"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0"/>
      </font>
      <fill>
        <patternFill>
          <bgColor theme="5"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5"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5" tint="0.3999450666829432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theme="5" tint="0.39994506668294322"/>
        </patternFill>
      </fill>
      <border>
        <left style="thin">
          <color theme="4"/>
        </left>
        <right style="thin">
          <color theme="4"/>
        </right>
        <top style="thin">
          <color theme="4"/>
        </top>
        <bottom style="thin">
          <color theme="4"/>
        </bottom>
        <vertical/>
        <horizontal/>
      </border>
    </dxf>
    <dxf>
      <font>
        <b/>
        <color theme="1"/>
      </font>
      <fill>
        <patternFill>
          <fgColor auto="1"/>
          <bgColor theme="0"/>
        </patternFill>
      </fill>
      <border>
        <bottom style="thin">
          <color theme="4"/>
        </bottom>
        <vertical/>
        <horizontal/>
      </border>
    </dxf>
    <dxf>
      <font>
        <color theme="1"/>
      </font>
      <fill>
        <patternFill>
          <bgColor rgb="FF0070C0"/>
        </patternFill>
      </fill>
      <border>
        <left style="thin">
          <color theme="4"/>
        </left>
        <right style="thin">
          <color theme="4"/>
        </right>
        <top style="thin">
          <color theme="4"/>
        </top>
        <bottom style="thin">
          <color theme="4"/>
        </bottom>
        <vertical/>
        <horizontal/>
      </border>
    </dxf>
    <dxf>
      <font>
        <b/>
        <color theme="1"/>
      </font>
      <fill>
        <patternFill patternType="none">
          <bgColor auto="1"/>
        </patternFill>
      </fill>
      <border>
        <bottom style="thin">
          <color theme="4"/>
        </bottom>
        <vertical/>
        <horizontal/>
      </border>
    </dxf>
    <dxf>
      <font>
        <color theme="1"/>
      </font>
      <fill>
        <patternFill>
          <bgColor rgb="FF0070C0"/>
        </patternFill>
      </fill>
      <border>
        <left style="thin">
          <color theme="4"/>
        </left>
        <right style="thin">
          <color theme="4"/>
        </right>
        <top style="thin">
          <color theme="4"/>
        </top>
        <bottom style="thin">
          <color theme="4"/>
        </bottom>
        <vertical/>
        <horizontal/>
      </border>
    </dxf>
    <dxf>
      <font>
        <b/>
        <color theme="1"/>
      </font>
      <fill>
        <patternFill>
          <bgColor theme="0"/>
        </patternFill>
      </fill>
      <border>
        <bottom style="thin">
          <color theme="4"/>
        </bottom>
        <vertical/>
        <horizontal/>
      </border>
    </dxf>
    <dxf>
      <font>
        <color theme="1"/>
      </font>
      <fill>
        <patternFill>
          <bgColor rgb="FF0070C0"/>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fill>
        <patternFill>
          <bgColor rgb="FF0070C0"/>
        </patternFill>
      </fill>
      <border>
        <left style="thin">
          <color theme="4"/>
        </left>
        <right style="thin">
          <color theme="4"/>
        </right>
        <top style="thin">
          <color theme="4"/>
        </top>
        <bottom style="thin">
          <color theme="4"/>
        </bottom>
        <vertical/>
        <horizontal/>
      </border>
    </dxf>
  </dxfs>
  <tableStyles count="15" defaultTableStyle="TableStyleMedium2" defaultPivotStyle="PivotStyleLight16">
    <tableStyle name="SlicerStyleLight1 2" pivot="0" table="0" count="10" xr9:uid="{999E3AF7-373F-4D3E-B9D0-D51E3A70D044}">
      <tableStyleElement type="wholeTable" dxfId="186"/>
      <tableStyleElement type="headerRow" dxfId="185"/>
    </tableStyle>
    <tableStyle name="SlicerStyleLight1 2 2" pivot="0" table="0" count="10" xr9:uid="{D0902E1D-E4A8-4A19-BB80-D2B1CDDF661D}">
      <tableStyleElement type="wholeTable" dxfId="184"/>
      <tableStyleElement type="headerRow" dxfId="183"/>
    </tableStyle>
    <tableStyle name="SlicerStyleLight1 2 3" pivot="0" table="0" count="10" xr9:uid="{CF53590F-07D6-4D72-93D2-B4331C687FDF}">
      <tableStyleElement type="wholeTable" dxfId="182"/>
      <tableStyleElement type="headerRow" dxfId="181"/>
    </tableStyle>
    <tableStyle name="SlicerStyleLight1 2 4" pivot="0" table="0" count="10" xr9:uid="{95A29265-E341-4C10-994F-CBDF0603FEFC}">
      <tableStyleElement type="wholeTable" dxfId="180"/>
      <tableStyleElement type="headerRow" dxfId="179"/>
    </tableStyle>
    <tableStyle name="SlicerStyleLight1 2 5" pivot="0" table="0" count="10" xr9:uid="{53C7C5DA-1537-41BE-B50C-BD8FC275E03F}">
      <tableStyleElement type="wholeTable" dxfId="178"/>
      <tableStyleElement type="headerRow" dxfId="177"/>
    </tableStyle>
    <tableStyle name="SlicerStyleLight1 2 5 2" pivot="0" table="0" count="10" xr9:uid="{0AF681C8-FA70-474B-9FDC-33F3FFB9ACA5}">
      <tableStyleElement type="wholeTable" dxfId="176"/>
      <tableStyleElement type="headerRow" dxfId="175"/>
    </tableStyle>
    <tableStyle name="SlicerStyleLight1 2 5 2 2" pivot="0" table="0" count="10" xr9:uid="{D8C2CA9D-C1C5-4510-8A5B-96A0778B3CF4}">
      <tableStyleElement type="wholeTable" dxfId="174"/>
      <tableStyleElement type="headerRow" dxfId="173"/>
    </tableStyle>
    <tableStyle name="SlicerStyleLight1 2 5 2 2 2" pivot="0" table="0" count="10" xr9:uid="{50A99F05-DF6D-4564-95B6-0032166A39A8}">
      <tableStyleElement type="wholeTable" dxfId="172"/>
      <tableStyleElement type="headerRow" dxfId="171"/>
    </tableStyle>
    <tableStyle name="SlicerStyleLight1 2 5 2 2 2 2" pivot="0" table="0" count="10" xr9:uid="{01170417-9328-4B4B-ABE7-6981C000026F}">
      <tableStyleElement type="wholeTable" dxfId="170"/>
      <tableStyleElement type="headerRow" dxfId="169"/>
    </tableStyle>
    <tableStyle name="SlicerStyleLight1 2 5 2 2 2 3" pivot="0" table="0" count="10" xr9:uid="{42242971-432D-4714-A609-AFE5392C36E3}">
      <tableStyleElement type="wholeTable" dxfId="168"/>
      <tableStyleElement type="headerRow" dxfId="167"/>
    </tableStyle>
    <tableStyle name="SlicerStyleLight1 2 5 2 2 2 4" pivot="0" table="0" count="10" xr9:uid="{8EFAAD4C-0150-47E4-8514-2E39809738B2}">
      <tableStyleElement type="wholeTable" dxfId="166"/>
      <tableStyleElement type="headerRow" dxfId="165"/>
    </tableStyle>
    <tableStyle name="SlicerStyleLight1 2 5 2 2 2 4 2" pivot="0" table="0" count="10" xr9:uid="{490E248D-BA2E-4A94-B90A-C93F19B5564A}">
      <tableStyleElement type="wholeTable" dxfId="164"/>
      <tableStyleElement type="headerRow" dxfId="163"/>
    </tableStyle>
    <tableStyle name="SlicerStyleLight1 2 6" pivot="0" table="0" count="10" xr9:uid="{AE9E3A0B-1876-4527-BD82-B61861A948A6}">
      <tableStyleElement type="wholeTable" dxfId="162"/>
      <tableStyleElement type="headerRow" dxfId="161"/>
    </tableStyle>
    <tableStyle name="SlicerStyleLight1 2 7" pivot="0" table="0" count="10" xr9:uid="{B38E6360-CD4E-40E4-90EF-8BF907AB2D41}">
      <tableStyleElement type="wholeTable" dxfId="160"/>
      <tableStyleElement type="headerRow" dxfId="159"/>
    </tableStyle>
    <tableStyle name="SlicerStyleLight4 2" pivot="0" table="0" count="10" xr9:uid="{6C3F33C9-89C3-4D51-A871-ECABA1A9EBE3}">
      <tableStyleElement type="wholeTable" dxfId="158"/>
      <tableStyleElement type="headerRow" dxfId="157"/>
    </tableStyle>
  </tableStyles>
  <colors>
    <mruColors>
      <color rgb="FFFF9999"/>
      <color rgb="FFDC5A7F"/>
      <color rgb="FF00FFFF"/>
    </mruColors>
  </colors>
  <extLst>
    <ext xmlns:x14="http://schemas.microsoft.com/office/spreadsheetml/2009/9/main" uri="{46F421CA-312F-682f-3DD2-61675219B42D}">
      <x14:dxfs count="1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70C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70C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70C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70C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70C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70C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70C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70C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70C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70C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70C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70C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70C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0070C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SlicerStyleLight1 2 2">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Light1 2 3">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Light1 2 4">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Light1 2 5">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Light1 2 5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Light1 2 5 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1 2 5 2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2 5 2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5 2 2 2 3">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5 2 2 2 4">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5 2 2 2 4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6">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7">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EXCEL.xlsx]Demographics!PivotTable1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GENDER DISTRIBUTION</a:t>
            </a:r>
          </a:p>
        </c:rich>
      </c:tx>
      <c:layout>
        <c:manualLayout>
          <c:xMode val="edge"/>
          <c:yMode val="edge"/>
          <c:x val="1.585411198600175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00B05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00B050"/>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c:spPr>
      </c:pivotFmt>
      <c:pivotFmt>
        <c:idx val="11"/>
        <c:spPr>
          <a:solidFill>
            <a:srgbClr val="00B050"/>
          </a:solidFill>
          <a:ln>
            <a:noFill/>
          </a:ln>
          <a:effectLst/>
        </c:spPr>
      </c:pivotFmt>
    </c:pivotFmts>
    <c:plotArea>
      <c:layout/>
      <c:barChart>
        <c:barDir val="bar"/>
        <c:grouping val="clustered"/>
        <c:varyColors val="0"/>
        <c:ser>
          <c:idx val="0"/>
          <c:order val="0"/>
          <c:tx>
            <c:strRef>
              <c:f>Demographics!$B$3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C8C4-4275-A281-83FED6FF8517}"/>
              </c:ext>
            </c:extLst>
          </c:dPt>
          <c:dPt>
            <c:idx val="1"/>
            <c:invertIfNegative val="0"/>
            <c:bubble3D val="0"/>
            <c:spPr>
              <a:solidFill>
                <a:srgbClr val="00B050"/>
              </a:solidFill>
              <a:ln>
                <a:noFill/>
              </a:ln>
              <a:effectLst/>
            </c:spPr>
            <c:extLst>
              <c:ext xmlns:c16="http://schemas.microsoft.com/office/drawing/2014/chart" uri="{C3380CC4-5D6E-409C-BE32-E72D297353CC}">
                <c16:uniqueId val="{00000003-C8C4-4275-A281-83FED6FF851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Demographics!$A$4:$A$5</c:f>
              <c:strCache>
                <c:ptCount val="2"/>
                <c:pt idx="0">
                  <c:v>Female</c:v>
                </c:pt>
                <c:pt idx="1">
                  <c:v>Male</c:v>
                </c:pt>
              </c:strCache>
            </c:strRef>
          </c:cat>
          <c:val>
            <c:numRef>
              <c:f>Demographics!$B$4:$B$5</c:f>
              <c:numCache>
                <c:formatCode>0.00%</c:formatCode>
                <c:ptCount val="2"/>
                <c:pt idx="0">
                  <c:v>0.46666666666666667</c:v>
                </c:pt>
                <c:pt idx="1">
                  <c:v>0.53333333333333333</c:v>
                </c:pt>
              </c:numCache>
            </c:numRef>
          </c:val>
          <c:extLst>
            <c:ext xmlns:c16="http://schemas.microsoft.com/office/drawing/2014/chart" uri="{C3380CC4-5D6E-409C-BE32-E72D297353CC}">
              <c16:uniqueId val="{00000005-11F5-4EC2-BFFE-2DD13E791443}"/>
            </c:ext>
          </c:extLst>
        </c:ser>
        <c:dLbls>
          <c:showLegendKey val="0"/>
          <c:showVal val="0"/>
          <c:showCatName val="0"/>
          <c:showSerName val="0"/>
          <c:showPercent val="0"/>
          <c:showBubbleSize val="0"/>
        </c:dLbls>
        <c:gapWidth val="182"/>
        <c:axId val="1245990992"/>
        <c:axId val="1403483936"/>
      </c:barChart>
      <c:catAx>
        <c:axId val="124599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3483936"/>
        <c:crosses val="autoZero"/>
        <c:auto val="1"/>
        <c:lblAlgn val="ctr"/>
        <c:lblOffset val="100"/>
        <c:noMultiLvlLbl val="0"/>
      </c:catAx>
      <c:valAx>
        <c:axId val="1403483936"/>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459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C0"/>
    </a:solidFill>
    <a:ln w="9525" cap="flat" cmpd="sng" algn="ctr">
      <a:solidFill>
        <a:srgbClr val="0070C0"/>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EXCEL.xlsx]Department Analysis!PivotTable2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PATIENT PER DEPARTMENT</a:t>
            </a:r>
          </a:p>
        </c:rich>
      </c:tx>
      <c:layout>
        <c:manualLayout>
          <c:xMode val="edge"/>
          <c:yMode val="edge"/>
          <c:x val="1.8152668416447942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00B050"/>
          </a:solidFill>
          <a:ln>
            <a:noFill/>
          </a:ln>
          <a:effectLst/>
        </c:spPr>
      </c:pivotFmt>
      <c:pivotFmt>
        <c:idx val="6"/>
        <c:spPr>
          <a:solidFill>
            <a:srgbClr val="00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00B050"/>
          </a:solidFill>
          <a:ln>
            <a:noFill/>
          </a:ln>
          <a:effectLst/>
        </c:spPr>
      </c:pivotFmt>
      <c:pivotFmt>
        <c:idx val="9"/>
        <c:spPr>
          <a:solidFill>
            <a:srgbClr val="00FFFF"/>
          </a:solidFill>
          <a:ln>
            <a:noFill/>
          </a:ln>
          <a:effectLst/>
        </c:spPr>
      </c:pivotFmt>
      <c:pivotFmt>
        <c:idx val="10"/>
        <c:spPr>
          <a:solidFill>
            <a:srgbClr val="00FFFF"/>
          </a:solidFill>
          <a:ln>
            <a:noFill/>
          </a:ln>
          <a:effectLst/>
        </c:spPr>
      </c:pivotFmt>
      <c:pivotFmt>
        <c:idx val="11"/>
        <c:spPr>
          <a:solidFill>
            <a:srgbClr val="00FFFF"/>
          </a:solidFill>
          <a:ln>
            <a:noFill/>
          </a:ln>
          <a:effectLst/>
        </c:spPr>
      </c:pivotFmt>
    </c:pivotFmts>
    <c:plotArea>
      <c:layout>
        <c:manualLayout>
          <c:layoutTarget val="inner"/>
          <c:xMode val="edge"/>
          <c:yMode val="edge"/>
          <c:x val="0.10311365608163212"/>
          <c:y val="0.16004694835680752"/>
          <c:w val="0.70492339898616474"/>
          <c:h val="0.71695648959373037"/>
        </c:manualLayout>
      </c:layout>
      <c:barChart>
        <c:barDir val="col"/>
        <c:grouping val="clustered"/>
        <c:varyColors val="0"/>
        <c:ser>
          <c:idx val="0"/>
          <c:order val="0"/>
          <c:tx>
            <c:strRef>
              <c:f>'Department Analysis'!$B$3</c:f>
              <c:strCache>
                <c:ptCount val="1"/>
                <c:pt idx="0">
                  <c:v>Total</c:v>
                </c:pt>
              </c:strCache>
            </c:strRef>
          </c:tx>
          <c:spPr>
            <a:solidFill>
              <a:srgbClr val="00FFFF"/>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77EA-467C-8BCD-777C80039D0F}"/>
              </c:ext>
            </c:extLst>
          </c:dPt>
          <c:dPt>
            <c:idx val="1"/>
            <c:invertIfNegative val="0"/>
            <c:bubble3D val="0"/>
            <c:extLst>
              <c:ext xmlns:c16="http://schemas.microsoft.com/office/drawing/2014/chart" uri="{C3380CC4-5D6E-409C-BE32-E72D297353CC}">
                <c16:uniqueId val="{00000004-7E6D-4525-94F1-F346D8323B73}"/>
              </c:ext>
            </c:extLst>
          </c:dPt>
          <c:dPt>
            <c:idx val="2"/>
            <c:invertIfNegative val="0"/>
            <c:bubble3D val="0"/>
            <c:extLst>
              <c:ext xmlns:c16="http://schemas.microsoft.com/office/drawing/2014/chart" uri="{C3380CC4-5D6E-409C-BE32-E72D297353CC}">
                <c16:uniqueId val="{00000005-7E6D-4525-94F1-F346D8323B73}"/>
              </c:ext>
            </c:extLst>
          </c:dPt>
          <c:dPt>
            <c:idx val="3"/>
            <c:invertIfNegative val="0"/>
            <c:bubble3D val="0"/>
            <c:extLst>
              <c:ext xmlns:c16="http://schemas.microsoft.com/office/drawing/2014/chart" uri="{C3380CC4-5D6E-409C-BE32-E72D297353CC}">
                <c16:uniqueId val="{00000006-7E6D-4525-94F1-F346D8323B73}"/>
              </c:ext>
            </c:extLst>
          </c:dPt>
          <c:dPt>
            <c:idx val="4"/>
            <c:invertIfNegative val="0"/>
            <c:bubble3D val="0"/>
            <c:spPr>
              <a:solidFill>
                <a:srgbClr val="00B050"/>
              </a:solidFill>
              <a:ln>
                <a:noFill/>
              </a:ln>
              <a:effectLst/>
            </c:spPr>
            <c:extLst>
              <c:ext xmlns:c16="http://schemas.microsoft.com/office/drawing/2014/chart" uri="{C3380CC4-5D6E-409C-BE32-E72D297353CC}">
                <c16:uniqueId val="{00000003-77EA-467C-8BCD-777C80039D0F}"/>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Analysis'!$A$4:$A$8</c:f>
              <c:strCache>
                <c:ptCount val="5"/>
                <c:pt idx="0">
                  <c:v>Cardiology</c:v>
                </c:pt>
                <c:pt idx="1">
                  <c:v>General</c:v>
                </c:pt>
                <c:pt idx="2">
                  <c:v>Neurology</c:v>
                </c:pt>
                <c:pt idx="3">
                  <c:v>Orthopedics</c:v>
                </c:pt>
                <c:pt idx="4">
                  <c:v>Pediatrics</c:v>
                </c:pt>
              </c:strCache>
            </c:strRef>
          </c:cat>
          <c:val>
            <c:numRef>
              <c:f>'Department Analysis'!$B$4:$B$8</c:f>
              <c:numCache>
                <c:formatCode>0.00%</c:formatCode>
                <c:ptCount val="5"/>
                <c:pt idx="0">
                  <c:v>0.18099999999999999</c:v>
                </c:pt>
                <c:pt idx="1">
                  <c:v>0.20699999999999999</c:v>
                </c:pt>
                <c:pt idx="2">
                  <c:v>0.19800000000000001</c:v>
                </c:pt>
                <c:pt idx="3">
                  <c:v>0.188</c:v>
                </c:pt>
                <c:pt idx="4">
                  <c:v>0.22600000000000001</c:v>
                </c:pt>
              </c:numCache>
            </c:numRef>
          </c:val>
          <c:extLst>
            <c:ext xmlns:c16="http://schemas.microsoft.com/office/drawing/2014/chart" uri="{C3380CC4-5D6E-409C-BE32-E72D297353CC}">
              <c16:uniqueId val="{00000004-77EA-467C-8BCD-777C80039D0F}"/>
            </c:ext>
          </c:extLst>
        </c:ser>
        <c:dLbls>
          <c:showLegendKey val="0"/>
          <c:showVal val="0"/>
          <c:showCatName val="0"/>
          <c:showSerName val="0"/>
          <c:showPercent val="0"/>
          <c:showBubbleSize val="0"/>
        </c:dLbls>
        <c:gapWidth val="219"/>
        <c:overlap val="-27"/>
        <c:axId val="1250800128"/>
        <c:axId val="1466421856"/>
      </c:barChart>
      <c:catAx>
        <c:axId val="125080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6421856"/>
        <c:crosses val="autoZero"/>
        <c:auto val="1"/>
        <c:lblAlgn val="ctr"/>
        <c:lblOffset val="100"/>
        <c:noMultiLvlLbl val="0"/>
      </c:catAx>
      <c:valAx>
        <c:axId val="1466421856"/>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80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C0"/>
    </a:solidFill>
    <a:ln w="9525" cap="flat" cmpd="sng" algn="ctr">
      <a:solidFill>
        <a:srgbClr val="0070C0"/>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EXCEL.xlsx]Length of Stay!PivotTable3</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AVERAGE STAY BY DEPARTMENT</a:t>
            </a:r>
          </a:p>
        </c:rich>
      </c:tx>
      <c:layout>
        <c:manualLayout>
          <c:xMode val="edge"/>
          <c:yMode val="edge"/>
          <c:x val="2.815966754155729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pivotFmt>
      <c:pivotFmt>
        <c:idx val="5"/>
        <c:spPr>
          <a:solidFill>
            <a:srgbClr val="00B050"/>
          </a:solidFill>
          <a:ln>
            <a:noFill/>
          </a:ln>
          <a:effectLst/>
        </c:spPr>
      </c:pivotFmt>
      <c:pivotFmt>
        <c:idx val="6"/>
        <c:spPr>
          <a:solidFill>
            <a:srgbClr val="00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c:spPr>
      </c:pivotFmt>
      <c:pivotFmt>
        <c:idx val="8"/>
        <c:spPr>
          <a:solidFill>
            <a:srgbClr val="00B050"/>
          </a:solidFill>
          <a:ln>
            <a:noFill/>
          </a:ln>
          <a:effectLst/>
        </c:spPr>
      </c:pivotFmt>
      <c:pivotFmt>
        <c:idx val="9"/>
        <c:spPr>
          <a:solidFill>
            <a:srgbClr val="00FFFF"/>
          </a:solidFill>
          <a:ln>
            <a:noFill/>
          </a:ln>
          <a:effectLst/>
        </c:spPr>
      </c:pivotFmt>
      <c:pivotFmt>
        <c:idx val="10"/>
        <c:spPr>
          <a:solidFill>
            <a:srgbClr val="00FFFF"/>
          </a:solidFill>
          <a:ln>
            <a:noFill/>
          </a:ln>
          <a:effectLst/>
        </c:spPr>
      </c:pivotFmt>
      <c:pivotFmt>
        <c:idx val="11"/>
        <c:spPr>
          <a:solidFill>
            <a:srgbClr val="00FFFF"/>
          </a:solidFill>
          <a:ln>
            <a:noFill/>
          </a:ln>
          <a:effectLst/>
        </c:spPr>
      </c:pivotFmt>
    </c:pivotFmts>
    <c:plotArea>
      <c:layout>
        <c:manualLayout>
          <c:layoutTarget val="inner"/>
          <c:xMode val="edge"/>
          <c:yMode val="edge"/>
          <c:x val="0.13431714785651794"/>
          <c:y val="0.17171296296296298"/>
          <c:w val="0.65510870516185482"/>
          <c:h val="0.72088764946048411"/>
        </c:manualLayout>
      </c:layout>
      <c:barChart>
        <c:barDir val="col"/>
        <c:grouping val="clustered"/>
        <c:varyColors val="0"/>
        <c:ser>
          <c:idx val="0"/>
          <c:order val="0"/>
          <c:tx>
            <c:strRef>
              <c:f>'Length of Stay'!$B$3</c:f>
              <c:strCache>
                <c:ptCount val="1"/>
                <c:pt idx="0">
                  <c:v>Total</c:v>
                </c:pt>
              </c:strCache>
            </c:strRef>
          </c:tx>
          <c:spPr>
            <a:solidFill>
              <a:srgbClr val="00FFFF"/>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91EA-4F92-999F-0988C1EEE293}"/>
              </c:ext>
            </c:extLst>
          </c:dPt>
          <c:dPt>
            <c:idx val="1"/>
            <c:invertIfNegative val="0"/>
            <c:bubble3D val="0"/>
            <c:extLst>
              <c:ext xmlns:c16="http://schemas.microsoft.com/office/drawing/2014/chart" uri="{C3380CC4-5D6E-409C-BE32-E72D297353CC}">
                <c16:uniqueId val="{00000004-0C73-4566-8380-172AEB3B8F2C}"/>
              </c:ext>
            </c:extLst>
          </c:dPt>
          <c:dPt>
            <c:idx val="2"/>
            <c:invertIfNegative val="0"/>
            <c:bubble3D val="0"/>
            <c:spPr>
              <a:solidFill>
                <a:srgbClr val="00B050"/>
              </a:solidFill>
              <a:ln>
                <a:noFill/>
              </a:ln>
              <a:effectLst/>
            </c:spPr>
            <c:extLst>
              <c:ext xmlns:c16="http://schemas.microsoft.com/office/drawing/2014/chart" uri="{C3380CC4-5D6E-409C-BE32-E72D297353CC}">
                <c16:uniqueId val="{00000003-91EA-4F92-999F-0988C1EEE293}"/>
              </c:ext>
            </c:extLst>
          </c:dPt>
          <c:dPt>
            <c:idx val="3"/>
            <c:invertIfNegative val="0"/>
            <c:bubble3D val="0"/>
            <c:extLst>
              <c:ext xmlns:c16="http://schemas.microsoft.com/office/drawing/2014/chart" uri="{C3380CC4-5D6E-409C-BE32-E72D297353CC}">
                <c16:uniqueId val="{00000005-0C73-4566-8380-172AEB3B8F2C}"/>
              </c:ext>
            </c:extLst>
          </c:dPt>
          <c:dPt>
            <c:idx val="4"/>
            <c:invertIfNegative val="0"/>
            <c:bubble3D val="0"/>
            <c:extLst>
              <c:ext xmlns:c16="http://schemas.microsoft.com/office/drawing/2014/chart" uri="{C3380CC4-5D6E-409C-BE32-E72D297353CC}">
                <c16:uniqueId val="{00000006-0C73-4566-8380-172AEB3B8F2C}"/>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'Length of Stay'!$A$4:$A$8</c:f>
              <c:strCache>
                <c:ptCount val="5"/>
                <c:pt idx="0">
                  <c:v>Cardiology</c:v>
                </c:pt>
                <c:pt idx="1">
                  <c:v>General</c:v>
                </c:pt>
                <c:pt idx="2">
                  <c:v>Neurology</c:v>
                </c:pt>
                <c:pt idx="3">
                  <c:v>Orthopedics</c:v>
                </c:pt>
                <c:pt idx="4">
                  <c:v>Pediatrics</c:v>
                </c:pt>
              </c:strCache>
            </c:strRef>
          </c:cat>
          <c:val>
            <c:numRef>
              <c:f>'Length of Stay'!$B$4:$B$8</c:f>
              <c:numCache>
                <c:formatCode>0.00%</c:formatCode>
                <c:ptCount val="5"/>
                <c:pt idx="0">
                  <c:v>1.0693953503885332</c:v>
                </c:pt>
                <c:pt idx="1">
                  <c:v>0.97274550583677688</c:v>
                </c:pt>
                <c:pt idx="2">
                  <c:v>0.96423929903995309</c:v>
                </c:pt>
                <c:pt idx="3">
                  <c:v>1.0034867820721067</c:v>
                </c:pt>
                <c:pt idx="4">
                  <c:v>0.9978151576636991</c:v>
                </c:pt>
              </c:numCache>
            </c:numRef>
          </c:val>
          <c:extLst>
            <c:ext xmlns:c16="http://schemas.microsoft.com/office/drawing/2014/chart" uri="{C3380CC4-5D6E-409C-BE32-E72D297353CC}">
              <c16:uniqueId val="{00000004-91EA-4F92-999F-0988C1EEE293}"/>
            </c:ext>
          </c:extLst>
        </c:ser>
        <c:dLbls>
          <c:showLegendKey val="0"/>
          <c:showVal val="0"/>
          <c:showCatName val="0"/>
          <c:showSerName val="0"/>
          <c:showPercent val="0"/>
          <c:showBubbleSize val="0"/>
        </c:dLbls>
        <c:gapWidth val="219"/>
        <c:overlap val="-27"/>
        <c:axId val="1465742480"/>
        <c:axId val="1460891392"/>
      </c:barChart>
      <c:catAx>
        <c:axId val="146574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0891392"/>
        <c:crosses val="autoZero"/>
        <c:auto val="1"/>
        <c:lblAlgn val="ctr"/>
        <c:lblOffset val="100"/>
        <c:noMultiLvlLbl val="0"/>
      </c:catAx>
      <c:valAx>
        <c:axId val="1460891392"/>
        <c:scaling>
          <c:orientation val="minMax"/>
        </c:scaling>
        <c:delete val="0"/>
        <c:axPos val="l"/>
        <c:majorGridlines>
          <c:spPr>
            <a:ln w="9525" cap="flat" cmpd="sng" algn="ctr">
              <a:solidFill>
                <a:srgbClr val="0070C0"/>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6574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C0"/>
    </a:solidFill>
    <a:ln w="9525" cap="flat" cmpd="sng" algn="ctr">
      <a:solidFill>
        <a:srgbClr val="0070C0"/>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EXCEL.xlsx]Treatment Success!PivotTable4</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SUCCESS RATE BY DEPAETMENT</a:t>
            </a:r>
          </a:p>
        </c:rich>
      </c:tx>
      <c:layout>
        <c:manualLayout>
          <c:xMode val="edge"/>
          <c:yMode val="edge"/>
          <c:x val="3.08611111111111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FFFF00"/>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rgbClr val="00B050"/>
          </a:solidFill>
          <a:ln w="19050">
            <a:solidFill>
              <a:schemeClr val="lt1"/>
            </a:solidFill>
          </a:ln>
          <a:effectLst/>
        </c:spPr>
      </c:pivotFmt>
      <c:pivotFmt>
        <c:idx val="12"/>
        <c:spPr>
          <a:solidFill>
            <a:srgbClr val="00FFFF"/>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0000"/>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rgbClr val="FFFF00"/>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rgbClr val="00B050"/>
          </a:solidFill>
          <a:ln w="19050">
            <a:solidFill>
              <a:schemeClr val="lt1"/>
            </a:solidFill>
          </a:ln>
          <a:effectLst/>
        </c:spPr>
      </c:pivotFmt>
    </c:pivotFmts>
    <c:plotArea>
      <c:layout/>
      <c:pieChart>
        <c:varyColors val="1"/>
        <c:ser>
          <c:idx val="0"/>
          <c:order val="0"/>
          <c:tx>
            <c:strRef>
              <c:f>'Treatment Success'!$B$3</c:f>
              <c:strCache>
                <c:ptCount val="1"/>
                <c:pt idx="0">
                  <c:v>Total</c:v>
                </c:pt>
              </c:strCache>
            </c:strRef>
          </c:tx>
          <c:spPr>
            <a:solidFill>
              <a:srgbClr val="00FFFF"/>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1CE2-40BE-9A12-77C3D9FB57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E2-40BE-9A12-77C3D9FB5798}"/>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1CE2-40BE-9A12-77C3D9FB57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E2-40BE-9A12-77C3D9FB5798}"/>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9-1CE2-40BE-9A12-77C3D9FB5798}"/>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'Treatment Success'!$A$4:$A$8</c:f>
              <c:strCache>
                <c:ptCount val="5"/>
                <c:pt idx="0">
                  <c:v>Cardiology</c:v>
                </c:pt>
                <c:pt idx="1">
                  <c:v>General</c:v>
                </c:pt>
                <c:pt idx="2">
                  <c:v>Neurology</c:v>
                </c:pt>
                <c:pt idx="3">
                  <c:v>Orthopedics</c:v>
                </c:pt>
                <c:pt idx="4">
                  <c:v>Pediatrics</c:v>
                </c:pt>
              </c:strCache>
            </c:strRef>
          </c:cat>
          <c:val>
            <c:numRef>
              <c:f>'Treatment Success'!$B$4:$B$8</c:f>
              <c:numCache>
                <c:formatCode>0.00%</c:formatCode>
                <c:ptCount val="5"/>
                <c:pt idx="0">
                  <c:v>0.17313019390581719</c:v>
                </c:pt>
                <c:pt idx="1">
                  <c:v>0.21329639889196675</c:v>
                </c:pt>
                <c:pt idx="2">
                  <c:v>0.19806094182825484</c:v>
                </c:pt>
                <c:pt idx="3">
                  <c:v>0.17867036011080331</c:v>
                </c:pt>
                <c:pt idx="4">
                  <c:v>0.23684210526315788</c:v>
                </c:pt>
              </c:numCache>
            </c:numRef>
          </c:val>
          <c:extLst>
            <c:ext xmlns:c16="http://schemas.microsoft.com/office/drawing/2014/chart" uri="{C3380CC4-5D6E-409C-BE32-E72D297353CC}">
              <c16:uniqueId val="{0000000A-1CE2-40BE-9A12-77C3D9FB579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609251968503948"/>
          <c:y val="4.5635024788568068E-2"/>
          <c:w val="0.16890748031496064"/>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C0"/>
    </a:solidFill>
    <a:ln w="9525" cap="flat" cmpd="sng" algn="ctr">
      <a:solidFill>
        <a:srgbClr val="0070C0"/>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EXCEL.xlsx]Billing Analysis!PivotTable5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REVENUE PER DEPARTMENT</a:t>
            </a:r>
          </a:p>
        </c:rich>
      </c:tx>
      <c:layout>
        <c:manualLayout>
          <c:xMode val="edge"/>
          <c:yMode val="edge"/>
          <c:x val="4.061789151356080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solidFill>
              <a:srgbClr val="FF0000"/>
            </a:solid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rgbClr val="FF0000"/>
            </a:solidFill>
          </a:ln>
          <a:effectLst/>
        </c:spPr>
      </c:pivotFmt>
      <c:pivotFmt>
        <c:idx val="5"/>
        <c:spPr>
          <a:solidFill>
            <a:srgbClr val="00B050"/>
          </a:solidFill>
          <a:ln>
            <a:noFill/>
          </a:ln>
          <a:effectLst/>
        </c:spPr>
      </c:pivotFmt>
      <c:pivotFmt>
        <c:idx val="6"/>
        <c:spPr>
          <a:solidFill>
            <a:srgbClr val="00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solidFill>
              <a:srgbClr val="FF0000"/>
            </a:solidFill>
          </a:ln>
          <a:effectLst/>
        </c:spPr>
      </c:pivotFmt>
      <c:pivotFmt>
        <c:idx val="8"/>
        <c:spPr>
          <a:solidFill>
            <a:srgbClr val="00B050"/>
          </a:solidFill>
          <a:ln>
            <a:noFill/>
          </a:ln>
          <a:effectLst/>
        </c:spPr>
      </c:pivotFmt>
      <c:pivotFmt>
        <c:idx val="9"/>
        <c:spPr>
          <a:solidFill>
            <a:srgbClr val="00FFFF"/>
          </a:solidFill>
          <a:ln>
            <a:noFill/>
          </a:ln>
          <a:effectLst/>
        </c:spPr>
      </c:pivotFmt>
      <c:pivotFmt>
        <c:idx val="10"/>
        <c:spPr>
          <a:solidFill>
            <a:srgbClr val="00FFFF"/>
          </a:solidFill>
          <a:ln>
            <a:noFill/>
          </a:ln>
          <a:effectLst/>
        </c:spPr>
      </c:pivotFmt>
      <c:pivotFmt>
        <c:idx val="11"/>
        <c:spPr>
          <a:solidFill>
            <a:srgbClr val="00FFFF"/>
          </a:solidFill>
          <a:ln>
            <a:noFill/>
          </a:ln>
          <a:effectLst/>
        </c:spPr>
      </c:pivotFmt>
    </c:pivotFmts>
    <c:plotArea>
      <c:layout/>
      <c:barChart>
        <c:barDir val="bar"/>
        <c:grouping val="clustered"/>
        <c:varyColors val="0"/>
        <c:ser>
          <c:idx val="0"/>
          <c:order val="0"/>
          <c:tx>
            <c:strRef>
              <c:f>'Billing Analysis'!$B$3</c:f>
              <c:strCache>
                <c:ptCount val="1"/>
                <c:pt idx="0">
                  <c:v>Total</c:v>
                </c:pt>
              </c:strCache>
            </c:strRef>
          </c:tx>
          <c:spPr>
            <a:solidFill>
              <a:srgbClr val="00FFFF"/>
            </a:solidFill>
            <a:ln>
              <a:noFill/>
            </a:ln>
            <a:effectLst/>
          </c:spPr>
          <c:invertIfNegative val="0"/>
          <c:dPt>
            <c:idx val="0"/>
            <c:invertIfNegative val="0"/>
            <c:bubble3D val="0"/>
            <c:spPr>
              <a:solidFill>
                <a:srgbClr val="FF0000"/>
              </a:solidFill>
              <a:ln>
                <a:solidFill>
                  <a:srgbClr val="FF0000"/>
                </a:solidFill>
              </a:ln>
              <a:effectLst/>
            </c:spPr>
            <c:extLst>
              <c:ext xmlns:c16="http://schemas.microsoft.com/office/drawing/2014/chart" uri="{C3380CC4-5D6E-409C-BE32-E72D297353CC}">
                <c16:uniqueId val="{00000001-23E0-4C1D-BE41-E00D3DDE8669}"/>
              </c:ext>
            </c:extLst>
          </c:dPt>
          <c:dPt>
            <c:idx val="1"/>
            <c:invertIfNegative val="0"/>
            <c:bubble3D val="0"/>
            <c:extLst>
              <c:ext xmlns:c16="http://schemas.microsoft.com/office/drawing/2014/chart" uri="{C3380CC4-5D6E-409C-BE32-E72D297353CC}">
                <c16:uniqueId val="{00000006-3913-44CF-8568-425AA8B4B67B}"/>
              </c:ext>
            </c:extLst>
          </c:dPt>
          <c:dPt>
            <c:idx val="2"/>
            <c:invertIfNegative val="0"/>
            <c:bubble3D val="0"/>
            <c:extLst>
              <c:ext xmlns:c16="http://schemas.microsoft.com/office/drawing/2014/chart" uri="{C3380CC4-5D6E-409C-BE32-E72D297353CC}">
                <c16:uniqueId val="{00000005-3913-44CF-8568-425AA8B4B67B}"/>
              </c:ext>
            </c:extLst>
          </c:dPt>
          <c:dPt>
            <c:idx val="3"/>
            <c:invertIfNegative val="0"/>
            <c:bubble3D val="0"/>
            <c:extLst>
              <c:ext xmlns:c16="http://schemas.microsoft.com/office/drawing/2014/chart" uri="{C3380CC4-5D6E-409C-BE32-E72D297353CC}">
                <c16:uniqueId val="{00000004-3913-44CF-8568-425AA8B4B67B}"/>
              </c:ext>
            </c:extLst>
          </c:dPt>
          <c:dPt>
            <c:idx val="4"/>
            <c:invertIfNegative val="0"/>
            <c:bubble3D val="0"/>
            <c:spPr>
              <a:solidFill>
                <a:srgbClr val="00B050"/>
              </a:solidFill>
              <a:ln>
                <a:noFill/>
              </a:ln>
              <a:effectLst/>
            </c:spPr>
            <c:extLst>
              <c:ext xmlns:c16="http://schemas.microsoft.com/office/drawing/2014/chart" uri="{C3380CC4-5D6E-409C-BE32-E72D297353CC}">
                <c16:uniqueId val="{00000003-23E0-4C1D-BE41-E00D3DDE8669}"/>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'Billing Analysis'!$A$4:$A$8</c:f>
              <c:strCache>
                <c:ptCount val="5"/>
                <c:pt idx="0">
                  <c:v>Cardiology</c:v>
                </c:pt>
                <c:pt idx="1">
                  <c:v>General</c:v>
                </c:pt>
                <c:pt idx="2">
                  <c:v>Neurology</c:v>
                </c:pt>
                <c:pt idx="3">
                  <c:v>Orthopedics</c:v>
                </c:pt>
                <c:pt idx="4">
                  <c:v>Pediatrics</c:v>
                </c:pt>
              </c:strCache>
            </c:strRef>
          </c:cat>
          <c:val>
            <c:numRef>
              <c:f>'Billing Analysis'!$B$4:$B$8</c:f>
              <c:numCache>
                <c:formatCode>0.00%</c:formatCode>
                <c:ptCount val="5"/>
                <c:pt idx="0">
                  <c:v>0.1811510397284895</c:v>
                </c:pt>
                <c:pt idx="1">
                  <c:v>0.19774040680353253</c:v>
                </c:pt>
                <c:pt idx="2">
                  <c:v>0.19696654126749075</c:v>
                </c:pt>
                <c:pt idx="3">
                  <c:v>0.19508386723905521</c:v>
                </c:pt>
                <c:pt idx="4">
                  <c:v>0.22905814496143198</c:v>
                </c:pt>
              </c:numCache>
            </c:numRef>
          </c:val>
          <c:extLst>
            <c:ext xmlns:c16="http://schemas.microsoft.com/office/drawing/2014/chart" uri="{C3380CC4-5D6E-409C-BE32-E72D297353CC}">
              <c16:uniqueId val="{00000004-23E0-4C1D-BE41-E00D3DDE8669}"/>
            </c:ext>
          </c:extLst>
        </c:ser>
        <c:dLbls>
          <c:showLegendKey val="0"/>
          <c:showVal val="0"/>
          <c:showCatName val="0"/>
          <c:showSerName val="0"/>
          <c:showPercent val="0"/>
          <c:showBubbleSize val="0"/>
        </c:dLbls>
        <c:gapWidth val="182"/>
        <c:axId val="1535407120"/>
        <c:axId val="1398115792"/>
      </c:barChart>
      <c:catAx>
        <c:axId val="153540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8115792"/>
        <c:crosses val="autoZero"/>
        <c:auto val="1"/>
        <c:lblAlgn val="ctr"/>
        <c:lblOffset val="100"/>
        <c:noMultiLvlLbl val="0"/>
      </c:catAx>
      <c:valAx>
        <c:axId val="1398115792"/>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3540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C0"/>
    </a:solidFill>
    <a:ln w="9525" cap="flat" cmpd="sng" algn="ctr">
      <a:solidFill>
        <a:srgbClr val="0070C0"/>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EXCEL.xlsx]Procedure Analysis!PivotTable6</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PROCEDURES BY REVENUE</a:t>
            </a:r>
          </a:p>
        </c:rich>
      </c:tx>
      <c:layout>
        <c:manualLayout>
          <c:xMode val="edge"/>
          <c:yMode val="edge"/>
          <c:x val="2.356233595800524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dLbl>
          <c:idx val="0"/>
          <c:layout>
            <c:manualLayout>
              <c:x val="9.987806211723535E-2"/>
              <c:y val="6.5914260717410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00B050"/>
          </a:solidFill>
          <a:ln w="19050">
            <a:solidFill>
              <a:schemeClr val="lt1"/>
            </a:solidFill>
          </a:ln>
          <a:effectLst/>
        </c:spPr>
      </c:pivotFmt>
      <c:pivotFmt>
        <c:idx val="9"/>
        <c:spPr>
          <a:solidFill>
            <a:srgbClr val="FF0000"/>
          </a:solidFill>
          <a:ln w="19050">
            <a:solidFill>
              <a:schemeClr val="lt1"/>
            </a:solidFill>
          </a:ln>
          <a:effectLst/>
        </c:spPr>
        <c:dLbl>
          <c:idx val="0"/>
          <c:layout>
            <c:manualLayout>
              <c:x val="9.987806211723535E-2"/>
              <c:y val="6.5914260717410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rgbClr val="00B050"/>
          </a:solidFill>
          <a:ln w="19050">
            <a:solidFill>
              <a:schemeClr val="lt1"/>
            </a:solidFill>
          </a:ln>
          <a:effectLst/>
        </c:spPr>
      </c:pivotFmt>
      <c:pivotFmt>
        <c:idx val="14"/>
        <c:spPr>
          <a:solidFill>
            <a:srgbClr val="FF0000"/>
          </a:solidFill>
          <a:ln w="19050">
            <a:solidFill>
              <a:schemeClr val="lt1"/>
            </a:solidFill>
          </a:ln>
          <a:effectLst/>
        </c:spPr>
        <c:dLbl>
          <c:idx val="0"/>
          <c:layout>
            <c:manualLayout>
              <c:x val="9.987806211723535E-2"/>
              <c:y val="6.591426071741032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'Procedure Analysis'!$B$3</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1-45B5-4D7E-802F-4178A76663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B5-4D7E-802F-4178A766636B}"/>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45B5-4D7E-802F-4178A766636B}"/>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45B5-4D7E-802F-4178A766636B}"/>
              </c:ext>
            </c:extLst>
          </c:dPt>
          <c:dLbls>
            <c:dLbl>
              <c:idx val="3"/>
              <c:layout>
                <c:manualLayout>
                  <c:x val="9.987806211723535E-2"/>
                  <c:y val="6.59142607174103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B5-4D7E-802F-4178A766636B}"/>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'Procedure Analysis'!$A$4:$A$7</c:f>
              <c:strCache>
                <c:ptCount val="4"/>
                <c:pt idx="0">
                  <c:v>Diagnostics</c:v>
                </c:pt>
                <c:pt idx="1">
                  <c:v>Medication</c:v>
                </c:pt>
                <c:pt idx="2">
                  <c:v>Surgery</c:v>
                </c:pt>
                <c:pt idx="3">
                  <c:v>Therapy</c:v>
                </c:pt>
              </c:strCache>
            </c:strRef>
          </c:cat>
          <c:val>
            <c:numRef>
              <c:f>'Procedure Analysis'!$B$4:$B$7</c:f>
              <c:numCache>
                <c:formatCode>0.00%</c:formatCode>
                <c:ptCount val="4"/>
                <c:pt idx="0">
                  <c:v>0.24226828478217133</c:v>
                </c:pt>
                <c:pt idx="1">
                  <c:v>0.25282387411356794</c:v>
                </c:pt>
                <c:pt idx="2">
                  <c:v>0.27836307995197046</c:v>
                </c:pt>
                <c:pt idx="3">
                  <c:v>0.22654476115229025</c:v>
                </c:pt>
              </c:numCache>
            </c:numRef>
          </c:val>
          <c:extLst>
            <c:ext xmlns:c16="http://schemas.microsoft.com/office/drawing/2014/chart" uri="{C3380CC4-5D6E-409C-BE32-E72D297353CC}">
              <c16:uniqueId val="{00000008-45B5-4D7E-802F-4178A766636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5311070921788481"/>
          <c:y val="2.895713035870516E-2"/>
          <c:w val="0.15979658792650919"/>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70C0"/>
    </a:solidFill>
    <a:ln w="9525" cap="flat" cmpd="sng" algn="ctr">
      <a:solidFill>
        <a:srgbClr val="0070C0"/>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EXCEL.xlsx]Demographics!PivotTable1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layout>
        <c:manualLayout>
          <c:xMode val="edge"/>
          <c:yMode val="edge"/>
          <c:x val="1.585411198600175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s>
    <c:plotArea>
      <c:layout/>
      <c:barChart>
        <c:barDir val="bar"/>
        <c:grouping val="clustered"/>
        <c:varyColors val="0"/>
        <c:ser>
          <c:idx val="0"/>
          <c:order val="0"/>
          <c:tx>
            <c:strRef>
              <c:f>Demographics!$B$3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0977-4972-89F8-68C1FB9958DF}"/>
              </c:ext>
            </c:extLst>
          </c:dPt>
          <c:dPt>
            <c:idx val="1"/>
            <c:invertIfNegative val="0"/>
            <c:bubble3D val="0"/>
            <c:spPr>
              <a:solidFill>
                <a:srgbClr val="00B050"/>
              </a:solidFill>
              <a:ln>
                <a:noFill/>
              </a:ln>
              <a:effectLst/>
            </c:spPr>
            <c:extLst>
              <c:ext xmlns:c16="http://schemas.microsoft.com/office/drawing/2014/chart" uri="{C3380CC4-5D6E-409C-BE32-E72D297353CC}">
                <c16:uniqueId val="{00000003-0977-4972-89F8-68C1FB9958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Demographics!$A$4:$A$5</c:f>
              <c:strCache>
                <c:ptCount val="2"/>
                <c:pt idx="0">
                  <c:v>Female</c:v>
                </c:pt>
                <c:pt idx="1">
                  <c:v>Male</c:v>
                </c:pt>
              </c:strCache>
            </c:strRef>
          </c:cat>
          <c:val>
            <c:numRef>
              <c:f>Demographics!$B$4:$B$5</c:f>
              <c:numCache>
                <c:formatCode>0.00%</c:formatCode>
                <c:ptCount val="2"/>
                <c:pt idx="0">
                  <c:v>0.46666666666666667</c:v>
                </c:pt>
                <c:pt idx="1">
                  <c:v>0.53333333333333333</c:v>
                </c:pt>
              </c:numCache>
            </c:numRef>
          </c:val>
          <c:extLst>
            <c:ext xmlns:c16="http://schemas.microsoft.com/office/drawing/2014/chart" uri="{C3380CC4-5D6E-409C-BE32-E72D297353CC}">
              <c16:uniqueId val="{00000005-2162-4BA2-B193-5BB1799888E1}"/>
            </c:ext>
          </c:extLst>
        </c:ser>
        <c:dLbls>
          <c:showLegendKey val="0"/>
          <c:showVal val="0"/>
          <c:showCatName val="0"/>
          <c:showSerName val="0"/>
          <c:showPercent val="0"/>
          <c:showBubbleSize val="0"/>
        </c:dLbls>
        <c:gapWidth val="182"/>
        <c:axId val="1245990992"/>
        <c:axId val="1403483936"/>
      </c:barChart>
      <c:catAx>
        <c:axId val="124599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483936"/>
        <c:crosses val="autoZero"/>
        <c:auto val="1"/>
        <c:lblAlgn val="ctr"/>
        <c:lblOffset val="100"/>
        <c:noMultiLvlLbl val="0"/>
      </c:catAx>
      <c:valAx>
        <c:axId val="1403483936"/>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99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EXCEL.xlsx]Department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r>
              <a:rPr lang="en-US" baseline="0"/>
              <a:t> PER DEPARTMENT</a:t>
            </a:r>
            <a:endParaRPr lang="en-US"/>
          </a:p>
        </c:rich>
      </c:tx>
      <c:layout>
        <c:manualLayout>
          <c:xMode val="edge"/>
          <c:yMode val="edge"/>
          <c:x val="1.8152668416447942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noFill/>
          </a:ln>
          <a:effectLst/>
        </c:spPr>
      </c:pivotFmt>
    </c:pivotFmts>
    <c:plotArea>
      <c:layout/>
      <c:barChart>
        <c:barDir val="col"/>
        <c:grouping val="clustered"/>
        <c:varyColors val="0"/>
        <c:ser>
          <c:idx val="0"/>
          <c:order val="0"/>
          <c:tx>
            <c:strRef>
              <c:f>'Department Analysis'!$B$3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2B6D-40F3-816A-DED277E6C762}"/>
              </c:ext>
            </c:extLst>
          </c:dPt>
          <c:dPt>
            <c:idx val="4"/>
            <c:invertIfNegative val="0"/>
            <c:bubble3D val="0"/>
            <c:spPr>
              <a:solidFill>
                <a:srgbClr val="00B050"/>
              </a:solidFill>
              <a:ln>
                <a:noFill/>
              </a:ln>
              <a:effectLst/>
            </c:spPr>
            <c:extLst>
              <c:ext xmlns:c16="http://schemas.microsoft.com/office/drawing/2014/chart" uri="{C3380CC4-5D6E-409C-BE32-E72D297353CC}">
                <c16:uniqueId val="{00000001-2B6D-40F3-816A-DED277E6C7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'Department Analysis'!$A$4:$A$8</c:f>
              <c:strCache>
                <c:ptCount val="5"/>
                <c:pt idx="0">
                  <c:v>Cardiology</c:v>
                </c:pt>
                <c:pt idx="1">
                  <c:v>General</c:v>
                </c:pt>
                <c:pt idx="2">
                  <c:v>Neurology</c:v>
                </c:pt>
                <c:pt idx="3">
                  <c:v>Orthopedics</c:v>
                </c:pt>
                <c:pt idx="4">
                  <c:v>Pediatrics</c:v>
                </c:pt>
              </c:strCache>
            </c:strRef>
          </c:cat>
          <c:val>
            <c:numRef>
              <c:f>'Department Analysis'!$B$4:$B$8</c:f>
              <c:numCache>
                <c:formatCode>0.00%</c:formatCode>
                <c:ptCount val="5"/>
                <c:pt idx="0">
                  <c:v>0.18099999999999999</c:v>
                </c:pt>
                <c:pt idx="1">
                  <c:v>0.20699999999999999</c:v>
                </c:pt>
                <c:pt idx="2">
                  <c:v>0.19800000000000001</c:v>
                </c:pt>
                <c:pt idx="3">
                  <c:v>0.188</c:v>
                </c:pt>
                <c:pt idx="4">
                  <c:v>0.22600000000000001</c:v>
                </c:pt>
              </c:numCache>
            </c:numRef>
          </c:val>
          <c:extLst>
            <c:ext xmlns:c16="http://schemas.microsoft.com/office/drawing/2014/chart" uri="{C3380CC4-5D6E-409C-BE32-E72D297353CC}">
              <c16:uniqueId val="{00000000-2B6D-40F3-816A-DED277E6C762}"/>
            </c:ext>
          </c:extLst>
        </c:ser>
        <c:dLbls>
          <c:showLegendKey val="0"/>
          <c:showVal val="0"/>
          <c:showCatName val="0"/>
          <c:showSerName val="0"/>
          <c:showPercent val="0"/>
          <c:showBubbleSize val="0"/>
        </c:dLbls>
        <c:gapWidth val="219"/>
        <c:overlap val="-27"/>
        <c:axId val="1250800128"/>
        <c:axId val="1466421856"/>
      </c:barChart>
      <c:catAx>
        <c:axId val="125080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421856"/>
        <c:crosses val="autoZero"/>
        <c:auto val="1"/>
        <c:lblAlgn val="ctr"/>
        <c:lblOffset val="100"/>
        <c:noMultiLvlLbl val="0"/>
      </c:catAx>
      <c:valAx>
        <c:axId val="1466421856"/>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80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EXCEL.xlsx]Length of Stay!PivotTable3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STAY BY DEPARTMENT</a:t>
            </a:r>
          </a:p>
        </c:rich>
      </c:tx>
      <c:layout>
        <c:manualLayout>
          <c:xMode val="edge"/>
          <c:yMode val="edge"/>
          <c:x val="2.815966754155729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00B050"/>
          </a:solidFill>
          <a:ln>
            <a:noFill/>
          </a:ln>
          <a:effectLst/>
        </c:spPr>
      </c:pivotFmt>
    </c:pivotFmts>
    <c:plotArea>
      <c:layout>
        <c:manualLayout>
          <c:layoutTarget val="inner"/>
          <c:xMode val="edge"/>
          <c:yMode val="edge"/>
          <c:x val="0.13431714785651794"/>
          <c:y val="0.17171296296296298"/>
          <c:w val="0.65510870516185482"/>
          <c:h val="0.72088764946048411"/>
        </c:manualLayout>
      </c:layout>
      <c:barChart>
        <c:barDir val="col"/>
        <c:grouping val="clustered"/>
        <c:varyColors val="0"/>
        <c:ser>
          <c:idx val="0"/>
          <c:order val="0"/>
          <c:tx>
            <c:strRef>
              <c:f>'Length of Stay'!$B$3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974A-4D4E-8032-D4B7F256668C}"/>
              </c:ext>
            </c:extLst>
          </c:dPt>
          <c:dPt>
            <c:idx val="2"/>
            <c:invertIfNegative val="0"/>
            <c:bubble3D val="0"/>
            <c:spPr>
              <a:solidFill>
                <a:srgbClr val="00B050"/>
              </a:solidFill>
              <a:ln>
                <a:noFill/>
              </a:ln>
              <a:effectLst/>
            </c:spPr>
            <c:extLst>
              <c:ext xmlns:c16="http://schemas.microsoft.com/office/drawing/2014/chart" uri="{C3380CC4-5D6E-409C-BE32-E72D297353CC}">
                <c16:uniqueId val="{00000002-974A-4D4E-8032-D4B7F25666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'Length of Stay'!$A$4:$A$8</c:f>
              <c:strCache>
                <c:ptCount val="5"/>
                <c:pt idx="0">
                  <c:v>Cardiology</c:v>
                </c:pt>
                <c:pt idx="1">
                  <c:v>General</c:v>
                </c:pt>
                <c:pt idx="2">
                  <c:v>Neurology</c:v>
                </c:pt>
                <c:pt idx="3">
                  <c:v>Orthopedics</c:v>
                </c:pt>
                <c:pt idx="4">
                  <c:v>Pediatrics</c:v>
                </c:pt>
              </c:strCache>
            </c:strRef>
          </c:cat>
          <c:val>
            <c:numRef>
              <c:f>'Length of Stay'!$B$4:$B$8</c:f>
              <c:numCache>
                <c:formatCode>0.00%</c:formatCode>
                <c:ptCount val="5"/>
                <c:pt idx="0">
                  <c:v>1.0693953503885332</c:v>
                </c:pt>
                <c:pt idx="1">
                  <c:v>0.97274550583677688</c:v>
                </c:pt>
                <c:pt idx="2">
                  <c:v>0.96423929903995309</c:v>
                </c:pt>
                <c:pt idx="3">
                  <c:v>1.0034867820721067</c:v>
                </c:pt>
                <c:pt idx="4">
                  <c:v>0.9978151576636991</c:v>
                </c:pt>
              </c:numCache>
            </c:numRef>
          </c:val>
          <c:extLst>
            <c:ext xmlns:c16="http://schemas.microsoft.com/office/drawing/2014/chart" uri="{C3380CC4-5D6E-409C-BE32-E72D297353CC}">
              <c16:uniqueId val="{00000000-974A-4D4E-8032-D4B7F256668C}"/>
            </c:ext>
          </c:extLst>
        </c:ser>
        <c:dLbls>
          <c:showLegendKey val="0"/>
          <c:showVal val="0"/>
          <c:showCatName val="0"/>
          <c:showSerName val="0"/>
          <c:showPercent val="0"/>
          <c:showBubbleSize val="0"/>
        </c:dLbls>
        <c:gapWidth val="219"/>
        <c:overlap val="-27"/>
        <c:axId val="1465742480"/>
        <c:axId val="1460891392"/>
      </c:barChart>
      <c:catAx>
        <c:axId val="146574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91392"/>
        <c:crosses val="autoZero"/>
        <c:auto val="1"/>
        <c:lblAlgn val="ctr"/>
        <c:lblOffset val="100"/>
        <c:noMultiLvlLbl val="0"/>
      </c:catAx>
      <c:valAx>
        <c:axId val="1460891392"/>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74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EXCEL.xlsx]Treatment Success!PivotTable4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SUCCESS</a:t>
            </a:r>
            <a:r>
              <a:rPr lang="en-US" baseline="0"/>
              <a:t> RATE BY DEPAETMENT</a:t>
            </a:r>
          </a:p>
        </c:rich>
      </c:tx>
      <c:layout>
        <c:manualLayout>
          <c:xMode val="edge"/>
          <c:yMode val="edge"/>
          <c:x val="3.08611111111111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FFFF00"/>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'Treatment Success'!$B$3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4-B5EC-4067-B51D-E49C9D388C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E1-4375-8ED5-BE7BDA1F799E}"/>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B5EC-4067-B51D-E49C9D388C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8E1-4375-8ED5-BE7BDA1F799E}"/>
              </c:ext>
            </c:extLst>
          </c:dPt>
          <c:dPt>
            <c:idx val="4"/>
            <c:bubble3D val="0"/>
            <c:spPr>
              <a:solidFill>
                <a:srgbClr val="00B050"/>
              </a:solidFill>
              <a:ln w="19050">
                <a:solidFill>
                  <a:schemeClr val="lt1"/>
                </a:solidFill>
              </a:ln>
              <a:effectLst/>
            </c:spPr>
            <c:extLst>
              <c:ext xmlns:c16="http://schemas.microsoft.com/office/drawing/2014/chart" uri="{C3380CC4-5D6E-409C-BE32-E72D297353CC}">
                <c16:uniqueId val="{00000003-B5EC-4067-B51D-E49C9D388C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'Treatment Success'!$A$4:$A$8</c:f>
              <c:strCache>
                <c:ptCount val="5"/>
                <c:pt idx="0">
                  <c:v>Cardiology</c:v>
                </c:pt>
                <c:pt idx="1">
                  <c:v>General</c:v>
                </c:pt>
                <c:pt idx="2">
                  <c:v>Neurology</c:v>
                </c:pt>
                <c:pt idx="3">
                  <c:v>Orthopedics</c:v>
                </c:pt>
                <c:pt idx="4">
                  <c:v>Pediatrics</c:v>
                </c:pt>
              </c:strCache>
            </c:strRef>
          </c:cat>
          <c:val>
            <c:numRef>
              <c:f>'Treatment Success'!$B$4:$B$8</c:f>
              <c:numCache>
                <c:formatCode>0.00%</c:formatCode>
                <c:ptCount val="5"/>
                <c:pt idx="0">
                  <c:v>0.17313019390581719</c:v>
                </c:pt>
                <c:pt idx="1">
                  <c:v>0.21329639889196675</c:v>
                </c:pt>
                <c:pt idx="2">
                  <c:v>0.19806094182825484</c:v>
                </c:pt>
                <c:pt idx="3">
                  <c:v>0.17867036011080331</c:v>
                </c:pt>
                <c:pt idx="4">
                  <c:v>0.23684210526315788</c:v>
                </c:pt>
              </c:numCache>
            </c:numRef>
          </c:val>
          <c:extLst>
            <c:ext xmlns:c16="http://schemas.microsoft.com/office/drawing/2014/chart" uri="{C3380CC4-5D6E-409C-BE32-E72D297353CC}">
              <c16:uniqueId val="{00000000-B5EC-4067-B51D-E49C9D388C5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609251968503948"/>
          <c:y val="4.5635024788568068E-2"/>
          <c:w val="0.16890748031496064"/>
          <c:h val="0.390627734033245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EXCEL.xlsx]Billing Analysis!PivotTable5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PER DEPARTMENT</a:t>
            </a:r>
          </a:p>
        </c:rich>
      </c:tx>
      <c:layout>
        <c:manualLayout>
          <c:xMode val="edge"/>
          <c:yMode val="edge"/>
          <c:x val="4.061789151356080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FF0000"/>
          </a:solidFill>
          <a:ln>
            <a:solidFill>
              <a:srgbClr val="FF0000"/>
            </a:solidFill>
          </a:ln>
          <a:effectLst/>
        </c:spPr>
      </c:pivotFmt>
    </c:pivotFmts>
    <c:plotArea>
      <c:layout/>
      <c:barChart>
        <c:barDir val="bar"/>
        <c:grouping val="clustered"/>
        <c:varyColors val="0"/>
        <c:ser>
          <c:idx val="0"/>
          <c:order val="0"/>
          <c:tx>
            <c:strRef>
              <c:f>'Billing Analysis'!$B$3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solidFill>
                  <a:srgbClr val="FF0000"/>
                </a:solidFill>
              </a:ln>
              <a:effectLst/>
            </c:spPr>
            <c:extLst>
              <c:ext xmlns:c16="http://schemas.microsoft.com/office/drawing/2014/chart" uri="{C3380CC4-5D6E-409C-BE32-E72D297353CC}">
                <c16:uniqueId val="{00000002-0EDB-40C7-A54F-E16C20ED062F}"/>
              </c:ext>
            </c:extLst>
          </c:dPt>
          <c:dPt>
            <c:idx val="4"/>
            <c:invertIfNegative val="0"/>
            <c:bubble3D val="0"/>
            <c:spPr>
              <a:solidFill>
                <a:srgbClr val="00B050"/>
              </a:solidFill>
              <a:ln>
                <a:noFill/>
              </a:ln>
              <a:effectLst/>
            </c:spPr>
            <c:extLst>
              <c:ext xmlns:c16="http://schemas.microsoft.com/office/drawing/2014/chart" uri="{C3380CC4-5D6E-409C-BE32-E72D297353CC}">
                <c16:uniqueId val="{00000001-0EDB-40C7-A54F-E16C20ED06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'Billing Analysis'!$A$4:$A$8</c:f>
              <c:strCache>
                <c:ptCount val="5"/>
                <c:pt idx="0">
                  <c:v>Cardiology</c:v>
                </c:pt>
                <c:pt idx="1">
                  <c:v>General</c:v>
                </c:pt>
                <c:pt idx="2">
                  <c:v>Neurology</c:v>
                </c:pt>
                <c:pt idx="3">
                  <c:v>Orthopedics</c:v>
                </c:pt>
                <c:pt idx="4">
                  <c:v>Pediatrics</c:v>
                </c:pt>
              </c:strCache>
            </c:strRef>
          </c:cat>
          <c:val>
            <c:numRef>
              <c:f>'Billing Analysis'!$B$4:$B$8</c:f>
              <c:numCache>
                <c:formatCode>0.00%</c:formatCode>
                <c:ptCount val="5"/>
                <c:pt idx="0">
                  <c:v>0.1811510397284895</c:v>
                </c:pt>
                <c:pt idx="1">
                  <c:v>0.19774040680353253</c:v>
                </c:pt>
                <c:pt idx="2">
                  <c:v>0.19696654126749075</c:v>
                </c:pt>
                <c:pt idx="3">
                  <c:v>0.19508386723905521</c:v>
                </c:pt>
                <c:pt idx="4">
                  <c:v>0.22905814496143198</c:v>
                </c:pt>
              </c:numCache>
            </c:numRef>
          </c:val>
          <c:extLst>
            <c:ext xmlns:c16="http://schemas.microsoft.com/office/drawing/2014/chart" uri="{C3380CC4-5D6E-409C-BE32-E72D297353CC}">
              <c16:uniqueId val="{00000000-0EDB-40C7-A54F-E16C20ED062F}"/>
            </c:ext>
          </c:extLst>
        </c:ser>
        <c:dLbls>
          <c:showLegendKey val="0"/>
          <c:showVal val="0"/>
          <c:showCatName val="0"/>
          <c:showSerName val="0"/>
          <c:showPercent val="0"/>
          <c:showBubbleSize val="0"/>
        </c:dLbls>
        <c:gapWidth val="182"/>
        <c:axId val="1535407120"/>
        <c:axId val="1398115792"/>
      </c:barChart>
      <c:catAx>
        <c:axId val="1535407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115792"/>
        <c:crosses val="autoZero"/>
        <c:auto val="1"/>
        <c:lblAlgn val="ctr"/>
        <c:lblOffset val="100"/>
        <c:noMultiLvlLbl val="0"/>
      </c:catAx>
      <c:valAx>
        <c:axId val="1398115792"/>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40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DATA ANALYSED BY USING EXCEL.xlsx]Procedure 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PROCEDURES</a:t>
            </a:r>
            <a:r>
              <a:rPr lang="en-US" baseline="0"/>
              <a:t> BY REVENUE</a:t>
            </a:r>
          </a:p>
        </c:rich>
      </c:tx>
      <c:layout>
        <c:manualLayout>
          <c:xMode val="edge"/>
          <c:yMode val="edge"/>
          <c:x val="2.356233595800524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dLbl>
          <c:idx val="0"/>
          <c:layout>
            <c:manualLayout>
              <c:x val="9.987806211723535E-2"/>
              <c:y val="6.59142607174103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'Procedure Analysis'!$B$3</c:f>
              <c:strCache>
                <c:ptCount val="1"/>
                <c:pt idx="0">
                  <c:v>Total</c:v>
                </c:pt>
              </c:strCache>
            </c:strRef>
          </c:tx>
          <c:dPt>
            <c:idx val="0"/>
            <c:bubble3D val="0"/>
            <c:spPr>
              <a:solidFill>
                <a:srgbClr val="FFFF00"/>
              </a:solidFill>
              <a:ln w="19050">
                <a:solidFill>
                  <a:schemeClr val="lt1"/>
                </a:solidFill>
              </a:ln>
              <a:effectLst/>
            </c:spPr>
            <c:extLst>
              <c:ext xmlns:c16="http://schemas.microsoft.com/office/drawing/2014/chart" uri="{C3380CC4-5D6E-409C-BE32-E72D297353CC}">
                <c16:uniqueId val="{00000004-F431-427E-A790-B5CF00D4BC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D4-47DB-B766-1C35B78CE5FB}"/>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1-F431-427E-A790-B5CF00D4BC4B}"/>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2-F431-427E-A790-B5CF00D4BC4B}"/>
              </c:ext>
            </c:extLst>
          </c:dPt>
          <c:dLbls>
            <c:dLbl>
              <c:idx val="3"/>
              <c:layout>
                <c:manualLayout>
                  <c:x val="9.987806211723535E-2"/>
                  <c:y val="6.59142607174103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31-427E-A790-B5CF00D4BC4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'Procedure Analysis'!$A$4:$A$7</c:f>
              <c:strCache>
                <c:ptCount val="4"/>
                <c:pt idx="0">
                  <c:v>Diagnostics</c:v>
                </c:pt>
                <c:pt idx="1">
                  <c:v>Medication</c:v>
                </c:pt>
                <c:pt idx="2">
                  <c:v>Surgery</c:v>
                </c:pt>
                <c:pt idx="3">
                  <c:v>Therapy</c:v>
                </c:pt>
              </c:strCache>
            </c:strRef>
          </c:cat>
          <c:val>
            <c:numRef>
              <c:f>'Procedure Analysis'!$B$4:$B$7</c:f>
              <c:numCache>
                <c:formatCode>0.00%</c:formatCode>
                <c:ptCount val="4"/>
                <c:pt idx="0">
                  <c:v>0.24226828478217133</c:v>
                </c:pt>
                <c:pt idx="1">
                  <c:v>0.25282387411356794</c:v>
                </c:pt>
                <c:pt idx="2">
                  <c:v>0.27836307995197046</c:v>
                </c:pt>
                <c:pt idx="3">
                  <c:v>0.22654476115229025</c:v>
                </c:pt>
              </c:numCache>
            </c:numRef>
          </c:val>
          <c:extLst>
            <c:ext xmlns:c16="http://schemas.microsoft.com/office/drawing/2014/chart" uri="{C3380CC4-5D6E-409C-BE32-E72D297353CC}">
              <c16:uniqueId val="{00000000-F431-427E-A790-B5CF00D4BC4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0964785651793514"/>
          <c:y val="2.4512613006707495E-2"/>
          <c:w val="0.15979658792650919"/>
          <c:h val="0.31250218722659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0</xdr:colOff>
      <xdr:row>2</xdr:row>
      <xdr:rowOff>6350</xdr:rowOff>
    </xdr:from>
    <xdr:to>
      <xdr:col>12</xdr:col>
      <xdr:colOff>304800</xdr:colOff>
      <xdr:row>16</xdr:row>
      <xdr:rowOff>171450</xdr:rowOff>
    </xdr:to>
    <xdr:graphicFrame macro="">
      <xdr:nvGraphicFramePr>
        <xdr:cNvPr id="2" name="Chart 1">
          <a:extLst>
            <a:ext uri="{FF2B5EF4-FFF2-40B4-BE49-F238E27FC236}">
              <a16:creationId xmlns:a16="http://schemas.microsoft.com/office/drawing/2014/main" id="{9BC17345-BAFB-45C8-8129-9650EA521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302079</xdr:colOff>
      <xdr:row>2</xdr:row>
      <xdr:rowOff>6350</xdr:rowOff>
    </xdr:from>
    <xdr:to>
      <xdr:col>20</xdr:col>
      <xdr:colOff>587375</xdr:colOff>
      <xdr:row>16</xdr:row>
      <xdr:rowOff>171450</xdr:rowOff>
    </xdr:to>
    <xdr:graphicFrame macro="">
      <xdr:nvGraphicFramePr>
        <xdr:cNvPr id="3" name="Chart 2">
          <a:extLst>
            <a:ext uri="{FF2B5EF4-FFF2-40B4-BE49-F238E27FC236}">
              <a16:creationId xmlns:a16="http://schemas.microsoft.com/office/drawing/2014/main" id="{30EB8677-D353-4ADB-AA25-7355F76D1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596445</xdr:colOff>
      <xdr:row>2</xdr:row>
      <xdr:rowOff>18143</xdr:rowOff>
    </xdr:from>
    <xdr:to>
      <xdr:col>26</xdr:col>
      <xdr:colOff>571500</xdr:colOff>
      <xdr:row>16</xdr:row>
      <xdr:rowOff>154214</xdr:rowOff>
    </xdr:to>
    <xdr:graphicFrame macro="">
      <xdr:nvGraphicFramePr>
        <xdr:cNvPr id="4" name="Chart 3">
          <a:extLst>
            <a:ext uri="{FF2B5EF4-FFF2-40B4-BE49-F238E27FC236}">
              <a16:creationId xmlns:a16="http://schemas.microsoft.com/office/drawing/2014/main" id="{2C4C6988-AA61-4282-B628-FCCFEB457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299357</xdr:colOff>
      <xdr:row>17</xdr:row>
      <xdr:rowOff>0</xdr:rowOff>
    </xdr:from>
    <xdr:to>
      <xdr:col>20</xdr:col>
      <xdr:colOff>603250</xdr:colOff>
      <xdr:row>32</xdr:row>
      <xdr:rowOff>0</xdr:rowOff>
    </xdr:to>
    <xdr:graphicFrame macro="">
      <xdr:nvGraphicFramePr>
        <xdr:cNvPr id="5" name="Chart 4">
          <a:extLst>
            <a:ext uri="{FF2B5EF4-FFF2-40B4-BE49-F238E27FC236}">
              <a16:creationId xmlns:a16="http://schemas.microsoft.com/office/drawing/2014/main" id="{65477324-86D5-4E24-9890-FCEF140BC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xdr:colOff>
      <xdr:row>16</xdr:row>
      <xdr:rowOff>172356</xdr:rowOff>
    </xdr:from>
    <xdr:to>
      <xdr:col>12</xdr:col>
      <xdr:colOff>317501</xdr:colOff>
      <xdr:row>32</xdr:row>
      <xdr:rowOff>0</xdr:rowOff>
    </xdr:to>
    <xdr:graphicFrame macro="">
      <xdr:nvGraphicFramePr>
        <xdr:cNvPr id="6" name="Chart 5">
          <a:extLst>
            <a:ext uri="{FF2B5EF4-FFF2-40B4-BE49-F238E27FC236}">
              <a16:creationId xmlns:a16="http://schemas.microsoft.com/office/drawing/2014/main" id="{1DF94BC3-465A-4E54-AA4D-5D02147E7F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619125</xdr:colOff>
      <xdr:row>17</xdr:row>
      <xdr:rowOff>0</xdr:rowOff>
    </xdr:from>
    <xdr:to>
      <xdr:col>26</xdr:col>
      <xdr:colOff>571500</xdr:colOff>
      <xdr:row>32</xdr:row>
      <xdr:rowOff>0</xdr:rowOff>
    </xdr:to>
    <xdr:graphicFrame macro="">
      <xdr:nvGraphicFramePr>
        <xdr:cNvPr id="7" name="Chart 6">
          <a:extLst>
            <a:ext uri="{FF2B5EF4-FFF2-40B4-BE49-F238E27FC236}">
              <a16:creationId xmlns:a16="http://schemas.microsoft.com/office/drawing/2014/main" id="{088A57D7-44E5-4DEC-951E-3ADB972F5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11546</xdr:colOff>
      <xdr:row>12</xdr:row>
      <xdr:rowOff>80819</xdr:rowOff>
    </xdr:from>
    <xdr:to>
      <xdr:col>4</xdr:col>
      <xdr:colOff>16988</xdr:colOff>
      <xdr:row>26</xdr:row>
      <xdr:rowOff>57727</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D9D5782C-5BEF-4E45-88B4-10E51DB34D5F}"/>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205182" y="2540001"/>
              <a:ext cx="1841170" cy="25630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46182</xdr:colOff>
      <xdr:row>22</xdr:row>
      <xdr:rowOff>161636</xdr:rowOff>
    </xdr:from>
    <xdr:to>
      <xdr:col>4</xdr:col>
      <xdr:colOff>23090</xdr:colOff>
      <xdr:row>28</xdr:row>
      <xdr:rowOff>80818</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F468E02-3F3F-4B20-81BD-B9C16F2D23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39818" y="4468091"/>
              <a:ext cx="1812636" cy="1027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23091</xdr:colOff>
      <xdr:row>2</xdr:row>
      <xdr:rowOff>22927</xdr:rowOff>
    </xdr:from>
    <xdr:to>
      <xdr:col>4</xdr:col>
      <xdr:colOff>28533</xdr:colOff>
      <xdr:row>12</xdr:row>
      <xdr:rowOff>69273</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982E57F2-68A4-4A07-A4AE-58ED5676069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16727" y="634836"/>
              <a:ext cx="1841170" cy="2763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11546</xdr:colOff>
      <xdr:row>28</xdr:row>
      <xdr:rowOff>78347</xdr:rowOff>
    </xdr:from>
    <xdr:to>
      <xdr:col>4</xdr:col>
      <xdr:colOff>16988</xdr:colOff>
      <xdr:row>43</xdr:row>
      <xdr:rowOff>173182</xdr:rowOff>
    </xdr:to>
    <mc:AlternateContent xmlns:mc="http://schemas.openxmlformats.org/markup-compatibility/2006" xmlns:a14="http://schemas.microsoft.com/office/drawing/2010/main">
      <mc:Choice Requires="a14">
        <xdr:graphicFrame macro="">
          <xdr:nvGraphicFramePr>
            <xdr:cNvPr id="11" name="Doctor_ID">
              <a:extLst>
                <a:ext uri="{FF2B5EF4-FFF2-40B4-BE49-F238E27FC236}">
                  <a16:creationId xmlns:a16="http://schemas.microsoft.com/office/drawing/2014/main" id="{B5AA540E-2DE3-4019-A1A3-D4A786409100}"/>
                </a:ext>
              </a:extLst>
            </xdr:cNvPr>
            <xdr:cNvGraphicFramePr/>
          </xdr:nvGraphicFramePr>
          <xdr:xfrm>
            <a:off x="0" y="0"/>
            <a:ext cx="0" cy="0"/>
          </xdr:xfrm>
          <a:graphic>
            <a:graphicData uri="http://schemas.microsoft.com/office/drawing/2010/slicer">
              <sle:slicer xmlns:sle="http://schemas.microsoft.com/office/drawing/2010/slicer" name="Doctor_ID"/>
            </a:graphicData>
          </a:graphic>
        </xdr:graphicFrame>
      </mc:Choice>
      <mc:Fallback xmlns="">
        <xdr:sp macro="" textlink="">
          <xdr:nvSpPr>
            <xdr:cNvPr id="0" name=""/>
            <xdr:cNvSpPr>
              <a:spLocks noTextEdit="1"/>
            </xdr:cNvSpPr>
          </xdr:nvSpPr>
          <xdr:spPr>
            <a:xfrm>
              <a:off x="2205182" y="5493165"/>
              <a:ext cx="1841170" cy="2992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46181</xdr:colOff>
      <xdr:row>32</xdr:row>
      <xdr:rowOff>184728</xdr:rowOff>
    </xdr:from>
    <xdr:to>
      <xdr:col>11</xdr:col>
      <xdr:colOff>588818</xdr:colOff>
      <xdr:row>45</xdr:row>
      <xdr:rowOff>134216</xdr:rowOff>
    </xdr:to>
    <mc:AlternateContent xmlns:mc="http://schemas.openxmlformats.org/markup-compatibility/2006" xmlns:a14="http://schemas.microsoft.com/office/drawing/2010/main">
      <mc:Choice Requires="a14">
        <xdr:graphicFrame macro="">
          <xdr:nvGraphicFramePr>
            <xdr:cNvPr id="12" name="Treatment_Success">
              <a:extLst>
                <a:ext uri="{FF2B5EF4-FFF2-40B4-BE49-F238E27FC236}">
                  <a16:creationId xmlns:a16="http://schemas.microsoft.com/office/drawing/2014/main" id="{2400638C-A80A-4A23-9105-1D9E2F3A9001}"/>
                </a:ext>
              </a:extLst>
            </xdr:cNvPr>
            <xdr:cNvGraphicFramePr/>
          </xdr:nvGraphicFramePr>
          <xdr:xfrm>
            <a:off x="0" y="0"/>
            <a:ext cx="0" cy="0"/>
          </xdr:xfrm>
          <a:graphic>
            <a:graphicData uri="http://schemas.microsoft.com/office/drawing/2010/slicer">
              <sle:slicer xmlns:sle="http://schemas.microsoft.com/office/drawing/2010/slicer" name="Treatment_Success"/>
            </a:graphicData>
          </a:graphic>
        </xdr:graphicFrame>
      </mc:Choice>
      <mc:Fallback xmlns="">
        <xdr:sp macro="" textlink="">
          <xdr:nvSpPr>
            <xdr:cNvPr id="0" name=""/>
            <xdr:cNvSpPr>
              <a:spLocks noTextEdit="1"/>
            </xdr:cNvSpPr>
          </xdr:nvSpPr>
          <xdr:spPr>
            <a:xfrm>
              <a:off x="3960091" y="6269181"/>
              <a:ext cx="2205265" cy="2547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57100</xdr:colOff>
      <xdr:row>1</xdr:row>
      <xdr:rowOff>31760</xdr:rowOff>
    </xdr:from>
    <xdr:to>
      <xdr:col>6</xdr:col>
      <xdr:colOff>57460</xdr:colOff>
      <xdr:row>1</xdr:row>
      <xdr:rowOff>32120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DCBF405-F8E4-4036-8F6D-FA5512BA0736}"/>
                </a:ext>
              </a:extLst>
            </xdr14:cNvPr>
            <xdr14:cNvContentPartPr/>
          </xdr14:nvContentPartPr>
          <xdr14:nvPr macro=""/>
          <xdr14:xfrm>
            <a:off x="3549600" y="615960"/>
            <a:ext cx="360" cy="360"/>
          </xdr14:xfrm>
        </xdr:contentPart>
      </mc:Choice>
      <mc:Fallback xmlns="">
        <xdr:pic>
          <xdr:nvPicPr>
            <xdr:cNvPr id="2" name="Ink 1">
              <a:extLst>
                <a:ext uri="{FF2B5EF4-FFF2-40B4-BE49-F238E27FC236}">
                  <a16:creationId xmlns:a16="http://schemas.microsoft.com/office/drawing/2014/main" id="{4DCBF405-F8E4-4036-8F6D-FA5512BA0736}"/>
                </a:ext>
              </a:extLst>
            </xdr:cNvPr>
            <xdr:cNvPicPr/>
          </xdr:nvPicPr>
          <xdr:blipFill>
            <a:blip xmlns:r="http://schemas.openxmlformats.org/officeDocument/2006/relationships" r:embed="rId2"/>
            <a:stretch>
              <a:fillRect/>
            </a:stretch>
          </xdr:blipFill>
          <xdr:spPr>
            <a:xfrm>
              <a:off x="3540600" y="606960"/>
              <a:ext cx="18000" cy="1800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6350</xdr:colOff>
      <xdr:row>2</xdr:row>
      <xdr:rowOff>12700</xdr:rowOff>
    </xdr:from>
    <xdr:to>
      <xdr:col>10</xdr:col>
      <xdr:colOff>311150</xdr:colOff>
      <xdr:row>16</xdr:row>
      <xdr:rowOff>177800</xdr:rowOff>
    </xdr:to>
    <xdr:graphicFrame macro="">
      <xdr:nvGraphicFramePr>
        <xdr:cNvPr id="2" name="Chart 1">
          <a:extLst>
            <a:ext uri="{FF2B5EF4-FFF2-40B4-BE49-F238E27FC236}">
              <a16:creationId xmlns:a16="http://schemas.microsoft.com/office/drawing/2014/main" id="{CEC177BB-B1DC-419B-905E-C13A80502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12700</xdr:colOff>
      <xdr:row>2</xdr:row>
      <xdr:rowOff>12700</xdr:rowOff>
    </xdr:from>
    <xdr:to>
      <xdr:col>10</xdr:col>
      <xdr:colOff>317500</xdr:colOff>
      <xdr:row>16</xdr:row>
      <xdr:rowOff>177800</xdr:rowOff>
    </xdr:to>
    <xdr:graphicFrame macro="">
      <xdr:nvGraphicFramePr>
        <xdr:cNvPr id="2" name="Chart 1">
          <a:extLst>
            <a:ext uri="{FF2B5EF4-FFF2-40B4-BE49-F238E27FC236}">
              <a16:creationId xmlns:a16="http://schemas.microsoft.com/office/drawing/2014/main" id="{66499869-0090-4F6D-AC25-133C8D0E7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6350</xdr:rowOff>
    </xdr:from>
    <xdr:to>
      <xdr:col>10</xdr:col>
      <xdr:colOff>304800</xdr:colOff>
      <xdr:row>16</xdr:row>
      <xdr:rowOff>171450</xdr:rowOff>
    </xdr:to>
    <xdr:graphicFrame macro="">
      <xdr:nvGraphicFramePr>
        <xdr:cNvPr id="3" name="Chart 2">
          <a:extLst>
            <a:ext uri="{FF2B5EF4-FFF2-40B4-BE49-F238E27FC236}">
              <a16:creationId xmlns:a16="http://schemas.microsoft.com/office/drawing/2014/main" id="{16CA808D-1270-450E-88FE-B180B8D3EE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12700</xdr:colOff>
      <xdr:row>2</xdr:row>
      <xdr:rowOff>6350</xdr:rowOff>
    </xdr:from>
    <xdr:to>
      <xdr:col>10</xdr:col>
      <xdr:colOff>317500</xdr:colOff>
      <xdr:row>16</xdr:row>
      <xdr:rowOff>171450</xdr:rowOff>
    </xdr:to>
    <xdr:graphicFrame macro="">
      <xdr:nvGraphicFramePr>
        <xdr:cNvPr id="2" name="Chart 1">
          <a:extLst>
            <a:ext uri="{FF2B5EF4-FFF2-40B4-BE49-F238E27FC236}">
              <a16:creationId xmlns:a16="http://schemas.microsoft.com/office/drawing/2014/main" id="{E6167553-1DB2-4969-9AB2-7322DA77D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1</xdr:row>
      <xdr:rowOff>171450</xdr:rowOff>
    </xdr:from>
    <xdr:to>
      <xdr:col>10</xdr:col>
      <xdr:colOff>304800</xdr:colOff>
      <xdr:row>16</xdr:row>
      <xdr:rowOff>152400</xdr:rowOff>
    </xdr:to>
    <xdr:graphicFrame macro="">
      <xdr:nvGraphicFramePr>
        <xdr:cNvPr id="3" name="Chart 2">
          <a:extLst>
            <a:ext uri="{FF2B5EF4-FFF2-40B4-BE49-F238E27FC236}">
              <a16:creationId xmlns:a16="http://schemas.microsoft.com/office/drawing/2014/main" id="{AD442387-A98D-4575-B8D2-5933381A8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12700</xdr:colOff>
      <xdr:row>1</xdr:row>
      <xdr:rowOff>177800</xdr:rowOff>
    </xdr:from>
    <xdr:to>
      <xdr:col>10</xdr:col>
      <xdr:colOff>317500</xdr:colOff>
      <xdr:row>16</xdr:row>
      <xdr:rowOff>158750</xdr:rowOff>
    </xdr:to>
    <xdr:graphicFrame macro="">
      <xdr:nvGraphicFramePr>
        <xdr:cNvPr id="4" name="Chart 3">
          <a:extLst>
            <a:ext uri="{FF2B5EF4-FFF2-40B4-BE49-F238E27FC236}">
              <a16:creationId xmlns:a16="http://schemas.microsoft.com/office/drawing/2014/main" id="{78BD7099-02D3-4A61-BF02-4492B09A4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1-02T09:08:15.655"/>
    </inkml:context>
    <inkml:brush xml:id="br0">
      <inkml:brushProperty name="width" value="0.05" units="cm"/>
      <inkml:brushProperty name="height" value="0.05" units="cm"/>
      <inkml:brushProperty name="ignorePressure" value="1"/>
    </inkml:brush>
  </inkml:definitions>
  <inkml:trace contextRef="#ctx0" brushRef="#br0">0 0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N DEN" refreshedDate="46024.520116435182" createdVersion="6" refreshedVersion="6" minRefreshableVersion="3" recordCount="1000" xr:uid="{48C1A2CF-98A8-44C2-9FFF-044D9DE26C10}">
  <cacheSource type="worksheet">
    <worksheetSource name="Table3"/>
  </cacheSource>
  <cacheFields count="14">
    <cacheField name="Patient_ID" numFmtId="0">
      <sharedItems count="1000">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 v="P0993"/>
        <s v="P0994"/>
        <s v="P0995"/>
        <s v="P0996"/>
        <s v="P0997"/>
        <s v="P0998"/>
        <s v="P0999"/>
        <s v="P1000"/>
      </sharedItems>
    </cacheField>
    <cacheField name="Age" numFmtId="0">
      <sharedItems containsSemiMixedTypes="0" containsString="0" containsNumber="1" containsInteger="1" minValue="1" maxValue="90" count="90">
        <n v="4"/>
        <n v="70"/>
        <n v="36"/>
        <n v="45"/>
        <n v="81"/>
        <n v="30"/>
        <n v="86"/>
        <n v="82"/>
        <n v="9"/>
        <n v="19"/>
        <n v="29"/>
        <n v="88"/>
        <n v="2"/>
        <n v="59"/>
        <n v="26"/>
        <n v="47"/>
        <n v="28"/>
        <n v="13"/>
        <n v="84"/>
        <n v="58"/>
        <n v="71"/>
        <n v="63"/>
        <n v="8"/>
        <n v="24"/>
        <n v="77"/>
        <n v="41"/>
        <n v="32"/>
        <n v="85"/>
        <n v="27"/>
        <n v="55"/>
        <n v="56"/>
        <n v="23"/>
        <n v="90"/>
        <n v="75"/>
        <n v="15"/>
        <n v="69"/>
        <n v="39"/>
        <n v="49"/>
        <n v="11"/>
        <n v="14"/>
        <n v="16"/>
        <n v="67"/>
        <n v="54"/>
        <n v="3"/>
        <n v="48"/>
        <n v="40"/>
        <n v="44"/>
        <n v="20"/>
        <n v="76"/>
        <n v="79"/>
        <n v="34"/>
        <n v="53"/>
        <n v="38"/>
        <n v="62"/>
        <n v="73"/>
        <n v="57"/>
        <n v="89"/>
        <n v="37"/>
        <n v="87"/>
        <n v="42"/>
        <n v="66"/>
        <n v="64"/>
        <n v="18"/>
        <n v="43"/>
        <n v="68"/>
        <n v="33"/>
        <n v="51"/>
        <n v="5"/>
        <n v="6"/>
        <n v="80"/>
        <n v="21"/>
        <n v="35"/>
        <n v="1"/>
        <n v="7"/>
        <n v="78"/>
        <n v="17"/>
        <n v="61"/>
        <n v="50"/>
        <n v="83"/>
        <n v="12"/>
        <n v="22"/>
        <n v="60"/>
        <n v="46"/>
        <n v="31"/>
        <n v="74"/>
        <n v="72"/>
        <n v="52"/>
        <n v="65"/>
        <n v="25"/>
        <n v="10"/>
      </sharedItems>
    </cacheField>
    <cacheField name="Age group" numFmtId="0">
      <sharedItems count="5">
        <s v="Child"/>
        <s v="Senior Citizen"/>
        <s v="Adult"/>
        <s v="Middle Age"/>
        <s v="Teenger"/>
      </sharedItems>
    </cacheField>
    <cacheField name="Gender" numFmtId="0">
      <sharedItems count="2">
        <s v="Female"/>
        <s v="Male"/>
      </sharedItems>
    </cacheField>
    <cacheField name="Department" numFmtId="0">
      <sharedItems count="5">
        <s v="Orthopedics"/>
        <s v="Cardiology"/>
        <s v="Pediatrics"/>
        <s v="General"/>
        <s v="Neurology"/>
      </sharedItems>
    </cacheField>
    <cacheField name="Doctor_ID" numFmtId="0">
      <sharedItems count="25">
        <s v="D08"/>
        <s v="D15"/>
        <s v="D25"/>
        <s v="D24"/>
        <s v="D07"/>
        <s v="D09"/>
        <s v="D20"/>
        <s v="D23"/>
        <s v="D16"/>
        <s v="D03"/>
        <s v="D17"/>
        <s v="D02"/>
        <s v="D22"/>
        <s v="D13"/>
        <s v="D19"/>
        <s v="D18"/>
        <s v="D12"/>
        <s v="D06"/>
        <s v="D21"/>
        <s v="D01"/>
        <s v="D10"/>
        <s v="D04"/>
        <s v="D14"/>
        <s v="D11"/>
        <s v="D05"/>
      </sharedItems>
    </cacheField>
    <cacheField name="Admission_Date" numFmtId="14">
      <sharedItems containsSemiMixedTypes="0" containsNonDate="0" containsDate="1" containsString="0" minDate="2024-01-01T00:00:00" maxDate="2024-12-31T00:00:00" count="339">
        <d v="2024-11-23T00:00:00"/>
        <d v="2024-08-04T00:00:00"/>
        <d v="2024-11-28T00:00:00"/>
        <d v="2024-02-19T00:00:00"/>
        <d v="2024-10-09T00:00:00"/>
        <d v="2024-02-10T00:00:00"/>
        <d v="2024-06-30T00:00:00"/>
        <d v="2024-07-13T00:00:00"/>
        <d v="2024-07-24T00:00:00"/>
        <d v="2024-11-25T00:00:00"/>
        <d v="2024-07-23T00:00:00"/>
        <d v="2024-11-17T00:00:00"/>
        <d v="2024-05-08T00:00:00"/>
        <d v="2024-08-10T00:00:00"/>
        <d v="2024-09-16T00:00:00"/>
        <d v="2024-01-10T00:00:00"/>
        <d v="2024-09-05T00:00:00"/>
        <d v="2024-11-06T00:00:00"/>
        <d v="2024-05-06T00:00:00"/>
        <d v="2024-02-06T00:00:00"/>
        <d v="2024-05-01T00:00:00"/>
        <d v="2024-07-27T00:00:00"/>
        <d v="2024-01-28T00:00:00"/>
        <d v="2024-04-07T00:00:00"/>
        <d v="2024-08-14T00:00:00"/>
        <d v="2024-03-26T00:00:00"/>
        <d v="2024-07-18T00:00:00"/>
        <d v="2024-05-31T00:00:00"/>
        <d v="2024-09-17T00:00:00"/>
        <d v="2024-12-08T00:00:00"/>
        <d v="2024-02-07T00:00:00"/>
        <d v="2024-02-05T00:00:00"/>
        <d v="2024-10-10T00:00:00"/>
        <d v="2024-05-24T00:00:00"/>
        <d v="2024-02-17T00:00:00"/>
        <d v="2024-12-15T00:00:00"/>
        <d v="2024-03-24T00:00:00"/>
        <d v="2024-03-22T00:00:00"/>
        <d v="2024-06-28T00:00:00"/>
        <d v="2024-05-13T00:00:00"/>
        <d v="2024-09-23T00:00:00"/>
        <d v="2024-03-04T00:00:00"/>
        <d v="2024-08-03T00:00:00"/>
        <d v="2024-05-26T00:00:00"/>
        <d v="2024-03-27T00:00:00"/>
        <d v="2024-06-07T00:00:00"/>
        <d v="2024-07-31T00:00:00"/>
        <d v="2024-12-18T00:00:00"/>
        <d v="2024-05-07T00:00:00"/>
        <d v="2024-09-15T00:00:00"/>
        <d v="2024-11-22T00:00:00"/>
        <d v="2024-05-19T00:00:00"/>
        <d v="2024-04-19T00:00:00"/>
        <d v="2024-10-15T00:00:00"/>
        <d v="2024-02-11T00:00:00"/>
        <d v="2024-04-12T00:00:00"/>
        <d v="2024-12-24T00:00:00"/>
        <d v="2024-10-23T00:00:00"/>
        <d v="2024-12-22T00:00:00"/>
        <d v="2024-08-23T00:00:00"/>
        <d v="2024-08-11T00:00:00"/>
        <d v="2024-08-25T00:00:00"/>
        <d v="2024-04-18T00:00:00"/>
        <d v="2024-05-03T00:00:00"/>
        <d v="2024-01-09T00:00:00"/>
        <d v="2024-09-04T00:00:00"/>
        <d v="2024-06-03T00:00:00"/>
        <d v="2024-09-08T00:00:00"/>
        <d v="2024-05-09T00:00:00"/>
        <d v="2024-03-17T00:00:00"/>
        <d v="2024-11-16T00:00:00"/>
        <d v="2024-07-28T00:00:00"/>
        <d v="2024-08-20T00:00:00"/>
        <d v="2024-04-25T00:00:00"/>
        <d v="2024-10-18T00:00:00"/>
        <d v="2024-10-03T00:00:00"/>
        <d v="2024-02-16T00:00:00"/>
        <d v="2024-11-29T00:00:00"/>
        <d v="2024-07-25T00:00:00"/>
        <d v="2024-07-04T00:00:00"/>
        <d v="2024-12-23T00:00:00"/>
        <d v="2024-12-27T00:00:00"/>
        <d v="2024-11-02T00:00:00"/>
        <d v="2024-07-29T00:00:00"/>
        <d v="2024-09-14T00:00:00"/>
        <d v="2024-03-14T00:00:00"/>
        <d v="2024-11-19T00:00:00"/>
        <d v="2024-12-21T00:00:00"/>
        <d v="2024-03-15T00:00:00"/>
        <d v="2024-11-08T00:00:00"/>
        <d v="2024-05-10T00:00:00"/>
        <d v="2024-06-25T00:00:00"/>
        <d v="2024-02-24T00:00:00"/>
        <d v="2024-01-05T00:00:00"/>
        <d v="2024-06-29T00:00:00"/>
        <d v="2024-08-13T00:00:00"/>
        <d v="2024-07-06T00:00:00"/>
        <d v="2024-12-10T00:00:00"/>
        <d v="2024-10-14T00:00:00"/>
        <d v="2024-03-12T00:00:00"/>
        <d v="2024-11-11T00:00:00"/>
        <d v="2024-02-20T00:00:00"/>
        <d v="2024-03-07T00:00:00"/>
        <d v="2024-02-28T00:00:00"/>
        <d v="2024-04-23T00:00:00"/>
        <d v="2024-08-06T00:00:00"/>
        <d v="2024-03-05T00:00:00"/>
        <d v="2024-11-05T00:00:00"/>
        <d v="2024-07-30T00:00:00"/>
        <d v="2024-12-06T00:00:00"/>
        <d v="2024-10-20T00:00:00"/>
        <d v="2024-12-25T00:00:00"/>
        <d v="2024-03-13T00:00:00"/>
        <d v="2024-03-21T00:00:00"/>
        <d v="2024-12-13T00:00:00"/>
        <d v="2024-03-02T00:00:00"/>
        <d v="2024-07-22T00:00:00"/>
        <d v="2024-07-26T00:00:00"/>
        <d v="2024-11-12T00:00:00"/>
        <d v="2024-02-09T00:00:00"/>
        <d v="2024-11-26T00:00:00"/>
        <d v="2024-03-19T00:00:00"/>
        <d v="2024-10-16T00:00:00"/>
        <d v="2024-01-20T00:00:00"/>
        <d v="2024-03-18T00:00:00"/>
        <d v="2024-12-28T00:00:00"/>
        <d v="2024-12-02T00:00:00"/>
        <d v="2024-12-01T00:00:00"/>
        <d v="2024-06-17T00:00:00"/>
        <d v="2024-04-02T00:00:00"/>
        <d v="2024-02-21T00:00:00"/>
        <d v="2024-02-12T00:00:00"/>
        <d v="2024-08-18T00:00:00"/>
        <d v="2024-04-20T00:00:00"/>
        <d v="2024-01-25T00:00:00"/>
        <d v="2024-01-23T00:00:00"/>
        <d v="2024-10-06T00:00:00"/>
        <d v="2024-08-22T00:00:00"/>
        <d v="2024-04-05T00:00:00"/>
        <d v="2024-08-08T00:00:00"/>
        <d v="2024-08-16T00:00:00"/>
        <d v="2024-07-15T00:00:00"/>
        <d v="2024-03-11T00:00:00"/>
        <d v="2024-11-09T00:00:00"/>
        <d v="2024-08-15T00:00:00"/>
        <d v="2024-12-30T00:00:00"/>
        <d v="2024-03-25T00:00:00"/>
        <d v="2024-11-21T00:00:00"/>
        <d v="2024-10-24T00:00:00"/>
        <d v="2024-10-22T00:00:00"/>
        <d v="2024-03-03T00:00:00"/>
        <d v="2024-08-02T00:00:00"/>
        <d v="2024-09-20T00:00:00"/>
        <d v="2024-07-10T00:00:00"/>
        <d v="2024-06-12T00:00:00"/>
        <d v="2024-12-14T00:00:00"/>
        <d v="2024-04-16T00:00:00"/>
        <d v="2024-06-24T00:00:00"/>
        <d v="2024-06-01T00:00:00"/>
        <d v="2024-10-13T00:00:00"/>
        <d v="2024-04-13T00:00:00"/>
        <d v="2024-10-27T00:00:00"/>
        <d v="2024-06-18T00:00:00"/>
        <d v="2024-08-31T00:00:00"/>
        <d v="2024-02-18T00:00:00"/>
        <d v="2024-07-03T00:00:00"/>
        <d v="2024-02-27T00:00:00"/>
        <d v="2024-03-08T00:00:00"/>
        <d v="2024-01-12T00:00:00"/>
        <d v="2024-03-10T00:00:00"/>
        <d v="2024-04-24T00:00:00"/>
        <d v="2024-10-21T00:00:00"/>
        <d v="2024-05-20T00:00:00"/>
        <d v="2024-12-09T00:00:00"/>
        <d v="2024-10-02T00:00:00"/>
        <d v="2024-06-19T00:00:00"/>
        <d v="2024-09-30T00:00:00"/>
        <d v="2024-08-28T00:00:00"/>
        <d v="2024-11-24T00:00:00"/>
        <d v="2024-08-21T00:00:00"/>
        <d v="2024-09-28T00:00:00"/>
        <d v="2024-09-25T00:00:00"/>
        <d v="2024-06-10T00:00:00"/>
        <d v="2024-05-17T00:00:00"/>
        <d v="2024-06-06T00:00:00"/>
        <d v="2024-10-12T00:00:00"/>
        <d v="2024-09-09T00:00:00"/>
        <d v="2024-06-04T00:00:00"/>
        <d v="2024-07-05T00:00:00"/>
        <d v="2024-04-17T00:00:00"/>
        <d v="2024-07-19T00:00:00"/>
        <d v="2024-02-13T00:00:00"/>
        <d v="2024-11-10T00:00:00"/>
        <d v="2024-05-22T00:00:00"/>
        <d v="2024-03-01T00:00:00"/>
        <d v="2024-05-27T00:00:00"/>
        <d v="2024-01-17T00:00:00"/>
        <d v="2024-10-28T00:00:00"/>
        <d v="2024-09-10T00:00:00"/>
        <d v="2024-06-05T00:00:00"/>
        <d v="2024-09-01T00:00:00"/>
        <d v="2024-02-22T00:00:00"/>
        <d v="2024-12-17T00:00:00"/>
        <d v="2024-01-14T00:00:00"/>
        <d v="2024-01-07T00:00:00"/>
        <d v="2024-11-07T00:00:00"/>
        <d v="2024-06-26T00:00:00"/>
        <d v="2024-06-20T00:00:00"/>
        <d v="2024-09-18T00:00:00"/>
        <d v="2024-08-29T00:00:00"/>
        <d v="2024-02-14T00:00:00"/>
        <d v="2024-07-07T00:00:00"/>
        <d v="2024-01-13T00:00:00"/>
        <d v="2024-04-15T00:00:00"/>
        <d v="2024-04-28T00:00:00"/>
        <d v="2024-07-20T00:00:00"/>
        <d v="2024-02-01T00:00:00"/>
        <d v="2024-01-26T00:00:00"/>
        <d v="2024-04-22T00:00:00"/>
        <d v="2024-03-29T00:00:00"/>
        <d v="2024-04-06T00:00:00"/>
        <d v="2024-11-04T00:00:00"/>
        <d v="2024-03-31T00:00:00"/>
        <d v="2024-01-01T00:00:00"/>
        <d v="2024-02-04T00:00:00"/>
        <d v="2024-08-19T00:00:00"/>
        <d v="2024-03-28T00:00:00"/>
        <d v="2024-01-16T00:00:00"/>
        <d v="2024-10-19T00:00:00"/>
        <d v="2024-12-04T00:00:00"/>
        <d v="2024-05-29T00:00:00"/>
        <d v="2024-05-14T00:00:00"/>
        <d v="2024-12-07T00:00:00"/>
        <d v="2024-01-18T00:00:00"/>
        <d v="2024-04-08T00:00:00"/>
        <d v="2024-05-12T00:00:00"/>
        <d v="2024-12-16T00:00:00"/>
        <d v="2024-08-01T00:00:00"/>
        <d v="2024-06-27T00:00:00"/>
        <d v="2024-05-21T00:00:00"/>
        <d v="2024-01-03T00:00:00"/>
        <d v="2024-04-26T00:00:00"/>
        <d v="2024-02-25T00:00:00"/>
        <d v="2024-09-03T00:00:00"/>
        <d v="2024-02-29T00:00:00"/>
        <d v="2024-11-14T00:00:00"/>
        <d v="2024-01-31T00:00:00"/>
        <d v="2024-01-24T00:00:00"/>
        <d v="2024-09-24T00:00:00"/>
        <d v="2024-12-12T00:00:00"/>
        <d v="2024-11-30T00:00:00"/>
        <d v="2024-11-03T00:00:00"/>
        <d v="2024-05-30T00:00:00"/>
        <d v="2024-03-23T00:00:00"/>
        <d v="2024-11-01T00:00:00"/>
        <d v="2024-06-11T00:00:00"/>
        <d v="2024-10-01T00:00:00"/>
        <d v="2024-04-21T00:00:00"/>
        <d v="2024-05-11T00:00:00"/>
        <d v="2024-01-04T00:00:00"/>
        <d v="2024-01-21T00:00:00"/>
        <d v="2024-12-26T00:00:00"/>
        <d v="2024-07-12T00:00:00"/>
        <d v="2024-04-27T00:00:00"/>
        <d v="2024-09-19T00:00:00"/>
        <d v="2024-03-09T00:00:00"/>
        <d v="2024-01-19T00:00:00"/>
        <d v="2024-07-21T00:00:00"/>
        <d v="2024-06-09T00:00:00"/>
        <d v="2024-11-13T00:00:00"/>
        <d v="2024-03-30T00:00:00"/>
        <d v="2024-07-09T00:00:00"/>
        <d v="2024-05-18T00:00:00"/>
        <d v="2024-07-14T00:00:00"/>
        <d v="2024-04-30T00:00:00"/>
        <d v="2024-08-30T00:00:00"/>
        <d v="2024-03-20T00:00:00"/>
        <d v="2024-01-06T00:00:00"/>
        <d v="2024-06-02T00:00:00"/>
        <d v="2024-01-08T00:00:00"/>
        <d v="2024-06-08T00:00:00"/>
        <d v="2024-01-22T00:00:00"/>
        <d v="2024-09-12T00:00:00"/>
        <d v="2024-09-06T00:00:00"/>
        <d v="2024-04-04T00:00:00"/>
        <d v="2024-07-16T00:00:00"/>
        <d v="2024-06-21T00:00:00"/>
        <d v="2024-11-20T00:00:00"/>
        <d v="2024-01-29T00:00:00"/>
        <d v="2024-05-28T00:00:00"/>
        <d v="2024-04-11T00:00:00"/>
        <d v="2024-05-16T00:00:00"/>
        <d v="2024-02-26T00:00:00"/>
        <d v="2024-12-05T00:00:00"/>
        <d v="2024-08-26T00:00:00"/>
        <d v="2024-06-15T00:00:00"/>
        <d v="2024-09-22T00:00:00"/>
        <d v="2024-09-21T00:00:00"/>
        <d v="2024-10-29T00:00:00"/>
        <d v="2024-10-07T00:00:00"/>
        <d v="2024-01-30T00:00:00"/>
        <d v="2024-09-26T00:00:00"/>
        <d v="2024-04-01T00:00:00"/>
        <d v="2024-09-29T00:00:00"/>
        <d v="2024-07-08T00:00:00"/>
        <d v="2024-08-05T00:00:00"/>
        <d v="2024-11-18T00:00:00"/>
        <d v="2024-01-27T00:00:00"/>
        <d v="2024-09-11T00:00:00"/>
        <d v="2024-06-16T00:00:00"/>
        <d v="2024-11-27T00:00:00"/>
        <d v="2024-12-19T00:00:00"/>
        <d v="2024-05-02T00:00:00"/>
        <d v="2024-10-17T00:00:00"/>
        <d v="2024-03-16T00:00:00"/>
        <d v="2024-09-02T00:00:00"/>
        <d v="2024-07-11T00:00:00"/>
        <d v="2024-04-03T00:00:00"/>
        <d v="2024-04-10T00:00:00"/>
        <d v="2024-10-31T00:00:00"/>
        <d v="2024-09-13T00:00:00"/>
        <d v="2024-10-26T00:00:00"/>
        <d v="2024-01-11T00:00:00"/>
        <d v="2024-12-29T00:00:00"/>
        <d v="2024-04-14T00:00:00"/>
        <d v="2024-02-15T00:00:00"/>
        <d v="2024-05-04T00:00:00"/>
        <d v="2024-08-07T00:00:00"/>
        <d v="2024-09-07T00:00:00"/>
        <d v="2024-06-22T00:00:00"/>
        <d v="2024-03-06T00:00:00"/>
        <d v="2024-08-09T00:00:00"/>
        <d v="2024-10-04T00:00:00"/>
        <d v="2024-12-20T00:00:00"/>
        <d v="2024-05-05T00:00:00"/>
        <d v="2024-12-11T00:00:00"/>
        <d v="2024-04-29T00:00:00"/>
        <d v="2024-07-02T00:00:00"/>
        <d v="2024-10-08T00:00:00"/>
      </sharedItems>
    </cacheField>
    <cacheField name="Discharge_Date" numFmtId="14">
      <sharedItems containsSemiMixedTypes="0" containsNonDate="0" containsDate="1" containsString="0" minDate="2024-01-05T00:00:00" maxDate="2025-01-12T00:00:00" count="341">
        <d v="2024-11-25T00:00:00"/>
        <d v="2024-08-05T00:00:00"/>
        <d v="2024-12-10T00:00:00"/>
        <d v="2024-08-10T00:00:00"/>
        <d v="2024-02-25T00:00:00"/>
        <d v="2024-10-14T00:00:00"/>
        <d v="2024-02-24T00:00:00"/>
        <d v="2024-07-04T00:00:00"/>
        <d v="2024-07-18T00:00:00"/>
        <d v="2024-07-29T00:00:00"/>
        <d v="2024-12-03T00:00:00"/>
        <d v="2024-11-20T00:00:00"/>
        <d v="2024-05-17T00:00:00"/>
        <d v="2024-08-13T00:00:00"/>
        <d v="2024-09-26T00:00:00"/>
        <d v="2024-01-12T00:00:00"/>
        <d v="2024-09-19T00:00:00"/>
        <d v="2024-11-13T00:00:00"/>
        <d v="2024-05-10T00:00:00"/>
        <d v="2024-02-18T00:00:00"/>
        <d v="2024-05-06T00:00:00"/>
        <d v="2024-07-31T00:00:00"/>
        <d v="2024-02-08T00:00:00"/>
        <d v="2024-04-16T00:00:00"/>
        <d v="2024-08-27T00:00:00"/>
        <d v="2024-04-02T00:00:00"/>
        <d v="2024-07-23T00:00:00"/>
        <d v="2024-06-04T00:00:00"/>
        <d v="2024-05-16T00:00:00"/>
        <d v="2024-12-20T00:00:00"/>
        <d v="2024-02-20T00:00:00"/>
        <d v="2024-10-15T00:00:00"/>
        <d v="2024-06-03T00:00:00"/>
        <d v="2024-02-28T00:00:00"/>
        <d v="2024-08-23T00:00:00"/>
        <d v="2024-10-12T00:00:00"/>
        <d v="2024-12-19T00:00:00"/>
        <d v="2024-04-06T00:00:00"/>
        <d v="2024-04-04T00:00:00"/>
        <d v="2024-07-03T00:00:00"/>
        <d v="2024-11-15T00:00:00"/>
        <d v="2024-10-08T00:00:00"/>
        <d v="2024-03-16T00:00:00"/>
        <d v="2024-08-14T00:00:00"/>
        <d v="2024-05-30T00:00:00"/>
        <d v="2024-04-07T00:00:00"/>
        <d v="2024-06-11T00:00:00"/>
        <d v="2024-08-15T00:00:00"/>
        <d v="2024-05-22T00:00:00"/>
        <d v="2024-09-22T00:00:00"/>
        <d v="2024-11-27T00:00:00"/>
        <d v="2024-05-25T00:00:00"/>
        <d v="2024-04-21T00:00:00"/>
        <d v="2024-08-01T00:00:00"/>
        <d v="2024-07-24T00:00:00"/>
        <d v="2024-10-26T00:00:00"/>
        <d v="2024-07-19T00:00:00"/>
        <d v="2024-02-19T00:00:00"/>
        <d v="2024-04-26T00:00:00"/>
        <d v="2024-12-29T00:00:00"/>
        <d v="2024-10-24T00:00:00"/>
        <d v="2025-01-04T00:00:00"/>
        <d v="2024-09-27T00:00:00"/>
        <d v="2024-09-04T00:00:00"/>
        <d v="2024-08-25T00:00:00"/>
        <d v="2024-04-24T00:00:00"/>
        <d v="2024-05-15T00:00:00"/>
        <d v="2024-01-11T00:00:00"/>
        <d v="2024-10-19T00:00:00"/>
        <d v="2024-05-12T00:00:00"/>
        <d v="2024-09-09T00:00:00"/>
        <d v="2024-09-10T00:00:00"/>
        <d v="2024-05-23T00:00:00"/>
        <d v="2024-03-30T00:00:00"/>
        <d v="2024-07-21T00:00:00"/>
        <d v="2024-08-22T00:00:00"/>
        <d v="2024-11-02T00:00:00"/>
        <d v="2024-10-11T00:00:00"/>
        <d v="2024-12-07T00:00:00"/>
        <d v="2024-08-03T00:00:00"/>
        <d v="2024-08-07T00:00:00"/>
        <d v="2024-08-08T00:00:00"/>
        <d v="2024-07-14T00:00:00"/>
        <d v="2024-12-31T00:00:00"/>
        <d v="2025-01-01T00:00:00"/>
        <d v="2024-11-11T00:00:00"/>
        <d v="2024-06-05T00:00:00"/>
        <d v="2024-10-22T00:00:00"/>
        <d v="2024-07-30T00:00:00"/>
        <d v="2024-09-24T00:00:00"/>
        <d v="2024-03-21T00:00:00"/>
        <d v="2024-11-30T00:00:00"/>
        <d v="2024-12-26T00:00:00"/>
        <d v="2024-03-19T00:00:00"/>
        <d v="2024-11-22T00:00:00"/>
        <d v="2024-05-18T00:00:00"/>
        <d v="2024-07-05T00:00:00"/>
        <d v="2024-01-15T00:00:00"/>
        <d v="2024-04-15T00:00:00"/>
        <d v="2024-06-12T00:00:00"/>
        <d v="2024-07-08T00:00:00"/>
        <d v="2024-12-15T00:00:00"/>
        <d v="2024-10-20T00:00:00"/>
        <d v="2024-03-13T00:00:00"/>
        <d v="2024-08-26T00:00:00"/>
        <d v="2024-11-18T00:00:00"/>
        <d v="2024-03-02T00:00:00"/>
        <d v="2024-02-27T00:00:00"/>
        <d v="2024-05-11T00:00:00"/>
        <d v="2024-03-11T00:00:00"/>
        <d v="2024-05-03T00:00:00"/>
        <d v="2024-08-17T00:00:00"/>
        <d v="2024-03-10T00:00:00"/>
        <d v="2024-11-12T00:00:00"/>
        <d v="2024-12-11T00:00:00"/>
        <d v="2024-09-20T00:00:00"/>
        <d v="2025-01-07T00:00:00"/>
        <d v="2024-03-25T00:00:00"/>
        <d v="2024-04-03T00:00:00"/>
        <d v="2024-08-21T00:00:00"/>
        <d v="2024-12-24T00:00:00"/>
        <d v="2024-11-03T00:00:00"/>
        <d v="2024-03-03T00:00:00"/>
        <d v="2024-08-02T00:00:00"/>
        <d v="2024-04-01T00:00:00"/>
        <d v="2024-10-27T00:00:00"/>
        <d v="2024-11-24T00:00:00"/>
        <d v="2024-01-21T00:00:00"/>
        <d v="2024-10-23T00:00:00"/>
        <d v="2025-01-05T00:00:00"/>
        <d v="2024-12-23T00:00:00"/>
        <d v="2024-12-17T00:00:00"/>
        <d v="2024-12-13T00:00:00"/>
        <d v="2024-07-01T00:00:00"/>
        <d v="2024-03-01T00:00:00"/>
        <d v="2024-11-08T00:00:00"/>
        <d v="2024-09-02T00:00:00"/>
        <d v="2024-02-17T00:00:00"/>
        <d v="2024-06-10T00:00:00"/>
        <d v="2024-05-04T00:00:00"/>
        <d v="2024-01-29T00:00:00"/>
        <d v="2024-02-03T00:00:00"/>
        <d v="2024-04-13T00:00:00"/>
        <d v="2024-08-18T00:00:00"/>
        <d v="2024-03-28T00:00:00"/>
        <d v="2024-07-25T00:00:00"/>
        <d v="2024-03-20T00:00:00"/>
        <d v="2024-11-14T00:00:00"/>
        <d v="2025-01-11T00:00:00"/>
        <d v="2024-05-14T00:00:00"/>
        <d v="2024-03-17T00:00:00"/>
        <d v="2024-02-10T00:00:00"/>
        <d v="2024-07-02T00:00:00"/>
        <d v="2024-03-08T00:00:00"/>
        <d v="2024-08-06T00:00:00"/>
        <d v="2024-09-28T00:00:00"/>
        <d v="2024-04-30T00:00:00"/>
        <d v="2024-01-19T00:00:00"/>
        <d v="2024-08-31T00:00:00"/>
        <d v="2024-01-23T00:00:00"/>
        <d v="2024-06-15T00:00:00"/>
        <d v="2024-12-14T00:00:00"/>
        <d v="2024-12-18T00:00:00"/>
        <d v="2024-08-11T00:00:00"/>
        <d v="2024-04-25T00:00:00"/>
        <d v="2024-10-28T00:00:00"/>
        <d v="2024-04-27T00:00:00"/>
        <d v="2024-10-31T00:00:00"/>
        <d v="2024-06-30T00:00:00"/>
        <d v="2024-09-08T00:00:00"/>
        <d v="2024-04-20T00:00:00"/>
        <d v="2024-06-21T00:00:00"/>
        <d v="2024-02-21T00:00:00"/>
        <d v="2024-08-29T00:00:00"/>
        <d v="2024-07-15T00:00:00"/>
        <d v="2024-09-29T00:00:00"/>
        <d v="2024-03-27T00:00:00"/>
        <d v="2024-12-27T00:00:00"/>
        <d v="2024-08-16T00:00:00"/>
        <d v="2024-03-23T00:00:00"/>
        <d v="2024-05-08T00:00:00"/>
        <d v="2024-01-13T00:00:00"/>
        <d v="2024-01-30T00:00:00"/>
        <d v="2024-05-21T00:00:00"/>
        <d v="2024-12-16T00:00:00"/>
        <d v="2024-10-10T00:00:00"/>
        <d v="2024-06-24T00:00:00"/>
        <d v="2024-11-17T00:00:00"/>
        <d v="2024-11-01T00:00:00"/>
        <d v="2024-12-06T00:00:00"/>
        <d v="2024-02-16T00:00:00"/>
        <d v="2024-01-17T00:00:00"/>
        <d v="2024-06-01T00:00:00"/>
        <d v="2024-05-20T00:00:00"/>
        <d v="2024-06-14T00:00:00"/>
        <d v="2024-10-21T00:00:00"/>
        <d v="2024-09-12T00:00:00"/>
        <d v="2024-12-09T00:00:00"/>
        <d v="2024-07-28T00:00:00"/>
        <d v="2024-07-07T00:00:00"/>
        <d v="2024-10-01T00:00:00"/>
        <d v="2024-07-27T00:00:00"/>
        <d v="2024-02-15T00:00:00"/>
        <d v="2024-03-04T00:00:00"/>
        <d v="2024-03-05T00:00:00"/>
        <d v="2024-03-14T00:00:00"/>
        <d v="2024-01-25T00:00:00"/>
        <d v="2024-11-09T00:00:00"/>
        <d v="2024-10-25T00:00:00"/>
        <d v="2024-10-02T00:00:00"/>
        <d v="2024-09-15T00:00:00"/>
        <d v="2024-12-28T00:00:00"/>
        <d v="2024-06-17T00:00:00"/>
        <d v="2024-09-03T00:00:00"/>
        <d v="2024-12-25T00:00:00"/>
        <d v="2024-06-23T00:00:00"/>
        <d v="2024-01-28T00:00:00"/>
        <d v="2024-09-21T00:00:00"/>
        <d v="2024-12-30T00:00:00"/>
        <d v="2024-05-07T00:00:00"/>
        <d v="2024-02-23T00:00:00"/>
        <d v="2024-07-17T00:00:00"/>
        <d v="2024-05-13T00:00:00"/>
        <d v="2024-07-22T00:00:00"/>
        <d v="2024-06-25T00:00:00"/>
        <d v="2025-01-03T00:00:00"/>
        <d v="2024-08-09T00:00:00"/>
        <d v="2024-01-14T00:00:00"/>
        <d v="2024-06-08T00:00:00"/>
        <d v="2024-04-23T00:00:00"/>
        <d v="2024-09-11T00:00:00"/>
        <d v="2024-10-18T00:00:00"/>
        <d v="2024-04-12T00:00:00"/>
        <d v="2024-04-19T00:00:00"/>
        <d v="2024-05-31T00:00:00"/>
        <d v="2024-01-27T00:00:00"/>
        <d v="2024-04-11T00:00:00"/>
        <d v="2024-09-06T00:00:00"/>
        <d v="2024-01-20T00:00:00"/>
        <d v="2024-05-27T00:00:00"/>
        <d v="2024-08-24T00:00:00"/>
        <d v="2024-10-04T00:00:00"/>
        <d v="2025-01-10T00:00:00"/>
        <d v="2024-03-07T00:00:00"/>
        <d v="2024-02-29T00:00:00"/>
        <d v="2024-11-19T00:00:00"/>
        <d v="2024-06-02T00:00:00"/>
        <d v="2024-02-14T00:00:00"/>
        <d v="2024-07-26T00:00:00"/>
        <d v="2024-01-26T00:00:00"/>
        <d v="2024-10-06T00:00:00"/>
        <d v="2024-12-01T00:00:00"/>
        <d v="2024-11-23T00:00:00"/>
        <d v="2024-06-27T00:00:00"/>
        <d v="2024-04-28T00:00:00"/>
        <d v="2024-06-07T00:00:00"/>
        <d v="2024-10-05T00:00:00"/>
        <d v="2024-04-10T00:00:00"/>
        <d v="2024-06-20T00:00:00"/>
        <d v="2024-10-16T00:00:00"/>
        <d v="2024-06-19T00:00:00"/>
        <d v="2024-12-22T00:00:00"/>
        <d v="2024-01-24T00:00:00"/>
        <d v="2024-06-29T00:00:00"/>
        <d v="2024-02-09T00:00:00"/>
        <d v="2024-12-05T00:00:00"/>
        <d v="2024-04-22T00:00:00"/>
        <d v="2024-11-04T00:00:00"/>
        <d v="2024-07-06T00:00:00"/>
        <d v="2024-11-10T00:00:00"/>
        <d v="2024-09-17T00:00:00"/>
        <d v="2024-09-14T00:00:00"/>
        <d v="2024-02-13T00:00:00"/>
        <d v="2024-08-28T00:00:00"/>
        <d v="2024-03-22T00:00:00"/>
        <d v="2024-10-07T00:00:00"/>
        <d v="2024-01-07T00:00:00"/>
        <d v="2024-01-16T00:00:00"/>
        <d v="2024-01-22T00:00:00"/>
        <d v="2024-02-01T00:00:00"/>
        <d v="2024-04-14T00:00:00"/>
        <d v="2024-07-10T00:00:00"/>
        <d v="2024-02-07T00:00:00"/>
        <d v="2024-07-20T00:00:00"/>
        <d v="2024-06-06T00:00:00"/>
        <d v="2024-11-26T00:00:00"/>
        <d v="2024-05-29T00:00:00"/>
        <d v="2024-10-03T00:00:00"/>
        <d v="2024-09-16T00:00:00"/>
        <d v="2024-11-21T00:00:00"/>
        <d v="2024-08-20T00:00:00"/>
        <d v="2024-03-12T00:00:00"/>
        <d v="2024-09-13T00:00:00"/>
        <d v="2024-03-29T00:00:00"/>
        <d v="2024-04-17T00:00:00"/>
        <d v="2024-11-29T00:00:00"/>
        <d v="2024-02-12T00:00:00"/>
        <d v="2024-09-30T00:00:00"/>
        <d v="2025-01-08T00:00:00"/>
        <d v="2024-11-05T00:00:00"/>
        <d v="2025-01-09T00:00:00"/>
        <d v="2024-04-05T00:00:00"/>
        <d v="2024-03-24T00:00:00"/>
        <d v="2024-12-12T00:00:00"/>
        <d v="2024-04-09T00:00:00"/>
        <d v="2024-08-19T00:00:00"/>
        <d v="2024-01-05T00:00:00"/>
        <d v="2024-12-02T00:00:00"/>
        <d v="2024-02-11T00:00:00"/>
        <d v="2024-03-18T00:00:00"/>
        <d v="2024-07-13T00:00:00"/>
        <d v="2024-09-18T00:00:00"/>
        <d v="2024-12-08T00:00:00"/>
        <d v="2024-02-02T00:00:00"/>
        <d v="2024-02-26T00:00:00"/>
        <d v="2024-06-09T00:00:00"/>
        <d v="2024-07-16T00:00:00"/>
        <d v="2024-11-07T00:00:00"/>
        <d v="2024-05-28T00:00:00"/>
        <d v="2024-10-13T00:00:00"/>
        <d v="2024-08-04T00:00:00"/>
        <d v="2024-05-24T00:00:00"/>
        <d v="2024-05-05T00:00:00"/>
        <d v="2024-09-05T00:00:00"/>
        <d v="2024-02-22T00:00:00"/>
        <d v="2024-05-19T00:00:00"/>
        <d v="2024-03-09T00:00:00"/>
        <d v="2024-02-06T00:00:00"/>
        <d v="2024-01-08T00:00:00"/>
        <d v="2024-01-18T00:00:00"/>
        <d v="2024-12-21T00:00:00"/>
        <d v="2024-03-26T00:00:00"/>
        <d v="2024-06-13T00:00:00"/>
        <d v="2024-02-04T00:00:00"/>
        <d v="2024-10-09T00:00:00"/>
        <d v="2024-09-23T00:00:00"/>
        <d v="2024-05-26T00:00:00"/>
        <d v="2024-03-06T00:00:00"/>
        <d v="2024-10-17T00:00:00"/>
        <d v="2024-06-28T00:00:00"/>
        <d v="2024-04-18T00:00:00"/>
      </sharedItems>
    </cacheField>
    <cacheField name="Length of Stay" numFmtId="0">
      <sharedItems containsSemiMixedTypes="0" containsString="0" containsNumber="1" containsInteger="1" minValue="1" maxValue="15" count="15">
        <n v="2"/>
        <n v="1"/>
        <n v="12"/>
        <n v="6"/>
        <n v="5"/>
        <n v="14"/>
        <n v="4"/>
        <n v="8"/>
        <n v="3"/>
        <n v="9"/>
        <n v="10"/>
        <n v="7"/>
        <n v="11"/>
        <n v="13"/>
        <n v="15"/>
      </sharedItems>
    </cacheField>
    <cacheField name="Bed_ID" numFmtId="0">
      <sharedItems containsSemiMixedTypes="0" containsString="0" containsNumber="1" containsInteger="1" minValue="1" maxValue="300" count="292">
        <n v="72"/>
        <n v="259"/>
        <n v="143"/>
        <n v="173"/>
        <n v="236"/>
        <n v="36"/>
        <n v="233"/>
        <n v="88"/>
        <n v="29"/>
        <n v="162"/>
        <n v="288"/>
        <n v="47"/>
        <n v="198"/>
        <n v="137"/>
        <n v="92"/>
        <n v="83"/>
        <n v="124"/>
        <n v="244"/>
        <n v="192"/>
        <n v="284"/>
        <n v="17"/>
        <n v="68"/>
        <n v="217"/>
        <n v="174"/>
        <n v="277"/>
        <n v="31"/>
        <n v="285"/>
        <n v="26"/>
        <n v="121"/>
        <n v="215"/>
        <n v="110"/>
        <n v="225"/>
        <n v="60"/>
        <n v="136"/>
        <n v="171"/>
        <n v="77"/>
        <n v="187"/>
        <n v="287"/>
        <n v="241"/>
        <n v="99"/>
        <n v="275"/>
        <n v="223"/>
        <n v="131"/>
        <n v="207"/>
        <n v="155"/>
        <n v="227"/>
        <n v="172"/>
        <n v="126"/>
        <n v="205"/>
        <n v="266"/>
        <n v="272"/>
        <n v="226"/>
        <n v="119"/>
        <n v="239"/>
        <n v="245"/>
        <n v="140"/>
        <n v="66"/>
        <n v="237"/>
        <n v="195"/>
        <n v="243"/>
        <n v="59"/>
        <n v="102"/>
        <n v="178"/>
        <n v="55"/>
        <n v="268"/>
        <n v="45"/>
        <n v="254"/>
        <n v="142"/>
        <n v="125"/>
        <n v="181"/>
        <n v="152"/>
        <n v="28"/>
        <n v="252"/>
        <n v="61"/>
        <n v="157"/>
        <n v="89"/>
        <n v="156"/>
        <n v="222"/>
        <n v="21"/>
        <n v="211"/>
        <n v="212"/>
        <n v="82"/>
        <n v="79"/>
        <n v="234"/>
        <n v="213"/>
        <n v="276"/>
        <n v="97"/>
        <n v="78"/>
        <n v="270"/>
        <n v="250"/>
        <n v="51"/>
        <n v="151"/>
        <n v="93"/>
        <n v="74"/>
        <n v="280"/>
        <n v="255"/>
        <n v="71"/>
        <n v="73"/>
        <n v="64"/>
        <n v="120"/>
        <n v="238"/>
        <n v="50"/>
        <n v="80"/>
        <n v="228"/>
        <n v="76"/>
        <n v="14"/>
        <n v="27"/>
        <n v="186"/>
        <n v="16"/>
        <n v="42"/>
        <n v="111"/>
        <n v="49"/>
        <n v="160"/>
        <n v="180"/>
        <n v="167"/>
        <n v="177"/>
        <n v="158"/>
        <n v="40"/>
        <n v="208"/>
        <n v="100"/>
        <n v="132"/>
        <n v="253"/>
        <n v="38"/>
        <n v="44"/>
        <n v="145"/>
        <n v="299"/>
        <n v="159"/>
        <n v="196"/>
        <n v="203"/>
        <n v="3"/>
        <n v="148"/>
        <n v="256"/>
        <n v="279"/>
        <n v="9"/>
        <n v="246"/>
        <n v="22"/>
        <n v="98"/>
        <n v="41"/>
        <n v="229"/>
        <n v="35"/>
        <n v="191"/>
        <n v="135"/>
        <n v="70"/>
        <n v="34"/>
        <n v="115"/>
        <n v="294"/>
        <n v="265"/>
        <n v="146"/>
        <n v="274"/>
        <n v="15"/>
        <n v="161"/>
        <n v="188"/>
        <n v="261"/>
        <n v="260"/>
        <n v="242"/>
        <n v="251"/>
        <n v="282"/>
        <n v="147"/>
        <n v="91"/>
        <n v="291"/>
        <n v="240"/>
        <n v="168"/>
        <n v="4"/>
        <n v="114"/>
        <n v="271"/>
        <n v="230"/>
        <n v="58"/>
        <n v="18"/>
        <n v="165"/>
        <n v="263"/>
        <n v="101"/>
        <n v="39"/>
        <n v="221"/>
        <n v="130"/>
        <n v="116"/>
        <n v="194"/>
        <n v="170"/>
        <n v="154"/>
        <n v="204"/>
        <n v="185"/>
        <n v="46"/>
        <n v="216"/>
        <n v="169"/>
        <n v="103"/>
        <n v="289"/>
        <n v="248"/>
        <n v="90"/>
        <n v="200"/>
        <n v="153"/>
        <n v="218"/>
        <n v="87"/>
        <n v="232"/>
        <n v="296"/>
        <n v="85"/>
        <n v="37"/>
        <n v="206"/>
        <n v="65"/>
        <n v="189"/>
        <n v="23"/>
        <n v="150"/>
        <n v="1"/>
        <n v="67"/>
        <n v="53"/>
        <n v="144"/>
        <n v="184"/>
        <n v="20"/>
        <n v="104"/>
        <n v="94"/>
        <n v="52"/>
        <n v="134"/>
        <n v="48"/>
        <n v="81"/>
        <n v="122"/>
        <n v="2"/>
        <n v="190"/>
        <n v="117"/>
        <n v="109"/>
        <n v="128"/>
        <n v="210"/>
        <n v="267"/>
        <n v="56"/>
        <n v="19"/>
        <n v="257"/>
        <n v="176"/>
        <n v="149"/>
        <n v="5"/>
        <n v="281"/>
        <n v="86"/>
        <n v="269"/>
        <n v="286"/>
        <n v="13"/>
        <n v="129"/>
        <n v="199"/>
        <n v="220"/>
        <n v="43"/>
        <n v="201"/>
        <n v="290"/>
        <n v="224"/>
        <n v="258"/>
        <n v="24"/>
        <n v="193"/>
        <n v="133"/>
        <n v="262"/>
        <n v="278"/>
        <n v="96"/>
        <n v="293"/>
        <n v="75"/>
        <n v="84"/>
        <n v="63"/>
        <n v="95"/>
        <n v="127"/>
        <n v="183"/>
        <n v="57"/>
        <n v="107"/>
        <n v="112"/>
        <n v="62"/>
        <n v="166"/>
        <n v="30"/>
        <n v="164"/>
        <n v="295"/>
        <n v="108"/>
        <n v="139"/>
        <n v="235"/>
        <n v="202"/>
        <n v="231"/>
        <n v="197"/>
        <n v="297"/>
        <n v="219"/>
        <n v="179"/>
        <n v="163"/>
        <n v="32"/>
        <n v="8"/>
        <n v="182"/>
        <n v="6"/>
        <n v="113"/>
        <n v="247"/>
        <n v="33"/>
        <n v="214"/>
        <n v="249"/>
        <n v="273"/>
        <n v="10"/>
        <n v="69"/>
        <n v="264"/>
        <n v="123"/>
        <n v="138"/>
        <n v="300"/>
        <n v="175"/>
        <n v="7"/>
        <n v="283"/>
        <n v="12"/>
        <n v="25"/>
        <n v="11"/>
      </sharedItems>
    </cacheField>
    <cacheField name="Procedure" numFmtId="0">
      <sharedItems count="4">
        <s v="Surgery"/>
        <s v="Medication"/>
        <s v="Therapy"/>
        <s v="Diagnostics"/>
      </sharedItems>
    </cacheField>
    <cacheField name="Treatment_Success" numFmtId="0">
      <sharedItems count="2">
        <s v="Yes"/>
        <s v="No"/>
      </sharedItems>
    </cacheField>
    <cacheField name="Treatment Success Rate " numFmtId="0">
      <sharedItems containsSemiMixedTypes="0" containsString="0" containsNumber="1" containsInteger="1" minValue="0" maxValue="1" count="2">
        <n v="1"/>
        <n v="0"/>
      </sharedItems>
    </cacheField>
    <cacheField name="Billing_Amount" numFmtId="0">
      <sharedItems containsSemiMixedTypes="0" containsString="0" containsNumber="1" containsInteger="1" minValue="5142" maxValue="199664" count="999">
        <n v="159794"/>
        <n v="192700"/>
        <n v="188013"/>
        <n v="104595"/>
        <n v="25656"/>
        <n v="80861"/>
        <n v="102040"/>
        <n v="126178"/>
        <n v="87694"/>
        <n v="108712"/>
        <n v="157969"/>
        <n v="45066"/>
        <n v="143704"/>
        <n v="81939"/>
        <n v="172496"/>
        <n v="133085"/>
        <n v="196865"/>
        <n v="143326"/>
        <n v="36720"/>
        <n v="6885"/>
        <n v="139782"/>
        <n v="128987"/>
        <n v="196122"/>
        <n v="55224"/>
        <n v="24761"/>
        <n v="66965"/>
        <n v="5565"/>
        <n v="54780"/>
        <n v="19910"/>
        <n v="154336"/>
        <n v="58545"/>
        <n v="87883"/>
        <n v="96490"/>
        <n v="180076"/>
        <n v="76394"/>
        <n v="18316"/>
        <n v="47357"/>
        <n v="157701"/>
        <n v="60070"/>
        <n v="67059"/>
        <n v="74941"/>
        <n v="125665"/>
        <n v="78034"/>
        <n v="35236"/>
        <n v="119398"/>
        <n v="5443"/>
        <n v="178903"/>
        <n v="55289"/>
        <n v="84658"/>
        <n v="197927"/>
        <n v="181369"/>
        <n v="124384"/>
        <n v="176981"/>
        <n v="151120"/>
        <n v="165603"/>
        <n v="69812"/>
        <n v="66471"/>
        <n v="190183"/>
        <n v="59220"/>
        <n v="83279"/>
        <n v="12608"/>
        <n v="160161"/>
        <n v="73198"/>
        <n v="71131"/>
        <n v="69823"/>
        <n v="126905"/>
        <n v="33337"/>
        <n v="31712"/>
        <n v="23076"/>
        <n v="171614"/>
        <n v="126863"/>
        <n v="68927"/>
        <n v="132808"/>
        <n v="27442"/>
        <n v="122486"/>
        <n v="129062"/>
        <n v="85379"/>
        <n v="61723"/>
        <n v="52039"/>
        <n v="172213"/>
        <n v="18468"/>
        <n v="44774"/>
        <n v="141989"/>
        <n v="59470"/>
        <n v="5701"/>
        <n v="189283"/>
        <n v="147753"/>
        <n v="160987"/>
        <n v="136195"/>
        <n v="11780"/>
        <n v="141043"/>
        <n v="96215"/>
        <n v="178692"/>
        <n v="35388"/>
        <n v="140905"/>
        <n v="119849"/>
        <n v="149769"/>
        <n v="138397"/>
        <n v="54967"/>
        <n v="5672"/>
        <n v="92147"/>
        <n v="66226"/>
        <n v="38094"/>
        <n v="194384"/>
        <n v="175350"/>
        <n v="66543"/>
        <n v="48611"/>
        <n v="117901"/>
        <n v="25701"/>
        <n v="172222"/>
        <n v="120796"/>
        <n v="131670"/>
        <n v="76953"/>
        <n v="164138"/>
        <n v="85984"/>
        <n v="51042"/>
        <n v="131313"/>
        <n v="151096"/>
        <n v="181377"/>
        <n v="167410"/>
        <n v="35585"/>
        <n v="106881"/>
        <n v="133279"/>
        <n v="100075"/>
        <n v="124201"/>
        <n v="22985"/>
        <n v="42929"/>
        <n v="98911"/>
        <n v="142910"/>
        <n v="137078"/>
        <n v="110281"/>
        <n v="22218"/>
        <n v="137527"/>
        <n v="64898"/>
        <n v="86926"/>
        <n v="118213"/>
        <n v="112691"/>
        <n v="156497"/>
        <n v="78024"/>
        <n v="76636"/>
        <n v="23241"/>
        <n v="115056"/>
        <n v="45784"/>
        <n v="164141"/>
        <n v="79251"/>
        <n v="108615"/>
        <n v="91015"/>
        <n v="23894"/>
        <n v="155313"/>
        <n v="50055"/>
        <n v="159369"/>
        <n v="49074"/>
        <n v="195678"/>
        <n v="162915"/>
        <n v="183555"/>
        <n v="120922"/>
        <n v="123466"/>
        <n v="157129"/>
        <n v="136430"/>
        <n v="69944"/>
        <n v="93700"/>
        <n v="71059"/>
        <n v="86325"/>
        <n v="173687"/>
        <n v="85967"/>
        <n v="82540"/>
        <n v="47532"/>
        <n v="121444"/>
        <n v="101427"/>
        <n v="57349"/>
        <n v="79727"/>
        <n v="63205"/>
        <n v="106231"/>
        <n v="15040"/>
        <n v="72088"/>
        <n v="36941"/>
        <n v="193362"/>
        <n v="179160"/>
        <n v="128243"/>
        <n v="95387"/>
        <n v="97353"/>
        <n v="21541"/>
        <n v="140104"/>
        <n v="17531"/>
        <n v="93876"/>
        <n v="25690"/>
        <n v="85346"/>
        <n v="166179"/>
        <n v="13163"/>
        <n v="99935"/>
        <n v="155450"/>
        <n v="11793"/>
        <n v="61248"/>
        <n v="50260"/>
        <n v="46289"/>
        <n v="41405"/>
        <n v="149610"/>
        <n v="155706"/>
        <n v="149520"/>
        <n v="84724"/>
        <n v="56459"/>
        <n v="160139"/>
        <n v="173153"/>
        <n v="173272"/>
        <n v="120239"/>
        <n v="197466"/>
        <n v="127282"/>
        <n v="166317"/>
        <n v="135617"/>
        <n v="68105"/>
        <n v="145690"/>
        <n v="16860"/>
        <n v="137187"/>
        <n v="108259"/>
        <n v="16876"/>
        <n v="165712"/>
        <n v="129490"/>
        <n v="74607"/>
        <n v="43738"/>
        <n v="44696"/>
        <n v="140969"/>
        <n v="144756"/>
        <n v="151299"/>
        <n v="96436"/>
        <n v="95474"/>
        <n v="61095"/>
        <n v="166396"/>
        <n v="113344"/>
        <n v="176151"/>
        <n v="175996"/>
        <n v="134861"/>
        <n v="79596"/>
        <n v="34529"/>
        <n v="51004"/>
        <n v="180441"/>
        <n v="66740"/>
        <n v="176359"/>
        <n v="184850"/>
        <n v="130352"/>
        <n v="69871"/>
        <n v="152893"/>
        <n v="141404"/>
        <n v="123864"/>
        <n v="194603"/>
        <n v="95316"/>
        <n v="52181"/>
        <n v="26037"/>
        <n v="195803"/>
        <n v="65205"/>
        <n v="166198"/>
        <n v="69155"/>
        <n v="66384"/>
        <n v="83774"/>
        <n v="173641"/>
        <n v="53202"/>
        <n v="152426"/>
        <n v="174530"/>
        <n v="103872"/>
        <n v="59759"/>
        <n v="187354"/>
        <n v="127224"/>
        <n v="30849"/>
        <n v="199314"/>
        <n v="104572"/>
        <n v="194676"/>
        <n v="193825"/>
        <n v="113106"/>
        <n v="137574"/>
        <n v="9384"/>
        <n v="30248"/>
        <n v="109044"/>
        <n v="176372"/>
        <n v="171919"/>
        <n v="65231"/>
        <n v="52016"/>
        <n v="153555"/>
        <n v="19076"/>
        <n v="171231"/>
        <n v="53690"/>
        <n v="26505"/>
        <n v="6361"/>
        <n v="122661"/>
        <n v="161480"/>
        <n v="195013"/>
        <n v="75361"/>
        <n v="25164"/>
        <n v="40517"/>
        <n v="117883"/>
        <n v="51566"/>
        <n v="108005"/>
        <n v="190694"/>
        <n v="68444"/>
        <n v="145081"/>
        <n v="70072"/>
        <n v="117841"/>
        <n v="103073"/>
        <n v="114045"/>
        <n v="96304"/>
        <n v="10920"/>
        <n v="151761"/>
        <n v="198301"/>
        <n v="58945"/>
        <n v="124944"/>
        <n v="158879"/>
        <n v="87099"/>
        <n v="161349"/>
        <n v="133356"/>
        <n v="132037"/>
        <n v="133109"/>
        <n v="145930"/>
        <n v="147372"/>
        <n v="83042"/>
        <n v="198360"/>
        <n v="20560"/>
        <n v="80846"/>
        <n v="176939"/>
        <n v="133308"/>
        <n v="110604"/>
        <n v="196609"/>
        <n v="60535"/>
        <n v="95109"/>
        <n v="46414"/>
        <n v="76832"/>
        <n v="168998"/>
        <n v="60947"/>
        <n v="187346"/>
        <n v="28417"/>
        <n v="22933"/>
        <n v="166500"/>
        <n v="117561"/>
        <n v="186004"/>
        <n v="82474"/>
        <n v="143487"/>
        <n v="128473"/>
        <n v="109326"/>
        <n v="77736"/>
        <n v="86309"/>
        <n v="165509"/>
        <n v="135131"/>
        <n v="12695"/>
        <n v="124327"/>
        <n v="31975"/>
        <n v="17053"/>
        <n v="89358"/>
        <n v="52014"/>
        <n v="90799"/>
        <n v="126615"/>
        <n v="112488"/>
        <n v="32249"/>
        <n v="16508"/>
        <n v="172042"/>
        <n v="73417"/>
        <n v="58139"/>
        <n v="87321"/>
        <n v="36434"/>
        <n v="28910"/>
        <n v="13147"/>
        <n v="8134"/>
        <n v="24657"/>
        <n v="125847"/>
        <n v="50300"/>
        <n v="174680"/>
        <n v="114899"/>
        <n v="147742"/>
        <n v="161530"/>
        <n v="31249"/>
        <n v="98009"/>
        <n v="152615"/>
        <n v="65980"/>
        <n v="192940"/>
        <n v="24013"/>
        <n v="40769"/>
        <n v="179465"/>
        <n v="196058"/>
        <n v="172679"/>
        <n v="88759"/>
        <n v="186711"/>
        <n v="48604"/>
        <n v="47639"/>
        <n v="94602"/>
        <n v="189681"/>
        <n v="91794"/>
        <n v="107996"/>
        <n v="82214"/>
        <n v="172297"/>
        <n v="28890"/>
        <n v="16696"/>
        <n v="187575"/>
        <n v="141991"/>
        <n v="108495"/>
        <n v="60545"/>
        <n v="160988"/>
        <n v="141233"/>
        <n v="32691"/>
        <n v="176648"/>
        <n v="167069"/>
        <n v="129575"/>
        <n v="187500"/>
        <n v="196050"/>
        <n v="140397"/>
        <n v="142438"/>
        <n v="18253"/>
        <n v="183565"/>
        <n v="95242"/>
        <n v="155014"/>
        <n v="129281"/>
        <n v="103690"/>
        <n v="6926"/>
        <n v="93154"/>
        <n v="140605"/>
        <n v="82490"/>
        <n v="195460"/>
        <n v="82013"/>
        <n v="63262"/>
        <n v="35875"/>
        <n v="143893"/>
        <n v="42545"/>
        <n v="6235"/>
        <n v="38922"/>
        <n v="14889"/>
        <n v="182405"/>
        <n v="136946"/>
        <n v="118682"/>
        <n v="10013"/>
        <n v="101099"/>
        <n v="178531"/>
        <n v="148466"/>
        <n v="178451"/>
        <n v="139108"/>
        <n v="142139"/>
        <n v="185408"/>
        <n v="44097"/>
        <n v="74238"/>
        <n v="198603"/>
        <n v="119744"/>
        <n v="124678"/>
        <n v="187496"/>
        <n v="165254"/>
        <n v="120523"/>
        <n v="141078"/>
        <n v="178987"/>
        <n v="137531"/>
        <n v="91742"/>
        <n v="25664"/>
        <n v="135383"/>
        <n v="163388"/>
        <n v="124133"/>
        <n v="177729"/>
        <n v="17000"/>
        <n v="107995"/>
        <n v="123097"/>
        <n v="158385"/>
        <n v="177365"/>
        <n v="94878"/>
        <n v="191613"/>
        <n v="191226"/>
        <n v="181748"/>
        <n v="18910"/>
        <n v="186035"/>
        <n v="67284"/>
        <n v="149736"/>
        <n v="159241"/>
        <n v="54014"/>
        <n v="39096"/>
        <n v="89575"/>
        <n v="190514"/>
        <n v="147365"/>
        <n v="81958"/>
        <n v="121828"/>
        <n v="106155"/>
        <n v="16495"/>
        <n v="146026"/>
        <n v="58891"/>
        <n v="192922"/>
        <n v="72803"/>
        <n v="145203"/>
        <n v="80978"/>
        <n v="178204"/>
        <n v="83133"/>
        <n v="15950"/>
        <n v="199361"/>
        <n v="35047"/>
        <n v="181078"/>
        <n v="180976"/>
        <n v="123134"/>
        <n v="117278"/>
        <n v="40207"/>
        <n v="149617"/>
        <n v="197294"/>
        <n v="14609"/>
        <n v="40096"/>
        <n v="165965"/>
        <n v="99056"/>
        <n v="180265"/>
        <n v="32059"/>
        <n v="176357"/>
        <n v="97510"/>
        <n v="25208"/>
        <n v="178305"/>
        <n v="159872"/>
        <n v="170030"/>
        <n v="162117"/>
        <n v="49713"/>
        <n v="194841"/>
        <n v="9341"/>
        <n v="166152"/>
        <n v="141850"/>
        <n v="116539"/>
        <n v="54550"/>
        <n v="112176"/>
        <n v="165400"/>
        <n v="102049"/>
        <n v="177827"/>
        <n v="149330"/>
        <n v="128645"/>
        <n v="194921"/>
        <n v="7807"/>
        <n v="181691"/>
        <n v="180547"/>
        <n v="195352"/>
        <n v="110894"/>
        <n v="94120"/>
        <n v="152631"/>
        <n v="35479"/>
        <n v="188715"/>
        <n v="129926"/>
        <n v="66567"/>
        <n v="32967"/>
        <n v="102306"/>
        <n v="63220"/>
        <n v="184919"/>
        <n v="104464"/>
        <n v="75623"/>
        <n v="188687"/>
        <n v="31180"/>
        <n v="7553"/>
        <n v="70791"/>
        <n v="71660"/>
        <n v="99452"/>
        <n v="156218"/>
        <n v="25554"/>
        <n v="23702"/>
        <n v="76106"/>
        <n v="195781"/>
        <n v="21722"/>
        <n v="167031"/>
        <n v="169228"/>
        <n v="127471"/>
        <n v="170425"/>
        <n v="131262"/>
        <n v="84579"/>
        <n v="130060"/>
        <n v="112934"/>
        <n v="73938"/>
        <n v="113240"/>
        <n v="76338"/>
        <n v="53742"/>
        <n v="44500"/>
        <n v="187697"/>
        <n v="52606"/>
        <n v="69792"/>
        <n v="183636"/>
        <n v="131151"/>
        <n v="170913"/>
        <n v="7340"/>
        <n v="46339"/>
        <n v="37984"/>
        <n v="98891"/>
        <n v="153557"/>
        <n v="144234"/>
        <n v="197323"/>
        <n v="54773"/>
        <n v="33957"/>
        <n v="33063"/>
        <n v="17867"/>
        <n v="172488"/>
        <n v="197492"/>
        <n v="144371"/>
        <n v="172411"/>
        <n v="137302"/>
        <n v="113093"/>
        <n v="99374"/>
        <n v="6721"/>
        <n v="14892"/>
        <n v="72172"/>
        <n v="50325"/>
        <n v="25572"/>
        <n v="171169"/>
        <n v="136701"/>
        <n v="118229"/>
        <n v="148694"/>
        <n v="151616"/>
        <n v="23781"/>
        <n v="100752"/>
        <n v="96676"/>
        <n v="45892"/>
        <n v="186874"/>
        <n v="148241"/>
        <n v="157831"/>
        <n v="18915"/>
        <n v="10001"/>
        <n v="132051"/>
        <n v="69852"/>
        <n v="184388"/>
        <n v="106494"/>
        <n v="196336"/>
        <n v="86889"/>
        <n v="86002"/>
        <n v="22777"/>
        <n v="112807"/>
        <n v="53430"/>
        <n v="185191"/>
        <n v="106570"/>
        <n v="75741"/>
        <n v="185319"/>
        <n v="108324"/>
        <n v="69414"/>
        <n v="81330"/>
        <n v="185867"/>
        <n v="158471"/>
        <n v="123929"/>
        <n v="28905"/>
        <n v="149269"/>
        <n v="51888"/>
        <n v="35816"/>
        <n v="164379"/>
        <n v="69150"/>
        <n v="14626"/>
        <n v="51726"/>
        <n v="29412"/>
        <n v="128421"/>
        <n v="165446"/>
        <n v="73068"/>
        <n v="134107"/>
        <n v="126866"/>
        <n v="96658"/>
        <n v="22782"/>
        <n v="194896"/>
        <n v="14321"/>
        <n v="199664"/>
        <n v="156361"/>
        <n v="169236"/>
        <n v="191080"/>
        <n v="61659"/>
        <n v="137643"/>
        <n v="42563"/>
        <n v="192086"/>
        <n v="17095"/>
        <n v="57574"/>
        <n v="46286"/>
        <n v="42108"/>
        <n v="18297"/>
        <n v="107738"/>
        <n v="191882"/>
        <n v="30496"/>
        <n v="100276"/>
        <n v="129606"/>
        <n v="111348"/>
        <n v="67541"/>
        <n v="186943"/>
        <n v="198820"/>
        <n v="121710"/>
        <n v="174080"/>
        <n v="123744"/>
        <n v="118961"/>
        <n v="21360"/>
        <n v="78979"/>
        <n v="119082"/>
        <n v="114375"/>
        <n v="194094"/>
        <n v="168380"/>
        <n v="53704"/>
        <n v="148174"/>
        <n v="186009"/>
        <n v="128850"/>
        <n v="145255"/>
        <n v="82232"/>
        <n v="155171"/>
        <n v="77836"/>
        <n v="160128"/>
        <n v="143251"/>
        <n v="67376"/>
        <n v="35407"/>
        <n v="184178"/>
        <n v="122655"/>
        <n v="92809"/>
        <n v="141302"/>
        <n v="8135"/>
        <n v="55614"/>
        <n v="27645"/>
        <n v="127409"/>
        <n v="47458"/>
        <n v="51643"/>
        <n v="42715"/>
        <n v="32076"/>
        <n v="14918"/>
        <n v="130341"/>
        <n v="92409"/>
        <n v="125491"/>
        <n v="187421"/>
        <n v="14358"/>
        <n v="144969"/>
        <n v="60490"/>
        <n v="14667"/>
        <n v="8765"/>
        <n v="34931"/>
        <n v="89996"/>
        <n v="21573"/>
        <n v="68869"/>
        <n v="26160"/>
        <n v="59043"/>
        <n v="193009"/>
        <n v="35803"/>
        <n v="77463"/>
        <n v="19163"/>
        <n v="32373"/>
        <n v="66682"/>
        <n v="90493"/>
        <n v="158378"/>
        <n v="102906"/>
        <n v="186458"/>
        <n v="95066"/>
        <n v="112923"/>
        <n v="69967"/>
        <n v="16593"/>
        <n v="123604"/>
        <n v="67668"/>
        <n v="126572"/>
        <n v="105893"/>
        <n v="167648"/>
        <n v="167302"/>
        <n v="92799"/>
        <n v="97461"/>
        <n v="123596"/>
        <n v="167778"/>
        <n v="51874"/>
        <n v="58544"/>
        <n v="95885"/>
        <n v="141215"/>
        <n v="84713"/>
        <n v="17404"/>
        <n v="50969"/>
        <n v="155608"/>
        <n v="95137"/>
        <n v="135919"/>
        <n v="129232"/>
        <n v="196795"/>
        <n v="166879"/>
        <n v="56305"/>
        <n v="88298"/>
        <n v="106217"/>
        <n v="195802"/>
        <n v="158925"/>
        <n v="159842"/>
        <n v="57234"/>
        <n v="134525"/>
        <n v="172917"/>
        <n v="36288"/>
        <n v="169625"/>
        <n v="47689"/>
        <n v="18864"/>
        <n v="169634"/>
        <n v="184684"/>
        <n v="40900"/>
        <n v="45515"/>
        <n v="9555"/>
        <n v="191094"/>
        <n v="37858"/>
        <n v="16145"/>
        <n v="84074"/>
        <n v="12670"/>
        <n v="30979"/>
        <n v="61102"/>
        <n v="98014"/>
        <n v="33918"/>
        <n v="134423"/>
        <n v="150205"/>
        <n v="181726"/>
        <n v="108497"/>
        <n v="57497"/>
        <n v="173776"/>
        <n v="33321"/>
        <n v="198409"/>
        <n v="84364"/>
        <n v="81955"/>
        <n v="117828"/>
        <n v="51365"/>
        <n v="132783"/>
        <n v="152391"/>
        <n v="89012"/>
        <n v="104765"/>
        <n v="66504"/>
        <n v="10167"/>
        <n v="10348"/>
        <n v="155087"/>
        <n v="166173"/>
        <n v="74508"/>
        <n v="76660"/>
        <n v="137288"/>
        <n v="181045"/>
        <n v="172228"/>
        <n v="126238"/>
        <n v="113118"/>
        <n v="34768"/>
        <n v="174586"/>
        <n v="173897"/>
        <n v="111694"/>
        <n v="154677"/>
        <n v="91320"/>
        <n v="61127"/>
        <n v="87965"/>
        <n v="85785"/>
        <n v="86072"/>
        <n v="108016"/>
        <n v="173933"/>
        <n v="92221"/>
        <n v="162841"/>
        <n v="173060"/>
        <n v="46372"/>
        <n v="130400"/>
        <n v="52681"/>
        <n v="126221"/>
        <n v="28346"/>
        <n v="181582"/>
        <n v="39130"/>
        <n v="112092"/>
        <n v="157804"/>
        <n v="185054"/>
        <n v="18661"/>
        <n v="137262"/>
        <n v="73233"/>
        <n v="42170"/>
        <n v="79167"/>
        <n v="150666"/>
        <n v="14401"/>
        <n v="98459"/>
        <n v="29530"/>
        <n v="157973"/>
        <n v="91155"/>
        <n v="12569"/>
        <n v="16494"/>
        <n v="89717"/>
        <n v="109573"/>
        <n v="36615"/>
        <n v="139388"/>
        <n v="115765"/>
        <n v="182324"/>
        <n v="127740"/>
        <n v="82458"/>
        <n v="29768"/>
        <n v="34867"/>
        <n v="87299"/>
        <n v="53519"/>
        <n v="108529"/>
        <n v="167135"/>
        <n v="55017"/>
        <n v="119239"/>
        <n v="115593"/>
        <n v="158413"/>
        <n v="113969"/>
        <n v="65792"/>
        <n v="174948"/>
        <n v="10454"/>
        <n v="162836"/>
        <n v="168012"/>
        <n v="163793"/>
        <n v="99053"/>
        <n v="117884"/>
        <n v="98124"/>
        <n v="119773"/>
        <n v="48790"/>
        <n v="197034"/>
        <n v="113986"/>
        <n v="102631"/>
        <n v="41174"/>
        <n v="43164"/>
        <n v="118789"/>
        <n v="110382"/>
        <n v="188578"/>
        <n v="56719"/>
        <n v="29332"/>
        <n v="84676"/>
        <n v="17512"/>
        <n v="66891"/>
        <n v="141227"/>
        <n v="113017"/>
        <n v="101808"/>
        <n v="185621"/>
        <n v="38917"/>
        <n v="151545"/>
        <n v="142042"/>
        <n v="42452"/>
        <n v="198897"/>
        <n v="153311"/>
        <n v="122946"/>
        <n v="108650"/>
        <n v="154945"/>
        <n v="129737"/>
        <n v="69300"/>
        <n v="133836"/>
        <n v="72417"/>
        <n v="45429"/>
        <n v="191987"/>
        <n v="103438"/>
        <n v="35167"/>
        <n v="111822"/>
        <n v="84852"/>
        <n v="69267"/>
        <n v="5142"/>
        <n v="158395"/>
        <n v="108626"/>
        <n v="171505"/>
        <n v="125533"/>
        <n v="181345"/>
        <n v="181059"/>
        <n v="187722"/>
        <n v="78697"/>
        <n v="134448"/>
        <n v="34083"/>
        <n v="159183"/>
        <n v="182728"/>
        <n v="89672"/>
        <n v="99757"/>
        <n v="6352"/>
        <n v="70531"/>
        <n v="118232"/>
        <n v="94339"/>
        <n v="156764"/>
        <n v="120846"/>
        <n v="104996"/>
        <n v="126689"/>
        <n v="159091"/>
        <n v="172081"/>
        <n v="41090"/>
        <n v="158004"/>
        <n v="7118"/>
        <n v="95129"/>
        <n v="162224"/>
        <n v="32485"/>
        <n v="168556"/>
        <n v="100110"/>
        <n v="55961"/>
        <n v="62395"/>
        <n v="51157"/>
        <n v="84972"/>
        <n v="42862"/>
        <n v="171761"/>
        <n v="18961"/>
        <n v="128382"/>
        <n v="141024"/>
        <n v="75342"/>
        <n v="108782"/>
        <n v="40213"/>
        <n v="116700"/>
        <n v="11479"/>
        <n v="56549"/>
        <n v="83505"/>
        <n v="109203"/>
        <n v="94301"/>
        <n v="103225"/>
        <n v="114876"/>
        <n v="45289"/>
        <n v="54371"/>
        <n v="13404"/>
        <n v="58973"/>
        <n v="90661"/>
        <n v="106972"/>
        <n v="159007"/>
        <n v="21769"/>
        <n v="198276"/>
        <n v="113803"/>
        <n v="188145"/>
        <n v="112814"/>
        <n v="48211"/>
        <n v="95087"/>
        <n v="90750"/>
        <n v="41767"/>
        <n v="37545"/>
        <n v="120515"/>
        <n v="107398"/>
        <n v="70457"/>
        <n v="93373"/>
        <n v="113968"/>
        <n v="117166"/>
        <n v="176440"/>
        <n v="16518"/>
        <n v="71044"/>
        <n v="22698"/>
        <n v="10560"/>
        <n v="20708"/>
        <n v="67407"/>
        <n v="11211"/>
        <n v="185184"/>
        <n v="21938"/>
        <n v="160354"/>
        <n v="48033"/>
        <n v="171619"/>
        <n v="120704"/>
        <n v="26818"/>
      </sharedItems>
    </cacheField>
  </cacheFields>
  <extLst>
    <ext xmlns:x14="http://schemas.microsoft.com/office/spreadsheetml/2009/9/main" uri="{725AE2AE-9491-48be-B2B4-4EB974FC3084}">
      <x14:pivotCacheDefinition pivotCacheId="1917477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x v="0"/>
    <x v="0"/>
  </r>
  <r>
    <x v="1"/>
    <x v="0"/>
    <x v="0"/>
    <x v="1"/>
    <x v="0"/>
    <x v="0"/>
    <x v="1"/>
    <x v="1"/>
    <x v="1"/>
    <x v="1"/>
    <x v="0"/>
    <x v="0"/>
    <x v="0"/>
    <x v="1"/>
  </r>
  <r>
    <x v="2"/>
    <x v="1"/>
    <x v="1"/>
    <x v="0"/>
    <x v="0"/>
    <x v="1"/>
    <x v="2"/>
    <x v="2"/>
    <x v="2"/>
    <x v="2"/>
    <x v="0"/>
    <x v="0"/>
    <x v="0"/>
    <x v="2"/>
  </r>
  <r>
    <x v="3"/>
    <x v="2"/>
    <x v="2"/>
    <x v="1"/>
    <x v="0"/>
    <x v="2"/>
    <x v="1"/>
    <x v="3"/>
    <x v="3"/>
    <x v="3"/>
    <x v="0"/>
    <x v="0"/>
    <x v="0"/>
    <x v="3"/>
  </r>
  <r>
    <x v="4"/>
    <x v="3"/>
    <x v="2"/>
    <x v="0"/>
    <x v="1"/>
    <x v="3"/>
    <x v="3"/>
    <x v="4"/>
    <x v="3"/>
    <x v="4"/>
    <x v="0"/>
    <x v="1"/>
    <x v="1"/>
    <x v="4"/>
  </r>
  <r>
    <x v="5"/>
    <x v="4"/>
    <x v="1"/>
    <x v="0"/>
    <x v="2"/>
    <x v="4"/>
    <x v="4"/>
    <x v="5"/>
    <x v="4"/>
    <x v="5"/>
    <x v="0"/>
    <x v="0"/>
    <x v="0"/>
    <x v="5"/>
  </r>
  <r>
    <x v="6"/>
    <x v="5"/>
    <x v="2"/>
    <x v="1"/>
    <x v="3"/>
    <x v="5"/>
    <x v="5"/>
    <x v="6"/>
    <x v="5"/>
    <x v="6"/>
    <x v="1"/>
    <x v="0"/>
    <x v="0"/>
    <x v="6"/>
  </r>
  <r>
    <x v="7"/>
    <x v="6"/>
    <x v="1"/>
    <x v="0"/>
    <x v="1"/>
    <x v="6"/>
    <x v="6"/>
    <x v="7"/>
    <x v="6"/>
    <x v="7"/>
    <x v="2"/>
    <x v="0"/>
    <x v="0"/>
    <x v="7"/>
  </r>
  <r>
    <x v="8"/>
    <x v="7"/>
    <x v="1"/>
    <x v="1"/>
    <x v="4"/>
    <x v="2"/>
    <x v="7"/>
    <x v="8"/>
    <x v="4"/>
    <x v="8"/>
    <x v="2"/>
    <x v="0"/>
    <x v="0"/>
    <x v="8"/>
  </r>
  <r>
    <x v="9"/>
    <x v="8"/>
    <x v="0"/>
    <x v="1"/>
    <x v="2"/>
    <x v="7"/>
    <x v="8"/>
    <x v="9"/>
    <x v="4"/>
    <x v="9"/>
    <x v="2"/>
    <x v="1"/>
    <x v="1"/>
    <x v="9"/>
  </r>
  <r>
    <x v="10"/>
    <x v="9"/>
    <x v="3"/>
    <x v="0"/>
    <x v="0"/>
    <x v="0"/>
    <x v="9"/>
    <x v="10"/>
    <x v="7"/>
    <x v="10"/>
    <x v="1"/>
    <x v="1"/>
    <x v="1"/>
    <x v="10"/>
  </r>
  <r>
    <x v="11"/>
    <x v="10"/>
    <x v="3"/>
    <x v="1"/>
    <x v="2"/>
    <x v="8"/>
    <x v="10"/>
    <x v="9"/>
    <x v="3"/>
    <x v="11"/>
    <x v="0"/>
    <x v="0"/>
    <x v="0"/>
    <x v="11"/>
  </r>
  <r>
    <x v="12"/>
    <x v="11"/>
    <x v="1"/>
    <x v="0"/>
    <x v="2"/>
    <x v="9"/>
    <x v="11"/>
    <x v="11"/>
    <x v="8"/>
    <x v="12"/>
    <x v="3"/>
    <x v="1"/>
    <x v="1"/>
    <x v="12"/>
  </r>
  <r>
    <x v="13"/>
    <x v="12"/>
    <x v="0"/>
    <x v="1"/>
    <x v="2"/>
    <x v="2"/>
    <x v="12"/>
    <x v="12"/>
    <x v="9"/>
    <x v="13"/>
    <x v="1"/>
    <x v="0"/>
    <x v="0"/>
    <x v="13"/>
  </r>
  <r>
    <x v="14"/>
    <x v="13"/>
    <x v="2"/>
    <x v="1"/>
    <x v="4"/>
    <x v="10"/>
    <x v="13"/>
    <x v="13"/>
    <x v="8"/>
    <x v="14"/>
    <x v="0"/>
    <x v="0"/>
    <x v="0"/>
    <x v="14"/>
  </r>
  <r>
    <x v="15"/>
    <x v="14"/>
    <x v="3"/>
    <x v="1"/>
    <x v="4"/>
    <x v="2"/>
    <x v="14"/>
    <x v="14"/>
    <x v="10"/>
    <x v="15"/>
    <x v="0"/>
    <x v="0"/>
    <x v="0"/>
    <x v="15"/>
  </r>
  <r>
    <x v="16"/>
    <x v="15"/>
    <x v="2"/>
    <x v="0"/>
    <x v="0"/>
    <x v="11"/>
    <x v="15"/>
    <x v="15"/>
    <x v="0"/>
    <x v="16"/>
    <x v="0"/>
    <x v="0"/>
    <x v="0"/>
    <x v="16"/>
  </r>
  <r>
    <x v="17"/>
    <x v="8"/>
    <x v="0"/>
    <x v="1"/>
    <x v="0"/>
    <x v="12"/>
    <x v="16"/>
    <x v="16"/>
    <x v="5"/>
    <x v="17"/>
    <x v="2"/>
    <x v="0"/>
    <x v="0"/>
    <x v="17"/>
  </r>
  <r>
    <x v="18"/>
    <x v="16"/>
    <x v="3"/>
    <x v="1"/>
    <x v="4"/>
    <x v="13"/>
    <x v="17"/>
    <x v="17"/>
    <x v="11"/>
    <x v="18"/>
    <x v="3"/>
    <x v="1"/>
    <x v="1"/>
    <x v="18"/>
  </r>
  <r>
    <x v="19"/>
    <x v="8"/>
    <x v="0"/>
    <x v="0"/>
    <x v="1"/>
    <x v="14"/>
    <x v="18"/>
    <x v="18"/>
    <x v="6"/>
    <x v="19"/>
    <x v="2"/>
    <x v="0"/>
    <x v="0"/>
    <x v="19"/>
  </r>
  <r>
    <x v="20"/>
    <x v="4"/>
    <x v="1"/>
    <x v="1"/>
    <x v="0"/>
    <x v="9"/>
    <x v="19"/>
    <x v="19"/>
    <x v="2"/>
    <x v="20"/>
    <x v="1"/>
    <x v="0"/>
    <x v="0"/>
    <x v="20"/>
  </r>
  <r>
    <x v="21"/>
    <x v="6"/>
    <x v="1"/>
    <x v="0"/>
    <x v="0"/>
    <x v="15"/>
    <x v="20"/>
    <x v="20"/>
    <x v="4"/>
    <x v="21"/>
    <x v="3"/>
    <x v="0"/>
    <x v="0"/>
    <x v="21"/>
  </r>
  <r>
    <x v="22"/>
    <x v="17"/>
    <x v="4"/>
    <x v="1"/>
    <x v="3"/>
    <x v="16"/>
    <x v="21"/>
    <x v="21"/>
    <x v="6"/>
    <x v="22"/>
    <x v="3"/>
    <x v="1"/>
    <x v="1"/>
    <x v="22"/>
  </r>
  <r>
    <x v="23"/>
    <x v="18"/>
    <x v="1"/>
    <x v="1"/>
    <x v="1"/>
    <x v="13"/>
    <x v="22"/>
    <x v="22"/>
    <x v="12"/>
    <x v="23"/>
    <x v="0"/>
    <x v="0"/>
    <x v="0"/>
    <x v="23"/>
  </r>
  <r>
    <x v="24"/>
    <x v="19"/>
    <x v="2"/>
    <x v="1"/>
    <x v="3"/>
    <x v="17"/>
    <x v="23"/>
    <x v="23"/>
    <x v="9"/>
    <x v="2"/>
    <x v="3"/>
    <x v="0"/>
    <x v="0"/>
    <x v="24"/>
  </r>
  <r>
    <x v="25"/>
    <x v="20"/>
    <x v="1"/>
    <x v="1"/>
    <x v="1"/>
    <x v="18"/>
    <x v="24"/>
    <x v="24"/>
    <x v="13"/>
    <x v="24"/>
    <x v="0"/>
    <x v="0"/>
    <x v="0"/>
    <x v="25"/>
  </r>
  <r>
    <x v="26"/>
    <x v="21"/>
    <x v="1"/>
    <x v="0"/>
    <x v="0"/>
    <x v="13"/>
    <x v="25"/>
    <x v="25"/>
    <x v="11"/>
    <x v="25"/>
    <x v="2"/>
    <x v="1"/>
    <x v="1"/>
    <x v="26"/>
  </r>
  <r>
    <x v="27"/>
    <x v="13"/>
    <x v="2"/>
    <x v="0"/>
    <x v="3"/>
    <x v="7"/>
    <x v="26"/>
    <x v="26"/>
    <x v="4"/>
    <x v="26"/>
    <x v="3"/>
    <x v="0"/>
    <x v="0"/>
    <x v="27"/>
  </r>
  <r>
    <x v="28"/>
    <x v="22"/>
    <x v="0"/>
    <x v="1"/>
    <x v="4"/>
    <x v="11"/>
    <x v="27"/>
    <x v="27"/>
    <x v="6"/>
    <x v="27"/>
    <x v="3"/>
    <x v="0"/>
    <x v="0"/>
    <x v="28"/>
  </r>
  <r>
    <x v="29"/>
    <x v="23"/>
    <x v="3"/>
    <x v="1"/>
    <x v="2"/>
    <x v="9"/>
    <x v="28"/>
    <x v="16"/>
    <x v="0"/>
    <x v="28"/>
    <x v="3"/>
    <x v="0"/>
    <x v="0"/>
    <x v="29"/>
  </r>
  <r>
    <x v="30"/>
    <x v="24"/>
    <x v="1"/>
    <x v="1"/>
    <x v="2"/>
    <x v="9"/>
    <x v="18"/>
    <x v="28"/>
    <x v="10"/>
    <x v="29"/>
    <x v="1"/>
    <x v="0"/>
    <x v="0"/>
    <x v="30"/>
  </r>
  <r>
    <x v="31"/>
    <x v="25"/>
    <x v="2"/>
    <x v="1"/>
    <x v="4"/>
    <x v="13"/>
    <x v="29"/>
    <x v="29"/>
    <x v="2"/>
    <x v="21"/>
    <x v="1"/>
    <x v="1"/>
    <x v="1"/>
    <x v="31"/>
  </r>
  <r>
    <x v="32"/>
    <x v="13"/>
    <x v="2"/>
    <x v="1"/>
    <x v="1"/>
    <x v="15"/>
    <x v="30"/>
    <x v="22"/>
    <x v="1"/>
    <x v="30"/>
    <x v="1"/>
    <x v="0"/>
    <x v="0"/>
    <x v="32"/>
  </r>
  <r>
    <x v="33"/>
    <x v="26"/>
    <x v="2"/>
    <x v="0"/>
    <x v="4"/>
    <x v="17"/>
    <x v="31"/>
    <x v="30"/>
    <x v="14"/>
    <x v="31"/>
    <x v="1"/>
    <x v="0"/>
    <x v="0"/>
    <x v="33"/>
  </r>
  <r>
    <x v="34"/>
    <x v="27"/>
    <x v="1"/>
    <x v="1"/>
    <x v="0"/>
    <x v="5"/>
    <x v="32"/>
    <x v="31"/>
    <x v="4"/>
    <x v="32"/>
    <x v="0"/>
    <x v="0"/>
    <x v="0"/>
    <x v="34"/>
  </r>
  <r>
    <x v="35"/>
    <x v="28"/>
    <x v="3"/>
    <x v="0"/>
    <x v="0"/>
    <x v="12"/>
    <x v="33"/>
    <x v="32"/>
    <x v="10"/>
    <x v="33"/>
    <x v="3"/>
    <x v="0"/>
    <x v="0"/>
    <x v="35"/>
  </r>
  <r>
    <x v="36"/>
    <x v="29"/>
    <x v="2"/>
    <x v="0"/>
    <x v="1"/>
    <x v="19"/>
    <x v="34"/>
    <x v="33"/>
    <x v="12"/>
    <x v="34"/>
    <x v="2"/>
    <x v="0"/>
    <x v="0"/>
    <x v="36"/>
  </r>
  <r>
    <x v="37"/>
    <x v="29"/>
    <x v="2"/>
    <x v="1"/>
    <x v="1"/>
    <x v="9"/>
    <x v="24"/>
    <x v="34"/>
    <x v="9"/>
    <x v="35"/>
    <x v="0"/>
    <x v="0"/>
    <x v="0"/>
    <x v="37"/>
  </r>
  <r>
    <x v="38"/>
    <x v="30"/>
    <x v="2"/>
    <x v="1"/>
    <x v="1"/>
    <x v="20"/>
    <x v="4"/>
    <x v="35"/>
    <x v="8"/>
    <x v="36"/>
    <x v="0"/>
    <x v="0"/>
    <x v="0"/>
    <x v="38"/>
  </r>
  <r>
    <x v="39"/>
    <x v="6"/>
    <x v="1"/>
    <x v="1"/>
    <x v="4"/>
    <x v="2"/>
    <x v="35"/>
    <x v="36"/>
    <x v="6"/>
    <x v="37"/>
    <x v="3"/>
    <x v="0"/>
    <x v="0"/>
    <x v="39"/>
  </r>
  <r>
    <x v="40"/>
    <x v="31"/>
    <x v="3"/>
    <x v="0"/>
    <x v="1"/>
    <x v="17"/>
    <x v="36"/>
    <x v="37"/>
    <x v="13"/>
    <x v="34"/>
    <x v="3"/>
    <x v="0"/>
    <x v="0"/>
    <x v="40"/>
  </r>
  <r>
    <x v="41"/>
    <x v="32"/>
    <x v="1"/>
    <x v="1"/>
    <x v="3"/>
    <x v="11"/>
    <x v="37"/>
    <x v="38"/>
    <x v="13"/>
    <x v="38"/>
    <x v="2"/>
    <x v="0"/>
    <x v="0"/>
    <x v="41"/>
  </r>
  <r>
    <x v="42"/>
    <x v="5"/>
    <x v="2"/>
    <x v="1"/>
    <x v="1"/>
    <x v="12"/>
    <x v="38"/>
    <x v="39"/>
    <x v="4"/>
    <x v="39"/>
    <x v="3"/>
    <x v="0"/>
    <x v="0"/>
    <x v="42"/>
  </r>
  <r>
    <x v="43"/>
    <x v="2"/>
    <x v="2"/>
    <x v="0"/>
    <x v="2"/>
    <x v="13"/>
    <x v="31"/>
    <x v="19"/>
    <x v="13"/>
    <x v="40"/>
    <x v="1"/>
    <x v="0"/>
    <x v="0"/>
    <x v="43"/>
  </r>
  <r>
    <x v="44"/>
    <x v="33"/>
    <x v="1"/>
    <x v="0"/>
    <x v="1"/>
    <x v="21"/>
    <x v="39"/>
    <x v="28"/>
    <x v="8"/>
    <x v="41"/>
    <x v="1"/>
    <x v="0"/>
    <x v="0"/>
    <x v="44"/>
  </r>
  <r>
    <x v="45"/>
    <x v="34"/>
    <x v="4"/>
    <x v="0"/>
    <x v="2"/>
    <x v="4"/>
    <x v="17"/>
    <x v="40"/>
    <x v="9"/>
    <x v="42"/>
    <x v="0"/>
    <x v="1"/>
    <x v="1"/>
    <x v="45"/>
  </r>
  <r>
    <x v="46"/>
    <x v="35"/>
    <x v="1"/>
    <x v="1"/>
    <x v="4"/>
    <x v="22"/>
    <x v="40"/>
    <x v="41"/>
    <x v="14"/>
    <x v="5"/>
    <x v="1"/>
    <x v="0"/>
    <x v="0"/>
    <x v="46"/>
  </r>
  <r>
    <x v="47"/>
    <x v="36"/>
    <x v="2"/>
    <x v="0"/>
    <x v="3"/>
    <x v="23"/>
    <x v="41"/>
    <x v="42"/>
    <x v="2"/>
    <x v="43"/>
    <x v="1"/>
    <x v="0"/>
    <x v="0"/>
    <x v="47"/>
  </r>
  <r>
    <x v="48"/>
    <x v="37"/>
    <x v="2"/>
    <x v="1"/>
    <x v="2"/>
    <x v="14"/>
    <x v="42"/>
    <x v="43"/>
    <x v="12"/>
    <x v="44"/>
    <x v="3"/>
    <x v="0"/>
    <x v="0"/>
    <x v="48"/>
  </r>
  <r>
    <x v="49"/>
    <x v="30"/>
    <x v="2"/>
    <x v="0"/>
    <x v="3"/>
    <x v="1"/>
    <x v="43"/>
    <x v="44"/>
    <x v="6"/>
    <x v="45"/>
    <x v="2"/>
    <x v="1"/>
    <x v="1"/>
    <x v="49"/>
  </r>
  <r>
    <x v="50"/>
    <x v="38"/>
    <x v="4"/>
    <x v="0"/>
    <x v="2"/>
    <x v="12"/>
    <x v="44"/>
    <x v="45"/>
    <x v="12"/>
    <x v="46"/>
    <x v="0"/>
    <x v="0"/>
    <x v="0"/>
    <x v="50"/>
  </r>
  <r>
    <x v="51"/>
    <x v="14"/>
    <x v="3"/>
    <x v="1"/>
    <x v="1"/>
    <x v="11"/>
    <x v="45"/>
    <x v="46"/>
    <x v="6"/>
    <x v="47"/>
    <x v="3"/>
    <x v="0"/>
    <x v="0"/>
    <x v="51"/>
  </r>
  <r>
    <x v="52"/>
    <x v="4"/>
    <x v="1"/>
    <x v="1"/>
    <x v="3"/>
    <x v="8"/>
    <x v="46"/>
    <x v="47"/>
    <x v="14"/>
    <x v="48"/>
    <x v="2"/>
    <x v="0"/>
    <x v="0"/>
    <x v="52"/>
  </r>
  <r>
    <x v="53"/>
    <x v="39"/>
    <x v="4"/>
    <x v="0"/>
    <x v="0"/>
    <x v="17"/>
    <x v="47"/>
    <x v="36"/>
    <x v="1"/>
    <x v="49"/>
    <x v="3"/>
    <x v="0"/>
    <x v="0"/>
    <x v="53"/>
  </r>
  <r>
    <x v="54"/>
    <x v="40"/>
    <x v="4"/>
    <x v="0"/>
    <x v="0"/>
    <x v="1"/>
    <x v="48"/>
    <x v="48"/>
    <x v="14"/>
    <x v="50"/>
    <x v="1"/>
    <x v="1"/>
    <x v="1"/>
    <x v="54"/>
  </r>
  <r>
    <x v="55"/>
    <x v="20"/>
    <x v="1"/>
    <x v="0"/>
    <x v="0"/>
    <x v="3"/>
    <x v="49"/>
    <x v="49"/>
    <x v="11"/>
    <x v="17"/>
    <x v="3"/>
    <x v="0"/>
    <x v="0"/>
    <x v="55"/>
  </r>
  <r>
    <x v="56"/>
    <x v="41"/>
    <x v="1"/>
    <x v="0"/>
    <x v="0"/>
    <x v="5"/>
    <x v="50"/>
    <x v="50"/>
    <x v="4"/>
    <x v="51"/>
    <x v="0"/>
    <x v="0"/>
    <x v="0"/>
    <x v="56"/>
  </r>
  <r>
    <x v="57"/>
    <x v="25"/>
    <x v="2"/>
    <x v="1"/>
    <x v="0"/>
    <x v="24"/>
    <x v="51"/>
    <x v="51"/>
    <x v="3"/>
    <x v="52"/>
    <x v="3"/>
    <x v="0"/>
    <x v="0"/>
    <x v="57"/>
  </r>
  <r>
    <x v="58"/>
    <x v="42"/>
    <x v="2"/>
    <x v="0"/>
    <x v="4"/>
    <x v="15"/>
    <x v="52"/>
    <x v="52"/>
    <x v="0"/>
    <x v="53"/>
    <x v="3"/>
    <x v="0"/>
    <x v="0"/>
    <x v="58"/>
  </r>
  <r>
    <x v="59"/>
    <x v="33"/>
    <x v="1"/>
    <x v="1"/>
    <x v="2"/>
    <x v="13"/>
    <x v="42"/>
    <x v="3"/>
    <x v="11"/>
    <x v="54"/>
    <x v="0"/>
    <x v="0"/>
    <x v="0"/>
    <x v="59"/>
  </r>
  <r>
    <x v="60"/>
    <x v="42"/>
    <x v="2"/>
    <x v="1"/>
    <x v="3"/>
    <x v="0"/>
    <x v="26"/>
    <x v="53"/>
    <x v="5"/>
    <x v="55"/>
    <x v="3"/>
    <x v="1"/>
    <x v="1"/>
    <x v="60"/>
  </r>
  <r>
    <x v="61"/>
    <x v="6"/>
    <x v="1"/>
    <x v="0"/>
    <x v="0"/>
    <x v="1"/>
    <x v="26"/>
    <x v="54"/>
    <x v="3"/>
    <x v="56"/>
    <x v="0"/>
    <x v="1"/>
    <x v="1"/>
    <x v="61"/>
  </r>
  <r>
    <x v="62"/>
    <x v="0"/>
    <x v="0"/>
    <x v="1"/>
    <x v="3"/>
    <x v="24"/>
    <x v="53"/>
    <x v="55"/>
    <x v="12"/>
    <x v="57"/>
    <x v="2"/>
    <x v="0"/>
    <x v="0"/>
    <x v="62"/>
  </r>
  <r>
    <x v="63"/>
    <x v="16"/>
    <x v="3"/>
    <x v="0"/>
    <x v="4"/>
    <x v="23"/>
    <x v="7"/>
    <x v="56"/>
    <x v="3"/>
    <x v="58"/>
    <x v="1"/>
    <x v="1"/>
    <x v="1"/>
    <x v="63"/>
  </r>
  <r>
    <x v="64"/>
    <x v="43"/>
    <x v="0"/>
    <x v="1"/>
    <x v="4"/>
    <x v="0"/>
    <x v="54"/>
    <x v="57"/>
    <x v="7"/>
    <x v="5"/>
    <x v="0"/>
    <x v="0"/>
    <x v="0"/>
    <x v="64"/>
  </r>
  <r>
    <x v="65"/>
    <x v="43"/>
    <x v="0"/>
    <x v="1"/>
    <x v="0"/>
    <x v="24"/>
    <x v="55"/>
    <x v="58"/>
    <x v="5"/>
    <x v="59"/>
    <x v="0"/>
    <x v="0"/>
    <x v="0"/>
    <x v="65"/>
  </r>
  <r>
    <x v="66"/>
    <x v="44"/>
    <x v="2"/>
    <x v="1"/>
    <x v="2"/>
    <x v="6"/>
    <x v="56"/>
    <x v="59"/>
    <x v="4"/>
    <x v="60"/>
    <x v="2"/>
    <x v="0"/>
    <x v="0"/>
    <x v="66"/>
  </r>
  <r>
    <x v="67"/>
    <x v="45"/>
    <x v="2"/>
    <x v="0"/>
    <x v="3"/>
    <x v="7"/>
    <x v="57"/>
    <x v="60"/>
    <x v="1"/>
    <x v="61"/>
    <x v="0"/>
    <x v="0"/>
    <x v="0"/>
    <x v="67"/>
  </r>
  <r>
    <x v="68"/>
    <x v="36"/>
    <x v="2"/>
    <x v="1"/>
    <x v="2"/>
    <x v="11"/>
    <x v="58"/>
    <x v="61"/>
    <x v="13"/>
    <x v="62"/>
    <x v="3"/>
    <x v="0"/>
    <x v="0"/>
    <x v="68"/>
  </r>
  <r>
    <x v="69"/>
    <x v="46"/>
    <x v="2"/>
    <x v="1"/>
    <x v="3"/>
    <x v="8"/>
    <x v="14"/>
    <x v="62"/>
    <x v="12"/>
    <x v="63"/>
    <x v="3"/>
    <x v="0"/>
    <x v="0"/>
    <x v="69"/>
  </r>
  <r>
    <x v="70"/>
    <x v="47"/>
    <x v="3"/>
    <x v="0"/>
    <x v="0"/>
    <x v="3"/>
    <x v="59"/>
    <x v="63"/>
    <x v="2"/>
    <x v="64"/>
    <x v="1"/>
    <x v="1"/>
    <x v="1"/>
    <x v="70"/>
  </r>
  <r>
    <x v="71"/>
    <x v="48"/>
    <x v="1"/>
    <x v="0"/>
    <x v="4"/>
    <x v="0"/>
    <x v="60"/>
    <x v="64"/>
    <x v="5"/>
    <x v="65"/>
    <x v="1"/>
    <x v="1"/>
    <x v="1"/>
    <x v="71"/>
  </r>
  <r>
    <x v="72"/>
    <x v="49"/>
    <x v="1"/>
    <x v="0"/>
    <x v="4"/>
    <x v="19"/>
    <x v="61"/>
    <x v="63"/>
    <x v="10"/>
    <x v="66"/>
    <x v="1"/>
    <x v="0"/>
    <x v="0"/>
    <x v="72"/>
  </r>
  <r>
    <x v="73"/>
    <x v="50"/>
    <x v="2"/>
    <x v="0"/>
    <x v="4"/>
    <x v="6"/>
    <x v="62"/>
    <x v="65"/>
    <x v="3"/>
    <x v="67"/>
    <x v="0"/>
    <x v="0"/>
    <x v="0"/>
    <x v="73"/>
  </r>
  <r>
    <x v="74"/>
    <x v="51"/>
    <x v="2"/>
    <x v="0"/>
    <x v="2"/>
    <x v="2"/>
    <x v="63"/>
    <x v="66"/>
    <x v="2"/>
    <x v="16"/>
    <x v="3"/>
    <x v="1"/>
    <x v="1"/>
    <x v="74"/>
  </r>
  <r>
    <x v="75"/>
    <x v="52"/>
    <x v="2"/>
    <x v="1"/>
    <x v="3"/>
    <x v="7"/>
    <x v="64"/>
    <x v="67"/>
    <x v="0"/>
    <x v="68"/>
    <x v="1"/>
    <x v="0"/>
    <x v="0"/>
    <x v="75"/>
  </r>
  <r>
    <x v="76"/>
    <x v="3"/>
    <x v="2"/>
    <x v="0"/>
    <x v="2"/>
    <x v="23"/>
    <x v="32"/>
    <x v="68"/>
    <x v="9"/>
    <x v="69"/>
    <x v="3"/>
    <x v="0"/>
    <x v="0"/>
    <x v="76"/>
  </r>
  <r>
    <x v="77"/>
    <x v="40"/>
    <x v="4"/>
    <x v="1"/>
    <x v="4"/>
    <x v="21"/>
    <x v="12"/>
    <x v="69"/>
    <x v="6"/>
    <x v="40"/>
    <x v="2"/>
    <x v="0"/>
    <x v="0"/>
    <x v="77"/>
  </r>
  <r>
    <x v="78"/>
    <x v="48"/>
    <x v="1"/>
    <x v="0"/>
    <x v="1"/>
    <x v="4"/>
    <x v="65"/>
    <x v="70"/>
    <x v="4"/>
    <x v="70"/>
    <x v="2"/>
    <x v="0"/>
    <x v="0"/>
    <x v="78"/>
  </r>
  <r>
    <x v="79"/>
    <x v="35"/>
    <x v="1"/>
    <x v="1"/>
    <x v="4"/>
    <x v="11"/>
    <x v="66"/>
    <x v="27"/>
    <x v="1"/>
    <x v="71"/>
    <x v="1"/>
    <x v="0"/>
    <x v="0"/>
    <x v="79"/>
  </r>
  <r>
    <x v="80"/>
    <x v="12"/>
    <x v="0"/>
    <x v="0"/>
    <x v="3"/>
    <x v="8"/>
    <x v="67"/>
    <x v="71"/>
    <x v="0"/>
    <x v="51"/>
    <x v="1"/>
    <x v="0"/>
    <x v="0"/>
    <x v="80"/>
  </r>
  <r>
    <x v="81"/>
    <x v="53"/>
    <x v="1"/>
    <x v="1"/>
    <x v="1"/>
    <x v="13"/>
    <x v="68"/>
    <x v="72"/>
    <x v="5"/>
    <x v="72"/>
    <x v="0"/>
    <x v="0"/>
    <x v="0"/>
    <x v="81"/>
  </r>
  <r>
    <x v="82"/>
    <x v="54"/>
    <x v="1"/>
    <x v="0"/>
    <x v="1"/>
    <x v="0"/>
    <x v="69"/>
    <x v="73"/>
    <x v="13"/>
    <x v="73"/>
    <x v="3"/>
    <x v="0"/>
    <x v="0"/>
    <x v="82"/>
  </r>
  <r>
    <x v="83"/>
    <x v="55"/>
    <x v="2"/>
    <x v="0"/>
    <x v="2"/>
    <x v="22"/>
    <x v="7"/>
    <x v="74"/>
    <x v="7"/>
    <x v="74"/>
    <x v="0"/>
    <x v="0"/>
    <x v="0"/>
    <x v="83"/>
  </r>
  <r>
    <x v="84"/>
    <x v="50"/>
    <x v="2"/>
    <x v="1"/>
    <x v="0"/>
    <x v="0"/>
    <x v="70"/>
    <x v="11"/>
    <x v="6"/>
    <x v="75"/>
    <x v="0"/>
    <x v="0"/>
    <x v="0"/>
    <x v="84"/>
  </r>
  <r>
    <x v="85"/>
    <x v="56"/>
    <x v="1"/>
    <x v="0"/>
    <x v="4"/>
    <x v="11"/>
    <x v="71"/>
    <x v="1"/>
    <x v="7"/>
    <x v="52"/>
    <x v="1"/>
    <x v="0"/>
    <x v="0"/>
    <x v="85"/>
  </r>
  <r>
    <x v="86"/>
    <x v="11"/>
    <x v="1"/>
    <x v="1"/>
    <x v="4"/>
    <x v="18"/>
    <x v="72"/>
    <x v="75"/>
    <x v="0"/>
    <x v="61"/>
    <x v="3"/>
    <x v="0"/>
    <x v="0"/>
    <x v="86"/>
  </r>
  <r>
    <x v="87"/>
    <x v="47"/>
    <x v="3"/>
    <x v="0"/>
    <x v="0"/>
    <x v="9"/>
    <x v="73"/>
    <x v="20"/>
    <x v="12"/>
    <x v="25"/>
    <x v="2"/>
    <x v="0"/>
    <x v="0"/>
    <x v="87"/>
  </r>
  <r>
    <x v="88"/>
    <x v="57"/>
    <x v="2"/>
    <x v="0"/>
    <x v="1"/>
    <x v="1"/>
    <x v="74"/>
    <x v="76"/>
    <x v="14"/>
    <x v="76"/>
    <x v="3"/>
    <x v="0"/>
    <x v="0"/>
    <x v="88"/>
  </r>
  <r>
    <x v="89"/>
    <x v="55"/>
    <x v="2"/>
    <x v="1"/>
    <x v="2"/>
    <x v="11"/>
    <x v="75"/>
    <x v="77"/>
    <x v="7"/>
    <x v="77"/>
    <x v="1"/>
    <x v="0"/>
    <x v="0"/>
    <x v="89"/>
  </r>
  <r>
    <x v="90"/>
    <x v="58"/>
    <x v="1"/>
    <x v="1"/>
    <x v="4"/>
    <x v="14"/>
    <x v="76"/>
    <x v="30"/>
    <x v="6"/>
    <x v="78"/>
    <x v="2"/>
    <x v="1"/>
    <x v="1"/>
    <x v="90"/>
  </r>
  <r>
    <x v="91"/>
    <x v="2"/>
    <x v="2"/>
    <x v="1"/>
    <x v="2"/>
    <x v="22"/>
    <x v="77"/>
    <x v="78"/>
    <x v="7"/>
    <x v="72"/>
    <x v="0"/>
    <x v="1"/>
    <x v="1"/>
    <x v="91"/>
  </r>
  <r>
    <x v="92"/>
    <x v="59"/>
    <x v="2"/>
    <x v="1"/>
    <x v="0"/>
    <x v="23"/>
    <x v="71"/>
    <x v="79"/>
    <x v="3"/>
    <x v="79"/>
    <x v="3"/>
    <x v="0"/>
    <x v="0"/>
    <x v="92"/>
  </r>
  <r>
    <x v="93"/>
    <x v="20"/>
    <x v="1"/>
    <x v="1"/>
    <x v="3"/>
    <x v="9"/>
    <x v="8"/>
    <x v="80"/>
    <x v="5"/>
    <x v="9"/>
    <x v="1"/>
    <x v="0"/>
    <x v="0"/>
    <x v="93"/>
  </r>
  <r>
    <x v="94"/>
    <x v="60"/>
    <x v="1"/>
    <x v="1"/>
    <x v="2"/>
    <x v="1"/>
    <x v="78"/>
    <x v="81"/>
    <x v="5"/>
    <x v="80"/>
    <x v="0"/>
    <x v="0"/>
    <x v="0"/>
    <x v="94"/>
  </r>
  <r>
    <x v="95"/>
    <x v="61"/>
    <x v="1"/>
    <x v="0"/>
    <x v="1"/>
    <x v="4"/>
    <x v="79"/>
    <x v="82"/>
    <x v="10"/>
    <x v="13"/>
    <x v="2"/>
    <x v="0"/>
    <x v="0"/>
    <x v="95"/>
  </r>
  <r>
    <x v="96"/>
    <x v="40"/>
    <x v="4"/>
    <x v="1"/>
    <x v="2"/>
    <x v="0"/>
    <x v="80"/>
    <x v="83"/>
    <x v="7"/>
    <x v="81"/>
    <x v="1"/>
    <x v="0"/>
    <x v="0"/>
    <x v="96"/>
  </r>
  <r>
    <x v="97"/>
    <x v="10"/>
    <x v="3"/>
    <x v="1"/>
    <x v="3"/>
    <x v="21"/>
    <x v="21"/>
    <x v="9"/>
    <x v="0"/>
    <x v="82"/>
    <x v="3"/>
    <x v="0"/>
    <x v="0"/>
    <x v="97"/>
  </r>
  <r>
    <x v="98"/>
    <x v="42"/>
    <x v="2"/>
    <x v="0"/>
    <x v="3"/>
    <x v="0"/>
    <x v="81"/>
    <x v="84"/>
    <x v="4"/>
    <x v="83"/>
    <x v="2"/>
    <x v="1"/>
    <x v="1"/>
    <x v="98"/>
  </r>
  <r>
    <x v="99"/>
    <x v="62"/>
    <x v="3"/>
    <x v="1"/>
    <x v="4"/>
    <x v="2"/>
    <x v="82"/>
    <x v="85"/>
    <x v="9"/>
    <x v="84"/>
    <x v="1"/>
    <x v="0"/>
    <x v="0"/>
    <x v="99"/>
  </r>
  <r>
    <x v="100"/>
    <x v="36"/>
    <x v="2"/>
    <x v="0"/>
    <x v="0"/>
    <x v="1"/>
    <x v="33"/>
    <x v="86"/>
    <x v="2"/>
    <x v="85"/>
    <x v="3"/>
    <x v="0"/>
    <x v="0"/>
    <x v="100"/>
  </r>
  <r>
    <x v="101"/>
    <x v="1"/>
    <x v="1"/>
    <x v="0"/>
    <x v="3"/>
    <x v="23"/>
    <x v="4"/>
    <x v="87"/>
    <x v="13"/>
    <x v="86"/>
    <x v="2"/>
    <x v="1"/>
    <x v="1"/>
    <x v="101"/>
  </r>
  <r>
    <x v="102"/>
    <x v="25"/>
    <x v="2"/>
    <x v="0"/>
    <x v="3"/>
    <x v="13"/>
    <x v="83"/>
    <x v="88"/>
    <x v="1"/>
    <x v="87"/>
    <x v="3"/>
    <x v="0"/>
    <x v="0"/>
    <x v="102"/>
  </r>
  <r>
    <x v="103"/>
    <x v="63"/>
    <x v="2"/>
    <x v="1"/>
    <x v="3"/>
    <x v="21"/>
    <x v="84"/>
    <x v="89"/>
    <x v="10"/>
    <x v="88"/>
    <x v="3"/>
    <x v="0"/>
    <x v="0"/>
    <x v="103"/>
  </r>
  <r>
    <x v="104"/>
    <x v="18"/>
    <x v="1"/>
    <x v="1"/>
    <x v="1"/>
    <x v="8"/>
    <x v="85"/>
    <x v="90"/>
    <x v="11"/>
    <x v="33"/>
    <x v="1"/>
    <x v="1"/>
    <x v="1"/>
    <x v="104"/>
  </r>
  <r>
    <x v="105"/>
    <x v="63"/>
    <x v="2"/>
    <x v="0"/>
    <x v="4"/>
    <x v="18"/>
    <x v="54"/>
    <x v="4"/>
    <x v="5"/>
    <x v="89"/>
    <x v="0"/>
    <x v="0"/>
    <x v="0"/>
    <x v="105"/>
  </r>
  <r>
    <x v="106"/>
    <x v="57"/>
    <x v="2"/>
    <x v="1"/>
    <x v="1"/>
    <x v="22"/>
    <x v="86"/>
    <x v="91"/>
    <x v="12"/>
    <x v="90"/>
    <x v="0"/>
    <x v="1"/>
    <x v="1"/>
    <x v="106"/>
  </r>
  <r>
    <x v="107"/>
    <x v="0"/>
    <x v="0"/>
    <x v="1"/>
    <x v="4"/>
    <x v="11"/>
    <x v="87"/>
    <x v="92"/>
    <x v="4"/>
    <x v="91"/>
    <x v="1"/>
    <x v="0"/>
    <x v="0"/>
    <x v="107"/>
  </r>
  <r>
    <x v="108"/>
    <x v="64"/>
    <x v="1"/>
    <x v="0"/>
    <x v="2"/>
    <x v="12"/>
    <x v="88"/>
    <x v="93"/>
    <x v="6"/>
    <x v="92"/>
    <x v="2"/>
    <x v="0"/>
    <x v="0"/>
    <x v="108"/>
  </r>
  <r>
    <x v="109"/>
    <x v="37"/>
    <x v="2"/>
    <x v="1"/>
    <x v="3"/>
    <x v="14"/>
    <x v="89"/>
    <x v="94"/>
    <x v="5"/>
    <x v="93"/>
    <x v="2"/>
    <x v="1"/>
    <x v="1"/>
    <x v="109"/>
  </r>
  <r>
    <x v="110"/>
    <x v="65"/>
    <x v="2"/>
    <x v="1"/>
    <x v="3"/>
    <x v="20"/>
    <x v="90"/>
    <x v="95"/>
    <x v="7"/>
    <x v="94"/>
    <x v="2"/>
    <x v="0"/>
    <x v="0"/>
    <x v="110"/>
  </r>
  <r>
    <x v="111"/>
    <x v="36"/>
    <x v="2"/>
    <x v="0"/>
    <x v="4"/>
    <x v="1"/>
    <x v="91"/>
    <x v="96"/>
    <x v="10"/>
    <x v="44"/>
    <x v="2"/>
    <x v="1"/>
    <x v="1"/>
    <x v="111"/>
  </r>
  <r>
    <x v="112"/>
    <x v="37"/>
    <x v="2"/>
    <x v="0"/>
    <x v="2"/>
    <x v="20"/>
    <x v="92"/>
    <x v="33"/>
    <x v="6"/>
    <x v="70"/>
    <x v="0"/>
    <x v="1"/>
    <x v="1"/>
    <x v="112"/>
  </r>
  <r>
    <x v="113"/>
    <x v="11"/>
    <x v="1"/>
    <x v="1"/>
    <x v="2"/>
    <x v="3"/>
    <x v="93"/>
    <x v="97"/>
    <x v="10"/>
    <x v="95"/>
    <x v="1"/>
    <x v="0"/>
    <x v="0"/>
    <x v="113"/>
  </r>
  <r>
    <x v="114"/>
    <x v="7"/>
    <x v="1"/>
    <x v="1"/>
    <x v="2"/>
    <x v="5"/>
    <x v="94"/>
    <x v="39"/>
    <x v="6"/>
    <x v="96"/>
    <x v="0"/>
    <x v="0"/>
    <x v="0"/>
    <x v="114"/>
  </r>
  <r>
    <x v="115"/>
    <x v="33"/>
    <x v="1"/>
    <x v="0"/>
    <x v="0"/>
    <x v="9"/>
    <x v="95"/>
    <x v="43"/>
    <x v="1"/>
    <x v="70"/>
    <x v="1"/>
    <x v="1"/>
    <x v="1"/>
    <x v="115"/>
  </r>
  <r>
    <x v="116"/>
    <x v="1"/>
    <x v="1"/>
    <x v="0"/>
    <x v="2"/>
    <x v="10"/>
    <x v="55"/>
    <x v="98"/>
    <x v="8"/>
    <x v="55"/>
    <x v="2"/>
    <x v="0"/>
    <x v="0"/>
    <x v="116"/>
  </r>
  <r>
    <x v="117"/>
    <x v="46"/>
    <x v="2"/>
    <x v="1"/>
    <x v="3"/>
    <x v="9"/>
    <x v="27"/>
    <x v="99"/>
    <x v="2"/>
    <x v="97"/>
    <x v="2"/>
    <x v="1"/>
    <x v="1"/>
    <x v="117"/>
  </r>
  <r>
    <x v="118"/>
    <x v="66"/>
    <x v="2"/>
    <x v="1"/>
    <x v="4"/>
    <x v="15"/>
    <x v="96"/>
    <x v="100"/>
    <x v="0"/>
    <x v="98"/>
    <x v="3"/>
    <x v="0"/>
    <x v="0"/>
    <x v="118"/>
  </r>
  <r>
    <x v="119"/>
    <x v="33"/>
    <x v="1"/>
    <x v="0"/>
    <x v="4"/>
    <x v="21"/>
    <x v="97"/>
    <x v="101"/>
    <x v="4"/>
    <x v="99"/>
    <x v="3"/>
    <x v="0"/>
    <x v="0"/>
    <x v="119"/>
  </r>
  <r>
    <x v="120"/>
    <x v="49"/>
    <x v="1"/>
    <x v="1"/>
    <x v="1"/>
    <x v="18"/>
    <x v="98"/>
    <x v="102"/>
    <x v="3"/>
    <x v="100"/>
    <x v="1"/>
    <x v="1"/>
    <x v="1"/>
    <x v="120"/>
  </r>
  <r>
    <x v="121"/>
    <x v="67"/>
    <x v="0"/>
    <x v="0"/>
    <x v="3"/>
    <x v="21"/>
    <x v="99"/>
    <x v="103"/>
    <x v="1"/>
    <x v="101"/>
    <x v="2"/>
    <x v="0"/>
    <x v="0"/>
    <x v="121"/>
  </r>
  <r>
    <x v="122"/>
    <x v="6"/>
    <x v="1"/>
    <x v="0"/>
    <x v="2"/>
    <x v="3"/>
    <x v="72"/>
    <x v="104"/>
    <x v="3"/>
    <x v="102"/>
    <x v="3"/>
    <x v="0"/>
    <x v="0"/>
    <x v="122"/>
  </r>
  <r>
    <x v="123"/>
    <x v="2"/>
    <x v="2"/>
    <x v="1"/>
    <x v="4"/>
    <x v="4"/>
    <x v="100"/>
    <x v="105"/>
    <x v="11"/>
    <x v="103"/>
    <x v="3"/>
    <x v="0"/>
    <x v="0"/>
    <x v="123"/>
  </r>
  <r>
    <x v="124"/>
    <x v="44"/>
    <x v="2"/>
    <x v="0"/>
    <x v="1"/>
    <x v="13"/>
    <x v="101"/>
    <x v="106"/>
    <x v="12"/>
    <x v="67"/>
    <x v="2"/>
    <x v="0"/>
    <x v="0"/>
    <x v="124"/>
  </r>
  <r>
    <x v="125"/>
    <x v="16"/>
    <x v="3"/>
    <x v="1"/>
    <x v="1"/>
    <x v="23"/>
    <x v="76"/>
    <x v="107"/>
    <x v="12"/>
    <x v="68"/>
    <x v="2"/>
    <x v="0"/>
    <x v="0"/>
    <x v="125"/>
  </r>
  <r>
    <x v="126"/>
    <x v="48"/>
    <x v="1"/>
    <x v="1"/>
    <x v="0"/>
    <x v="23"/>
    <x v="32"/>
    <x v="5"/>
    <x v="6"/>
    <x v="104"/>
    <x v="0"/>
    <x v="0"/>
    <x v="0"/>
    <x v="126"/>
  </r>
  <r>
    <x v="127"/>
    <x v="65"/>
    <x v="2"/>
    <x v="1"/>
    <x v="1"/>
    <x v="12"/>
    <x v="102"/>
    <x v="42"/>
    <x v="9"/>
    <x v="105"/>
    <x v="2"/>
    <x v="0"/>
    <x v="0"/>
    <x v="127"/>
  </r>
  <r>
    <x v="128"/>
    <x v="59"/>
    <x v="2"/>
    <x v="1"/>
    <x v="0"/>
    <x v="5"/>
    <x v="20"/>
    <x v="108"/>
    <x v="10"/>
    <x v="106"/>
    <x v="2"/>
    <x v="1"/>
    <x v="1"/>
    <x v="128"/>
  </r>
  <r>
    <x v="129"/>
    <x v="8"/>
    <x v="0"/>
    <x v="0"/>
    <x v="3"/>
    <x v="2"/>
    <x v="103"/>
    <x v="109"/>
    <x v="2"/>
    <x v="107"/>
    <x v="0"/>
    <x v="1"/>
    <x v="1"/>
    <x v="129"/>
  </r>
  <r>
    <x v="130"/>
    <x v="68"/>
    <x v="0"/>
    <x v="0"/>
    <x v="3"/>
    <x v="18"/>
    <x v="104"/>
    <x v="110"/>
    <x v="10"/>
    <x v="108"/>
    <x v="0"/>
    <x v="1"/>
    <x v="1"/>
    <x v="130"/>
  </r>
  <r>
    <x v="131"/>
    <x v="39"/>
    <x v="4"/>
    <x v="0"/>
    <x v="3"/>
    <x v="9"/>
    <x v="105"/>
    <x v="111"/>
    <x v="12"/>
    <x v="109"/>
    <x v="1"/>
    <x v="0"/>
    <x v="0"/>
    <x v="131"/>
  </r>
  <r>
    <x v="132"/>
    <x v="69"/>
    <x v="1"/>
    <x v="0"/>
    <x v="3"/>
    <x v="6"/>
    <x v="106"/>
    <x v="112"/>
    <x v="4"/>
    <x v="50"/>
    <x v="1"/>
    <x v="1"/>
    <x v="1"/>
    <x v="132"/>
  </r>
  <r>
    <x v="133"/>
    <x v="17"/>
    <x v="4"/>
    <x v="1"/>
    <x v="2"/>
    <x v="3"/>
    <x v="107"/>
    <x v="113"/>
    <x v="11"/>
    <x v="110"/>
    <x v="3"/>
    <x v="1"/>
    <x v="1"/>
    <x v="133"/>
  </r>
  <r>
    <x v="134"/>
    <x v="13"/>
    <x v="2"/>
    <x v="0"/>
    <x v="3"/>
    <x v="3"/>
    <x v="108"/>
    <x v="1"/>
    <x v="3"/>
    <x v="111"/>
    <x v="1"/>
    <x v="1"/>
    <x v="1"/>
    <x v="134"/>
  </r>
  <r>
    <x v="135"/>
    <x v="44"/>
    <x v="2"/>
    <x v="1"/>
    <x v="3"/>
    <x v="9"/>
    <x v="109"/>
    <x v="114"/>
    <x v="4"/>
    <x v="11"/>
    <x v="0"/>
    <x v="0"/>
    <x v="0"/>
    <x v="135"/>
  </r>
  <r>
    <x v="136"/>
    <x v="44"/>
    <x v="2"/>
    <x v="1"/>
    <x v="2"/>
    <x v="11"/>
    <x v="3"/>
    <x v="106"/>
    <x v="2"/>
    <x v="10"/>
    <x v="1"/>
    <x v="0"/>
    <x v="0"/>
    <x v="136"/>
  </r>
  <r>
    <x v="137"/>
    <x v="6"/>
    <x v="1"/>
    <x v="0"/>
    <x v="1"/>
    <x v="20"/>
    <x v="6"/>
    <x v="82"/>
    <x v="5"/>
    <x v="112"/>
    <x v="1"/>
    <x v="0"/>
    <x v="0"/>
    <x v="137"/>
  </r>
  <r>
    <x v="138"/>
    <x v="47"/>
    <x v="3"/>
    <x v="0"/>
    <x v="0"/>
    <x v="21"/>
    <x v="14"/>
    <x v="115"/>
    <x v="6"/>
    <x v="113"/>
    <x v="1"/>
    <x v="0"/>
    <x v="0"/>
    <x v="138"/>
  </r>
  <r>
    <x v="139"/>
    <x v="29"/>
    <x v="2"/>
    <x v="1"/>
    <x v="2"/>
    <x v="12"/>
    <x v="110"/>
    <x v="60"/>
    <x v="6"/>
    <x v="13"/>
    <x v="0"/>
    <x v="0"/>
    <x v="0"/>
    <x v="139"/>
  </r>
  <r>
    <x v="140"/>
    <x v="45"/>
    <x v="2"/>
    <x v="0"/>
    <x v="4"/>
    <x v="19"/>
    <x v="111"/>
    <x v="116"/>
    <x v="13"/>
    <x v="92"/>
    <x v="2"/>
    <x v="1"/>
    <x v="1"/>
    <x v="140"/>
  </r>
  <r>
    <x v="141"/>
    <x v="7"/>
    <x v="1"/>
    <x v="1"/>
    <x v="1"/>
    <x v="3"/>
    <x v="112"/>
    <x v="117"/>
    <x v="2"/>
    <x v="50"/>
    <x v="2"/>
    <x v="1"/>
    <x v="1"/>
    <x v="141"/>
  </r>
  <r>
    <x v="142"/>
    <x v="70"/>
    <x v="3"/>
    <x v="0"/>
    <x v="4"/>
    <x v="3"/>
    <x v="72"/>
    <x v="104"/>
    <x v="3"/>
    <x v="114"/>
    <x v="0"/>
    <x v="0"/>
    <x v="0"/>
    <x v="142"/>
  </r>
  <r>
    <x v="143"/>
    <x v="69"/>
    <x v="1"/>
    <x v="1"/>
    <x v="1"/>
    <x v="5"/>
    <x v="113"/>
    <x v="118"/>
    <x v="13"/>
    <x v="45"/>
    <x v="3"/>
    <x v="1"/>
    <x v="1"/>
    <x v="143"/>
  </r>
  <r>
    <x v="144"/>
    <x v="71"/>
    <x v="2"/>
    <x v="1"/>
    <x v="2"/>
    <x v="21"/>
    <x v="24"/>
    <x v="119"/>
    <x v="11"/>
    <x v="115"/>
    <x v="3"/>
    <x v="0"/>
    <x v="0"/>
    <x v="144"/>
  </r>
  <r>
    <x v="145"/>
    <x v="48"/>
    <x v="1"/>
    <x v="0"/>
    <x v="2"/>
    <x v="12"/>
    <x v="114"/>
    <x v="120"/>
    <x v="12"/>
    <x v="116"/>
    <x v="0"/>
    <x v="0"/>
    <x v="0"/>
    <x v="145"/>
  </r>
  <r>
    <x v="146"/>
    <x v="72"/>
    <x v="0"/>
    <x v="1"/>
    <x v="4"/>
    <x v="4"/>
    <x v="82"/>
    <x v="121"/>
    <x v="1"/>
    <x v="96"/>
    <x v="1"/>
    <x v="0"/>
    <x v="0"/>
    <x v="146"/>
  </r>
  <r>
    <x v="147"/>
    <x v="61"/>
    <x v="1"/>
    <x v="0"/>
    <x v="0"/>
    <x v="24"/>
    <x v="115"/>
    <x v="122"/>
    <x v="1"/>
    <x v="58"/>
    <x v="2"/>
    <x v="0"/>
    <x v="0"/>
    <x v="147"/>
  </r>
  <r>
    <x v="148"/>
    <x v="68"/>
    <x v="0"/>
    <x v="0"/>
    <x v="1"/>
    <x v="1"/>
    <x v="116"/>
    <x v="1"/>
    <x v="5"/>
    <x v="117"/>
    <x v="1"/>
    <x v="1"/>
    <x v="1"/>
    <x v="148"/>
  </r>
  <r>
    <x v="149"/>
    <x v="7"/>
    <x v="1"/>
    <x v="0"/>
    <x v="4"/>
    <x v="21"/>
    <x v="117"/>
    <x v="80"/>
    <x v="2"/>
    <x v="118"/>
    <x v="0"/>
    <x v="0"/>
    <x v="0"/>
    <x v="149"/>
  </r>
  <r>
    <x v="150"/>
    <x v="56"/>
    <x v="1"/>
    <x v="0"/>
    <x v="1"/>
    <x v="22"/>
    <x v="118"/>
    <x v="11"/>
    <x v="7"/>
    <x v="63"/>
    <x v="2"/>
    <x v="1"/>
    <x v="1"/>
    <x v="150"/>
  </r>
  <r>
    <x v="151"/>
    <x v="38"/>
    <x v="4"/>
    <x v="0"/>
    <x v="4"/>
    <x v="3"/>
    <x v="8"/>
    <x v="123"/>
    <x v="9"/>
    <x v="23"/>
    <x v="2"/>
    <x v="0"/>
    <x v="0"/>
    <x v="151"/>
  </r>
  <r>
    <x v="152"/>
    <x v="7"/>
    <x v="1"/>
    <x v="1"/>
    <x v="2"/>
    <x v="10"/>
    <x v="119"/>
    <x v="19"/>
    <x v="9"/>
    <x v="119"/>
    <x v="1"/>
    <x v="0"/>
    <x v="0"/>
    <x v="152"/>
  </r>
  <r>
    <x v="153"/>
    <x v="9"/>
    <x v="3"/>
    <x v="1"/>
    <x v="1"/>
    <x v="24"/>
    <x v="120"/>
    <x v="2"/>
    <x v="5"/>
    <x v="120"/>
    <x v="2"/>
    <x v="0"/>
    <x v="0"/>
    <x v="153"/>
  </r>
  <r>
    <x v="154"/>
    <x v="18"/>
    <x v="1"/>
    <x v="1"/>
    <x v="0"/>
    <x v="2"/>
    <x v="121"/>
    <x v="124"/>
    <x v="13"/>
    <x v="121"/>
    <x v="3"/>
    <x v="1"/>
    <x v="1"/>
    <x v="154"/>
  </r>
  <r>
    <x v="155"/>
    <x v="7"/>
    <x v="1"/>
    <x v="0"/>
    <x v="4"/>
    <x v="24"/>
    <x v="122"/>
    <x v="125"/>
    <x v="12"/>
    <x v="51"/>
    <x v="0"/>
    <x v="1"/>
    <x v="1"/>
    <x v="155"/>
  </r>
  <r>
    <x v="156"/>
    <x v="2"/>
    <x v="2"/>
    <x v="1"/>
    <x v="4"/>
    <x v="10"/>
    <x v="86"/>
    <x v="126"/>
    <x v="4"/>
    <x v="122"/>
    <x v="1"/>
    <x v="1"/>
    <x v="1"/>
    <x v="156"/>
  </r>
  <r>
    <x v="157"/>
    <x v="44"/>
    <x v="2"/>
    <x v="0"/>
    <x v="1"/>
    <x v="18"/>
    <x v="123"/>
    <x v="127"/>
    <x v="1"/>
    <x v="11"/>
    <x v="3"/>
    <x v="1"/>
    <x v="1"/>
    <x v="157"/>
  </r>
  <r>
    <x v="158"/>
    <x v="68"/>
    <x v="0"/>
    <x v="0"/>
    <x v="2"/>
    <x v="18"/>
    <x v="32"/>
    <x v="128"/>
    <x v="13"/>
    <x v="86"/>
    <x v="1"/>
    <x v="1"/>
    <x v="1"/>
    <x v="158"/>
  </r>
  <r>
    <x v="159"/>
    <x v="19"/>
    <x v="2"/>
    <x v="1"/>
    <x v="4"/>
    <x v="7"/>
    <x v="124"/>
    <x v="93"/>
    <x v="1"/>
    <x v="123"/>
    <x v="2"/>
    <x v="0"/>
    <x v="0"/>
    <x v="159"/>
  </r>
  <r>
    <x v="160"/>
    <x v="55"/>
    <x v="2"/>
    <x v="1"/>
    <x v="4"/>
    <x v="16"/>
    <x v="125"/>
    <x v="129"/>
    <x v="7"/>
    <x v="124"/>
    <x v="3"/>
    <x v="1"/>
    <x v="1"/>
    <x v="160"/>
  </r>
  <r>
    <x v="161"/>
    <x v="73"/>
    <x v="0"/>
    <x v="0"/>
    <x v="1"/>
    <x v="23"/>
    <x v="114"/>
    <x v="130"/>
    <x v="10"/>
    <x v="111"/>
    <x v="3"/>
    <x v="0"/>
    <x v="0"/>
    <x v="161"/>
  </r>
  <r>
    <x v="162"/>
    <x v="74"/>
    <x v="1"/>
    <x v="1"/>
    <x v="4"/>
    <x v="9"/>
    <x v="126"/>
    <x v="131"/>
    <x v="14"/>
    <x v="125"/>
    <x v="2"/>
    <x v="0"/>
    <x v="0"/>
    <x v="162"/>
  </r>
  <r>
    <x v="163"/>
    <x v="27"/>
    <x v="1"/>
    <x v="0"/>
    <x v="0"/>
    <x v="6"/>
    <x v="127"/>
    <x v="132"/>
    <x v="2"/>
    <x v="123"/>
    <x v="1"/>
    <x v="1"/>
    <x v="1"/>
    <x v="163"/>
  </r>
  <r>
    <x v="164"/>
    <x v="75"/>
    <x v="4"/>
    <x v="1"/>
    <x v="3"/>
    <x v="10"/>
    <x v="128"/>
    <x v="133"/>
    <x v="5"/>
    <x v="107"/>
    <x v="0"/>
    <x v="0"/>
    <x v="0"/>
    <x v="164"/>
  </r>
  <r>
    <x v="165"/>
    <x v="46"/>
    <x v="2"/>
    <x v="0"/>
    <x v="0"/>
    <x v="0"/>
    <x v="129"/>
    <x v="37"/>
    <x v="6"/>
    <x v="96"/>
    <x v="2"/>
    <x v="0"/>
    <x v="0"/>
    <x v="165"/>
  </r>
  <r>
    <x v="166"/>
    <x v="1"/>
    <x v="1"/>
    <x v="1"/>
    <x v="4"/>
    <x v="2"/>
    <x v="130"/>
    <x v="134"/>
    <x v="9"/>
    <x v="21"/>
    <x v="3"/>
    <x v="0"/>
    <x v="0"/>
    <x v="166"/>
  </r>
  <r>
    <x v="167"/>
    <x v="56"/>
    <x v="1"/>
    <x v="1"/>
    <x v="3"/>
    <x v="11"/>
    <x v="129"/>
    <x v="23"/>
    <x v="5"/>
    <x v="79"/>
    <x v="1"/>
    <x v="0"/>
    <x v="0"/>
    <x v="167"/>
  </r>
  <r>
    <x v="168"/>
    <x v="19"/>
    <x v="2"/>
    <x v="1"/>
    <x v="2"/>
    <x v="0"/>
    <x v="89"/>
    <x v="17"/>
    <x v="4"/>
    <x v="126"/>
    <x v="3"/>
    <x v="0"/>
    <x v="0"/>
    <x v="168"/>
  </r>
  <r>
    <x v="169"/>
    <x v="55"/>
    <x v="2"/>
    <x v="0"/>
    <x v="4"/>
    <x v="2"/>
    <x v="114"/>
    <x v="130"/>
    <x v="10"/>
    <x v="127"/>
    <x v="3"/>
    <x v="0"/>
    <x v="0"/>
    <x v="169"/>
  </r>
  <r>
    <x v="170"/>
    <x v="65"/>
    <x v="2"/>
    <x v="1"/>
    <x v="3"/>
    <x v="16"/>
    <x v="107"/>
    <x v="135"/>
    <x v="8"/>
    <x v="19"/>
    <x v="0"/>
    <x v="0"/>
    <x v="0"/>
    <x v="170"/>
  </r>
  <r>
    <x v="171"/>
    <x v="70"/>
    <x v="3"/>
    <x v="0"/>
    <x v="3"/>
    <x v="10"/>
    <x v="131"/>
    <x v="4"/>
    <x v="13"/>
    <x v="104"/>
    <x v="3"/>
    <x v="0"/>
    <x v="0"/>
    <x v="171"/>
  </r>
  <r>
    <x v="172"/>
    <x v="3"/>
    <x v="2"/>
    <x v="1"/>
    <x v="3"/>
    <x v="11"/>
    <x v="132"/>
    <x v="136"/>
    <x v="14"/>
    <x v="128"/>
    <x v="1"/>
    <x v="0"/>
    <x v="0"/>
    <x v="172"/>
  </r>
  <r>
    <x v="173"/>
    <x v="10"/>
    <x v="3"/>
    <x v="1"/>
    <x v="4"/>
    <x v="21"/>
    <x v="54"/>
    <x v="137"/>
    <x v="3"/>
    <x v="46"/>
    <x v="2"/>
    <x v="0"/>
    <x v="0"/>
    <x v="173"/>
  </r>
  <r>
    <x v="174"/>
    <x v="76"/>
    <x v="1"/>
    <x v="1"/>
    <x v="3"/>
    <x v="1"/>
    <x v="43"/>
    <x v="138"/>
    <x v="14"/>
    <x v="129"/>
    <x v="0"/>
    <x v="0"/>
    <x v="0"/>
    <x v="174"/>
  </r>
  <r>
    <x v="175"/>
    <x v="47"/>
    <x v="3"/>
    <x v="0"/>
    <x v="1"/>
    <x v="2"/>
    <x v="133"/>
    <x v="139"/>
    <x v="5"/>
    <x v="130"/>
    <x v="2"/>
    <x v="0"/>
    <x v="0"/>
    <x v="175"/>
  </r>
  <r>
    <x v="176"/>
    <x v="42"/>
    <x v="2"/>
    <x v="0"/>
    <x v="1"/>
    <x v="21"/>
    <x v="134"/>
    <x v="140"/>
    <x v="6"/>
    <x v="131"/>
    <x v="0"/>
    <x v="0"/>
    <x v="0"/>
    <x v="176"/>
  </r>
  <r>
    <x v="177"/>
    <x v="29"/>
    <x v="2"/>
    <x v="1"/>
    <x v="2"/>
    <x v="16"/>
    <x v="85"/>
    <x v="93"/>
    <x v="4"/>
    <x v="16"/>
    <x v="3"/>
    <x v="0"/>
    <x v="0"/>
    <x v="177"/>
  </r>
  <r>
    <x v="178"/>
    <x v="64"/>
    <x v="1"/>
    <x v="0"/>
    <x v="1"/>
    <x v="10"/>
    <x v="29"/>
    <x v="2"/>
    <x v="0"/>
    <x v="132"/>
    <x v="0"/>
    <x v="1"/>
    <x v="1"/>
    <x v="178"/>
  </r>
  <r>
    <x v="179"/>
    <x v="77"/>
    <x v="2"/>
    <x v="0"/>
    <x v="4"/>
    <x v="3"/>
    <x v="135"/>
    <x v="141"/>
    <x v="12"/>
    <x v="133"/>
    <x v="1"/>
    <x v="0"/>
    <x v="0"/>
    <x v="179"/>
  </r>
  <r>
    <x v="180"/>
    <x v="27"/>
    <x v="1"/>
    <x v="1"/>
    <x v="2"/>
    <x v="3"/>
    <x v="63"/>
    <x v="66"/>
    <x v="2"/>
    <x v="34"/>
    <x v="2"/>
    <x v="0"/>
    <x v="0"/>
    <x v="180"/>
  </r>
  <r>
    <x v="181"/>
    <x v="78"/>
    <x v="1"/>
    <x v="1"/>
    <x v="3"/>
    <x v="7"/>
    <x v="136"/>
    <x v="35"/>
    <x v="3"/>
    <x v="134"/>
    <x v="2"/>
    <x v="0"/>
    <x v="0"/>
    <x v="181"/>
  </r>
  <r>
    <x v="182"/>
    <x v="52"/>
    <x v="2"/>
    <x v="1"/>
    <x v="1"/>
    <x v="4"/>
    <x v="137"/>
    <x v="34"/>
    <x v="1"/>
    <x v="135"/>
    <x v="1"/>
    <x v="0"/>
    <x v="0"/>
    <x v="182"/>
  </r>
  <r>
    <x v="183"/>
    <x v="1"/>
    <x v="1"/>
    <x v="0"/>
    <x v="4"/>
    <x v="11"/>
    <x v="116"/>
    <x v="1"/>
    <x v="5"/>
    <x v="136"/>
    <x v="1"/>
    <x v="0"/>
    <x v="0"/>
    <x v="183"/>
  </r>
  <r>
    <x v="184"/>
    <x v="71"/>
    <x v="2"/>
    <x v="1"/>
    <x v="4"/>
    <x v="22"/>
    <x v="127"/>
    <x v="78"/>
    <x v="3"/>
    <x v="48"/>
    <x v="3"/>
    <x v="1"/>
    <x v="1"/>
    <x v="184"/>
  </r>
  <r>
    <x v="185"/>
    <x v="56"/>
    <x v="1"/>
    <x v="0"/>
    <x v="4"/>
    <x v="10"/>
    <x v="138"/>
    <x v="142"/>
    <x v="7"/>
    <x v="13"/>
    <x v="0"/>
    <x v="1"/>
    <x v="1"/>
    <x v="185"/>
  </r>
  <r>
    <x v="186"/>
    <x v="23"/>
    <x v="3"/>
    <x v="0"/>
    <x v="4"/>
    <x v="21"/>
    <x v="139"/>
    <x v="143"/>
    <x v="10"/>
    <x v="137"/>
    <x v="1"/>
    <x v="0"/>
    <x v="0"/>
    <x v="186"/>
  </r>
  <r>
    <x v="187"/>
    <x v="29"/>
    <x v="2"/>
    <x v="1"/>
    <x v="3"/>
    <x v="16"/>
    <x v="140"/>
    <x v="104"/>
    <x v="10"/>
    <x v="138"/>
    <x v="0"/>
    <x v="0"/>
    <x v="0"/>
    <x v="187"/>
  </r>
  <r>
    <x v="188"/>
    <x v="7"/>
    <x v="1"/>
    <x v="1"/>
    <x v="1"/>
    <x v="12"/>
    <x v="13"/>
    <x v="47"/>
    <x v="4"/>
    <x v="118"/>
    <x v="1"/>
    <x v="0"/>
    <x v="0"/>
    <x v="188"/>
  </r>
  <r>
    <x v="189"/>
    <x v="74"/>
    <x v="1"/>
    <x v="0"/>
    <x v="1"/>
    <x v="24"/>
    <x v="85"/>
    <x v="144"/>
    <x v="5"/>
    <x v="139"/>
    <x v="2"/>
    <x v="0"/>
    <x v="0"/>
    <x v="189"/>
  </r>
  <r>
    <x v="190"/>
    <x v="67"/>
    <x v="0"/>
    <x v="1"/>
    <x v="3"/>
    <x v="16"/>
    <x v="141"/>
    <x v="145"/>
    <x v="10"/>
    <x v="140"/>
    <x v="3"/>
    <x v="0"/>
    <x v="0"/>
    <x v="190"/>
  </r>
  <r>
    <x v="191"/>
    <x v="15"/>
    <x v="2"/>
    <x v="0"/>
    <x v="4"/>
    <x v="18"/>
    <x v="142"/>
    <x v="146"/>
    <x v="9"/>
    <x v="2"/>
    <x v="2"/>
    <x v="0"/>
    <x v="0"/>
    <x v="191"/>
  </r>
  <r>
    <x v="192"/>
    <x v="41"/>
    <x v="1"/>
    <x v="0"/>
    <x v="2"/>
    <x v="21"/>
    <x v="138"/>
    <x v="142"/>
    <x v="7"/>
    <x v="141"/>
    <x v="1"/>
    <x v="1"/>
    <x v="1"/>
    <x v="192"/>
  </r>
  <r>
    <x v="193"/>
    <x v="56"/>
    <x v="1"/>
    <x v="0"/>
    <x v="0"/>
    <x v="21"/>
    <x v="143"/>
    <x v="147"/>
    <x v="4"/>
    <x v="142"/>
    <x v="0"/>
    <x v="1"/>
    <x v="1"/>
    <x v="193"/>
  </r>
  <r>
    <x v="194"/>
    <x v="11"/>
    <x v="1"/>
    <x v="0"/>
    <x v="4"/>
    <x v="7"/>
    <x v="144"/>
    <x v="111"/>
    <x v="0"/>
    <x v="143"/>
    <x v="1"/>
    <x v="0"/>
    <x v="0"/>
    <x v="194"/>
  </r>
  <r>
    <x v="195"/>
    <x v="32"/>
    <x v="1"/>
    <x v="1"/>
    <x v="4"/>
    <x v="10"/>
    <x v="145"/>
    <x v="148"/>
    <x v="2"/>
    <x v="144"/>
    <x v="0"/>
    <x v="0"/>
    <x v="0"/>
    <x v="195"/>
  </r>
  <r>
    <x v="196"/>
    <x v="61"/>
    <x v="1"/>
    <x v="1"/>
    <x v="4"/>
    <x v="15"/>
    <x v="20"/>
    <x v="149"/>
    <x v="13"/>
    <x v="145"/>
    <x v="1"/>
    <x v="1"/>
    <x v="1"/>
    <x v="196"/>
  </r>
  <r>
    <x v="197"/>
    <x v="79"/>
    <x v="4"/>
    <x v="1"/>
    <x v="4"/>
    <x v="13"/>
    <x v="102"/>
    <x v="150"/>
    <x v="10"/>
    <x v="134"/>
    <x v="3"/>
    <x v="1"/>
    <x v="1"/>
    <x v="197"/>
  </r>
  <r>
    <x v="198"/>
    <x v="25"/>
    <x v="2"/>
    <x v="1"/>
    <x v="3"/>
    <x v="1"/>
    <x v="30"/>
    <x v="151"/>
    <x v="8"/>
    <x v="146"/>
    <x v="1"/>
    <x v="0"/>
    <x v="0"/>
    <x v="198"/>
  </r>
  <r>
    <x v="199"/>
    <x v="23"/>
    <x v="3"/>
    <x v="1"/>
    <x v="3"/>
    <x v="10"/>
    <x v="0"/>
    <x v="10"/>
    <x v="10"/>
    <x v="8"/>
    <x v="0"/>
    <x v="0"/>
    <x v="0"/>
    <x v="199"/>
  </r>
  <r>
    <x v="200"/>
    <x v="59"/>
    <x v="2"/>
    <x v="1"/>
    <x v="4"/>
    <x v="10"/>
    <x v="146"/>
    <x v="144"/>
    <x v="8"/>
    <x v="147"/>
    <x v="0"/>
    <x v="0"/>
    <x v="0"/>
    <x v="200"/>
  </r>
  <r>
    <x v="201"/>
    <x v="2"/>
    <x v="2"/>
    <x v="1"/>
    <x v="4"/>
    <x v="6"/>
    <x v="147"/>
    <x v="91"/>
    <x v="9"/>
    <x v="148"/>
    <x v="0"/>
    <x v="0"/>
    <x v="0"/>
    <x v="201"/>
  </r>
  <r>
    <x v="202"/>
    <x v="80"/>
    <x v="3"/>
    <x v="0"/>
    <x v="2"/>
    <x v="11"/>
    <x v="148"/>
    <x v="125"/>
    <x v="8"/>
    <x v="149"/>
    <x v="0"/>
    <x v="0"/>
    <x v="0"/>
    <x v="202"/>
  </r>
  <r>
    <x v="203"/>
    <x v="18"/>
    <x v="1"/>
    <x v="1"/>
    <x v="2"/>
    <x v="22"/>
    <x v="149"/>
    <x v="125"/>
    <x v="4"/>
    <x v="108"/>
    <x v="3"/>
    <x v="0"/>
    <x v="0"/>
    <x v="203"/>
  </r>
  <r>
    <x v="204"/>
    <x v="26"/>
    <x v="2"/>
    <x v="0"/>
    <x v="4"/>
    <x v="1"/>
    <x v="66"/>
    <x v="46"/>
    <x v="7"/>
    <x v="122"/>
    <x v="0"/>
    <x v="0"/>
    <x v="0"/>
    <x v="204"/>
  </r>
  <r>
    <x v="205"/>
    <x v="81"/>
    <x v="1"/>
    <x v="1"/>
    <x v="4"/>
    <x v="6"/>
    <x v="46"/>
    <x v="81"/>
    <x v="7"/>
    <x v="93"/>
    <x v="1"/>
    <x v="0"/>
    <x v="0"/>
    <x v="205"/>
  </r>
  <r>
    <x v="206"/>
    <x v="75"/>
    <x v="4"/>
    <x v="0"/>
    <x v="2"/>
    <x v="15"/>
    <x v="91"/>
    <x v="152"/>
    <x v="11"/>
    <x v="63"/>
    <x v="1"/>
    <x v="0"/>
    <x v="0"/>
    <x v="206"/>
  </r>
  <r>
    <x v="207"/>
    <x v="19"/>
    <x v="2"/>
    <x v="1"/>
    <x v="0"/>
    <x v="21"/>
    <x v="150"/>
    <x v="153"/>
    <x v="4"/>
    <x v="27"/>
    <x v="1"/>
    <x v="1"/>
    <x v="1"/>
    <x v="207"/>
  </r>
  <r>
    <x v="208"/>
    <x v="70"/>
    <x v="3"/>
    <x v="0"/>
    <x v="2"/>
    <x v="3"/>
    <x v="151"/>
    <x v="154"/>
    <x v="6"/>
    <x v="150"/>
    <x v="2"/>
    <x v="0"/>
    <x v="0"/>
    <x v="208"/>
  </r>
  <r>
    <x v="209"/>
    <x v="61"/>
    <x v="1"/>
    <x v="0"/>
    <x v="3"/>
    <x v="19"/>
    <x v="152"/>
    <x v="155"/>
    <x v="7"/>
    <x v="11"/>
    <x v="3"/>
    <x v="1"/>
    <x v="1"/>
    <x v="209"/>
  </r>
  <r>
    <x v="210"/>
    <x v="82"/>
    <x v="2"/>
    <x v="1"/>
    <x v="1"/>
    <x v="20"/>
    <x v="133"/>
    <x v="156"/>
    <x v="10"/>
    <x v="66"/>
    <x v="3"/>
    <x v="0"/>
    <x v="0"/>
    <x v="210"/>
  </r>
  <r>
    <x v="211"/>
    <x v="39"/>
    <x v="4"/>
    <x v="0"/>
    <x v="0"/>
    <x v="5"/>
    <x v="93"/>
    <x v="157"/>
    <x v="5"/>
    <x v="151"/>
    <x v="3"/>
    <x v="0"/>
    <x v="0"/>
    <x v="211"/>
  </r>
  <r>
    <x v="212"/>
    <x v="54"/>
    <x v="1"/>
    <x v="1"/>
    <x v="4"/>
    <x v="15"/>
    <x v="8"/>
    <x v="145"/>
    <x v="1"/>
    <x v="130"/>
    <x v="0"/>
    <x v="1"/>
    <x v="1"/>
    <x v="212"/>
  </r>
  <r>
    <x v="213"/>
    <x v="20"/>
    <x v="1"/>
    <x v="0"/>
    <x v="2"/>
    <x v="12"/>
    <x v="132"/>
    <x v="158"/>
    <x v="13"/>
    <x v="73"/>
    <x v="2"/>
    <x v="0"/>
    <x v="0"/>
    <x v="213"/>
  </r>
  <r>
    <x v="214"/>
    <x v="46"/>
    <x v="2"/>
    <x v="0"/>
    <x v="0"/>
    <x v="4"/>
    <x v="153"/>
    <x v="26"/>
    <x v="13"/>
    <x v="152"/>
    <x v="3"/>
    <x v="0"/>
    <x v="0"/>
    <x v="214"/>
  </r>
  <r>
    <x v="215"/>
    <x v="63"/>
    <x v="2"/>
    <x v="0"/>
    <x v="2"/>
    <x v="1"/>
    <x v="123"/>
    <x v="159"/>
    <x v="8"/>
    <x v="35"/>
    <x v="2"/>
    <x v="0"/>
    <x v="0"/>
    <x v="215"/>
  </r>
  <r>
    <x v="216"/>
    <x v="66"/>
    <x v="2"/>
    <x v="0"/>
    <x v="2"/>
    <x v="23"/>
    <x v="154"/>
    <x v="160"/>
    <x v="8"/>
    <x v="153"/>
    <x v="3"/>
    <x v="0"/>
    <x v="0"/>
    <x v="216"/>
  </r>
  <r>
    <x v="217"/>
    <x v="63"/>
    <x v="2"/>
    <x v="1"/>
    <x v="3"/>
    <x v="14"/>
    <x v="64"/>
    <x v="97"/>
    <x v="3"/>
    <x v="116"/>
    <x v="0"/>
    <x v="1"/>
    <x v="1"/>
    <x v="217"/>
  </r>
  <r>
    <x v="218"/>
    <x v="33"/>
    <x v="1"/>
    <x v="1"/>
    <x v="1"/>
    <x v="14"/>
    <x v="127"/>
    <x v="161"/>
    <x v="13"/>
    <x v="134"/>
    <x v="2"/>
    <x v="1"/>
    <x v="1"/>
    <x v="218"/>
  </r>
  <r>
    <x v="219"/>
    <x v="67"/>
    <x v="0"/>
    <x v="1"/>
    <x v="0"/>
    <x v="19"/>
    <x v="155"/>
    <x v="162"/>
    <x v="6"/>
    <x v="51"/>
    <x v="1"/>
    <x v="1"/>
    <x v="1"/>
    <x v="219"/>
  </r>
  <r>
    <x v="220"/>
    <x v="28"/>
    <x v="3"/>
    <x v="0"/>
    <x v="2"/>
    <x v="2"/>
    <x v="108"/>
    <x v="163"/>
    <x v="2"/>
    <x v="154"/>
    <x v="0"/>
    <x v="0"/>
    <x v="0"/>
    <x v="220"/>
  </r>
  <r>
    <x v="221"/>
    <x v="59"/>
    <x v="2"/>
    <x v="0"/>
    <x v="2"/>
    <x v="13"/>
    <x v="156"/>
    <x v="164"/>
    <x v="9"/>
    <x v="150"/>
    <x v="2"/>
    <x v="1"/>
    <x v="1"/>
    <x v="221"/>
  </r>
  <r>
    <x v="222"/>
    <x v="82"/>
    <x v="2"/>
    <x v="0"/>
    <x v="2"/>
    <x v="8"/>
    <x v="157"/>
    <x v="39"/>
    <x v="9"/>
    <x v="39"/>
    <x v="2"/>
    <x v="0"/>
    <x v="0"/>
    <x v="222"/>
  </r>
  <r>
    <x v="223"/>
    <x v="36"/>
    <x v="2"/>
    <x v="0"/>
    <x v="0"/>
    <x v="7"/>
    <x v="158"/>
    <x v="86"/>
    <x v="6"/>
    <x v="155"/>
    <x v="1"/>
    <x v="1"/>
    <x v="1"/>
    <x v="223"/>
  </r>
  <r>
    <x v="224"/>
    <x v="2"/>
    <x v="2"/>
    <x v="0"/>
    <x v="1"/>
    <x v="14"/>
    <x v="159"/>
    <x v="165"/>
    <x v="14"/>
    <x v="132"/>
    <x v="3"/>
    <x v="1"/>
    <x v="1"/>
    <x v="224"/>
  </r>
  <r>
    <x v="225"/>
    <x v="68"/>
    <x v="0"/>
    <x v="0"/>
    <x v="1"/>
    <x v="16"/>
    <x v="88"/>
    <x v="146"/>
    <x v="4"/>
    <x v="45"/>
    <x v="1"/>
    <x v="1"/>
    <x v="1"/>
    <x v="225"/>
  </r>
  <r>
    <x v="226"/>
    <x v="35"/>
    <x v="1"/>
    <x v="0"/>
    <x v="2"/>
    <x v="7"/>
    <x v="160"/>
    <x v="166"/>
    <x v="5"/>
    <x v="55"/>
    <x v="2"/>
    <x v="0"/>
    <x v="0"/>
    <x v="226"/>
  </r>
  <r>
    <x v="227"/>
    <x v="26"/>
    <x v="2"/>
    <x v="1"/>
    <x v="2"/>
    <x v="0"/>
    <x v="161"/>
    <x v="167"/>
    <x v="6"/>
    <x v="99"/>
    <x v="0"/>
    <x v="0"/>
    <x v="0"/>
    <x v="227"/>
  </r>
  <r>
    <x v="228"/>
    <x v="76"/>
    <x v="1"/>
    <x v="1"/>
    <x v="0"/>
    <x v="19"/>
    <x v="162"/>
    <x v="168"/>
    <x v="2"/>
    <x v="156"/>
    <x v="2"/>
    <x v="1"/>
    <x v="1"/>
    <x v="228"/>
  </r>
  <r>
    <x v="229"/>
    <x v="18"/>
    <x v="1"/>
    <x v="1"/>
    <x v="4"/>
    <x v="23"/>
    <x v="163"/>
    <x v="169"/>
    <x v="7"/>
    <x v="157"/>
    <x v="0"/>
    <x v="0"/>
    <x v="0"/>
    <x v="229"/>
  </r>
  <r>
    <x v="230"/>
    <x v="35"/>
    <x v="1"/>
    <x v="1"/>
    <x v="0"/>
    <x v="22"/>
    <x v="110"/>
    <x v="60"/>
    <x v="6"/>
    <x v="158"/>
    <x v="0"/>
    <x v="1"/>
    <x v="1"/>
    <x v="230"/>
  </r>
  <r>
    <x v="231"/>
    <x v="52"/>
    <x v="2"/>
    <x v="1"/>
    <x v="1"/>
    <x v="20"/>
    <x v="138"/>
    <x v="170"/>
    <x v="14"/>
    <x v="159"/>
    <x v="0"/>
    <x v="0"/>
    <x v="0"/>
    <x v="231"/>
  </r>
  <r>
    <x v="232"/>
    <x v="1"/>
    <x v="1"/>
    <x v="0"/>
    <x v="0"/>
    <x v="10"/>
    <x v="72"/>
    <x v="158"/>
    <x v="12"/>
    <x v="160"/>
    <x v="1"/>
    <x v="0"/>
    <x v="0"/>
    <x v="232"/>
  </r>
  <r>
    <x v="233"/>
    <x v="13"/>
    <x v="2"/>
    <x v="0"/>
    <x v="0"/>
    <x v="19"/>
    <x v="162"/>
    <x v="171"/>
    <x v="8"/>
    <x v="3"/>
    <x v="1"/>
    <x v="0"/>
    <x v="0"/>
    <x v="233"/>
  </r>
  <r>
    <x v="234"/>
    <x v="7"/>
    <x v="1"/>
    <x v="0"/>
    <x v="3"/>
    <x v="10"/>
    <x v="89"/>
    <x v="94"/>
    <x v="5"/>
    <x v="161"/>
    <x v="0"/>
    <x v="1"/>
    <x v="1"/>
    <x v="234"/>
  </r>
  <r>
    <x v="235"/>
    <x v="62"/>
    <x v="3"/>
    <x v="0"/>
    <x v="4"/>
    <x v="0"/>
    <x v="164"/>
    <x v="172"/>
    <x v="8"/>
    <x v="162"/>
    <x v="1"/>
    <x v="1"/>
    <x v="1"/>
    <x v="235"/>
  </r>
  <r>
    <x v="236"/>
    <x v="71"/>
    <x v="2"/>
    <x v="0"/>
    <x v="4"/>
    <x v="14"/>
    <x v="140"/>
    <x v="173"/>
    <x v="13"/>
    <x v="145"/>
    <x v="0"/>
    <x v="0"/>
    <x v="0"/>
    <x v="236"/>
  </r>
  <r>
    <x v="237"/>
    <x v="83"/>
    <x v="2"/>
    <x v="1"/>
    <x v="1"/>
    <x v="1"/>
    <x v="165"/>
    <x v="174"/>
    <x v="2"/>
    <x v="116"/>
    <x v="2"/>
    <x v="1"/>
    <x v="1"/>
    <x v="237"/>
  </r>
  <r>
    <x v="238"/>
    <x v="45"/>
    <x v="2"/>
    <x v="1"/>
    <x v="4"/>
    <x v="16"/>
    <x v="84"/>
    <x v="175"/>
    <x v="14"/>
    <x v="163"/>
    <x v="2"/>
    <x v="0"/>
    <x v="0"/>
    <x v="238"/>
  </r>
  <r>
    <x v="239"/>
    <x v="74"/>
    <x v="1"/>
    <x v="0"/>
    <x v="3"/>
    <x v="7"/>
    <x v="121"/>
    <x v="176"/>
    <x v="7"/>
    <x v="156"/>
    <x v="3"/>
    <x v="0"/>
    <x v="0"/>
    <x v="239"/>
  </r>
  <r>
    <x v="240"/>
    <x v="24"/>
    <x v="1"/>
    <x v="1"/>
    <x v="2"/>
    <x v="1"/>
    <x v="155"/>
    <x v="177"/>
    <x v="13"/>
    <x v="164"/>
    <x v="1"/>
    <x v="0"/>
    <x v="0"/>
    <x v="240"/>
  </r>
  <r>
    <x v="241"/>
    <x v="20"/>
    <x v="1"/>
    <x v="1"/>
    <x v="2"/>
    <x v="15"/>
    <x v="166"/>
    <x v="33"/>
    <x v="1"/>
    <x v="35"/>
    <x v="2"/>
    <x v="0"/>
    <x v="0"/>
    <x v="241"/>
  </r>
  <r>
    <x v="242"/>
    <x v="11"/>
    <x v="1"/>
    <x v="1"/>
    <x v="2"/>
    <x v="8"/>
    <x v="24"/>
    <x v="178"/>
    <x v="0"/>
    <x v="11"/>
    <x v="3"/>
    <x v="0"/>
    <x v="0"/>
    <x v="242"/>
  </r>
  <r>
    <x v="243"/>
    <x v="42"/>
    <x v="2"/>
    <x v="0"/>
    <x v="2"/>
    <x v="11"/>
    <x v="167"/>
    <x v="150"/>
    <x v="9"/>
    <x v="37"/>
    <x v="3"/>
    <x v="0"/>
    <x v="0"/>
    <x v="243"/>
  </r>
  <r>
    <x v="244"/>
    <x v="65"/>
    <x v="2"/>
    <x v="1"/>
    <x v="0"/>
    <x v="14"/>
    <x v="168"/>
    <x v="157"/>
    <x v="11"/>
    <x v="122"/>
    <x v="0"/>
    <x v="1"/>
    <x v="1"/>
    <x v="244"/>
  </r>
  <r>
    <x v="245"/>
    <x v="1"/>
    <x v="1"/>
    <x v="1"/>
    <x v="1"/>
    <x v="8"/>
    <x v="56"/>
    <x v="92"/>
    <x v="0"/>
    <x v="20"/>
    <x v="1"/>
    <x v="1"/>
    <x v="1"/>
    <x v="245"/>
  </r>
  <r>
    <x v="246"/>
    <x v="78"/>
    <x v="1"/>
    <x v="0"/>
    <x v="4"/>
    <x v="13"/>
    <x v="169"/>
    <x v="179"/>
    <x v="13"/>
    <x v="165"/>
    <x v="3"/>
    <x v="1"/>
    <x v="1"/>
    <x v="246"/>
  </r>
  <r>
    <x v="247"/>
    <x v="1"/>
    <x v="1"/>
    <x v="1"/>
    <x v="4"/>
    <x v="21"/>
    <x v="35"/>
    <x v="92"/>
    <x v="12"/>
    <x v="14"/>
    <x v="3"/>
    <x v="0"/>
    <x v="0"/>
    <x v="247"/>
  </r>
  <r>
    <x v="248"/>
    <x v="72"/>
    <x v="0"/>
    <x v="1"/>
    <x v="4"/>
    <x v="1"/>
    <x v="170"/>
    <x v="180"/>
    <x v="5"/>
    <x v="132"/>
    <x v="3"/>
    <x v="1"/>
    <x v="1"/>
    <x v="248"/>
  </r>
  <r>
    <x v="249"/>
    <x v="3"/>
    <x v="2"/>
    <x v="1"/>
    <x v="4"/>
    <x v="4"/>
    <x v="18"/>
    <x v="149"/>
    <x v="7"/>
    <x v="166"/>
    <x v="0"/>
    <x v="1"/>
    <x v="1"/>
    <x v="249"/>
  </r>
  <r>
    <x v="250"/>
    <x v="28"/>
    <x v="3"/>
    <x v="1"/>
    <x v="1"/>
    <x v="6"/>
    <x v="64"/>
    <x v="181"/>
    <x v="6"/>
    <x v="167"/>
    <x v="3"/>
    <x v="0"/>
    <x v="0"/>
    <x v="250"/>
  </r>
  <r>
    <x v="251"/>
    <x v="55"/>
    <x v="2"/>
    <x v="1"/>
    <x v="2"/>
    <x v="4"/>
    <x v="135"/>
    <x v="182"/>
    <x v="11"/>
    <x v="8"/>
    <x v="2"/>
    <x v="0"/>
    <x v="0"/>
    <x v="251"/>
  </r>
  <r>
    <x v="252"/>
    <x v="84"/>
    <x v="1"/>
    <x v="0"/>
    <x v="0"/>
    <x v="20"/>
    <x v="171"/>
    <x v="125"/>
    <x v="3"/>
    <x v="93"/>
    <x v="2"/>
    <x v="1"/>
    <x v="1"/>
    <x v="252"/>
  </r>
  <r>
    <x v="253"/>
    <x v="85"/>
    <x v="1"/>
    <x v="1"/>
    <x v="3"/>
    <x v="15"/>
    <x v="172"/>
    <x v="183"/>
    <x v="1"/>
    <x v="66"/>
    <x v="0"/>
    <x v="0"/>
    <x v="0"/>
    <x v="253"/>
  </r>
  <r>
    <x v="254"/>
    <x v="64"/>
    <x v="1"/>
    <x v="0"/>
    <x v="3"/>
    <x v="22"/>
    <x v="173"/>
    <x v="184"/>
    <x v="11"/>
    <x v="35"/>
    <x v="1"/>
    <x v="1"/>
    <x v="1"/>
    <x v="254"/>
  </r>
  <r>
    <x v="255"/>
    <x v="83"/>
    <x v="2"/>
    <x v="1"/>
    <x v="4"/>
    <x v="7"/>
    <x v="174"/>
    <x v="185"/>
    <x v="7"/>
    <x v="93"/>
    <x v="3"/>
    <x v="0"/>
    <x v="0"/>
    <x v="255"/>
  </r>
  <r>
    <x v="256"/>
    <x v="85"/>
    <x v="1"/>
    <x v="1"/>
    <x v="3"/>
    <x v="0"/>
    <x v="108"/>
    <x v="154"/>
    <x v="11"/>
    <x v="42"/>
    <x v="2"/>
    <x v="0"/>
    <x v="0"/>
    <x v="256"/>
  </r>
  <r>
    <x v="257"/>
    <x v="19"/>
    <x v="2"/>
    <x v="0"/>
    <x v="1"/>
    <x v="15"/>
    <x v="5"/>
    <x v="4"/>
    <x v="14"/>
    <x v="136"/>
    <x v="0"/>
    <x v="0"/>
    <x v="0"/>
    <x v="257"/>
  </r>
  <r>
    <x v="258"/>
    <x v="74"/>
    <x v="1"/>
    <x v="1"/>
    <x v="1"/>
    <x v="4"/>
    <x v="97"/>
    <x v="29"/>
    <x v="10"/>
    <x v="37"/>
    <x v="2"/>
    <x v="1"/>
    <x v="1"/>
    <x v="258"/>
  </r>
  <r>
    <x v="259"/>
    <x v="12"/>
    <x v="0"/>
    <x v="1"/>
    <x v="0"/>
    <x v="3"/>
    <x v="175"/>
    <x v="186"/>
    <x v="4"/>
    <x v="73"/>
    <x v="3"/>
    <x v="0"/>
    <x v="0"/>
    <x v="259"/>
  </r>
  <r>
    <x v="260"/>
    <x v="28"/>
    <x v="3"/>
    <x v="0"/>
    <x v="0"/>
    <x v="15"/>
    <x v="107"/>
    <x v="187"/>
    <x v="2"/>
    <x v="168"/>
    <x v="1"/>
    <x v="1"/>
    <x v="1"/>
    <x v="260"/>
  </r>
  <r>
    <x v="261"/>
    <x v="82"/>
    <x v="2"/>
    <x v="0"/>
    <x v="4"/>
    <x v="16"/>
    <x v="176"/>
    <x v="77"/>
    <x v="12"/>
    <x v="169"/>
    <x v="3"/>
    <x v="1"/>
    <x v="1"/>
    <x v="261"/>
  </r>
  <r>
    <x v="262"/>
    <x v="25"/>
    <x v="2"/>
    <x v="1"/>
    <x v="4"/>
    <x v="23"/>
    <x v="177"/>
    <x v="71"/>
    <x v="13"/>
    <x v="80"/>
    <x v="0"/>
    <x v="0"/>
    <x v="0"/>
    <x v="262"/>
  </r>
  <r>
    <x v="263"/>
    <x v="50"/>
    <x v="2"/>
    <x v="0"/>
    <x v="4"/>
    <x v="24"/>
    <x v="88"/>
    <x v="42"/>
    <x v="1"/>
    <x v="170"/>
    <x v="1"/>
    <x v="0"/>
    <x v="0"/>
    <x v="263"/>
  </r>
  <r>
    <x v="264"/>
    <x v="26"/>
    <x v="2"/>
    <x v="0"/>
    <x v="2"/>
    <x v="18"/>
    <x v="74"/>
    <x v="188"/>
    <x v="5"/>
    <x v="3"/>
    <x v="1"/>
    <x v="1"/>
    <x v="1"/>
    <x v="264"/>
  </r>
  <r>
    <x v="265"/>
    <x v="21"/>
    <x v="1"/>
    <x v="0"/>
    <x v="0"/>
    <x v="3"/>
    <x v="178"/>
    <x v="189"/>
    <x v="2"/>
    <x v="69"/>
    <x v="2"/>
    <x v="0"/>
    <x v="0"/>
    <x v="265"/>
  </r>
  <r>
    <x v="266"/>
    <x v="23"/>
    <x v="3"/>
    <x v="1"/>
    <x v="2"/>
    <x v="11"/>
    <x v="136"/>
    <x v="5"/>
    <x v="7"/>
    <x v="171"/>
    <x v="0"/>
    <x v="0"/>
    <x v="0"/>
    <x v="266"/>
  </r>
  <r>
    <x v="267"/>
    <x v="4"/>
    <x v="1"/>
    <x v="1"/>
    <x v="1"/>
    <x v="7"/>
    <x v="142"/>
    <x v="117"/>
    <x v="5"/>
    <x v="87"/>
    <x v="0"/>
    <x v="0"/>
    <x v="0"/>
    <x v="267"/>
  </r>
  <r>
    <x v="268"/>
    <x v="22"/>
    <x v="0"/>
    <x v="0"/>
    <x v="3"/>
    <x v="19"/>
    <x v="179"/>
    <x v="24"/>
    <x v="3"/>
    <x v="162"/>
    <x v="3"/>
    <x v="0"/>
    <x v="0"/>
    <x v="268"/>
  </r>
  <r>
    <x v="269"/>
    <x v="2"/>
    <x v="2"/>
    <x v="0"/>
    <x v="1"/>
    <x v="10"/>
    <x v="180"/>
    <x v="185"/>
    <x v="2"/>
    <x v="172"/>
    <x v="2"/>
    <x v="0"/>
    <x v="0"/>
    <x v="269"/>
  </r>
  <r>
    <x v="270"/>
    <x v="83"/>
    <x v="2"/>
    <x v="1"/>
    <x v="2"/>
    <x v="10"/>
    <x v="181"/>
    <x v="155"/>
    <x v="8"/>
    <x v="173"/>
    <x v="1"/>
    <x v="0"/>
    <x v="0"/>
    <x v="270"/>
  </r>
  <r>
    <x v="271"/>
    <x v="86"/>
    <x v="2"/>
    <x v="0"/>
    <x v="2"/>
    <x v="0"/>
    <x v="5"/>
    <x v="190"/>
    <x v="3"/>
    <x v="174"/>
    <x v="1"/>
    <x v="0"/>
    <x v="0"/>
    <x v="271"/>
  </r>
  <r>
    <x v="272"/>
    <x v="67"/>
    <x v="0"/>
    <x v="1"/>
    <x v="3"/>
    <x v="13"/>
    <x v="2"/>
    <x v="114"/>
    <x v="13"/>
    <x v="175"/>
    <x v="3"/>
    <x v="0"/>
    <x v="0"/>
    <x v="272"/>
  </r>
  <r>
    <x v="273"/>
    <x v="80"/>
    <x v="3"/>
    <x v="1"/>
    <x v="3"/>
    <x v="22"/>
    <x v="93"/>
    <x v="191"/>
    <x v="2"/>
    <x v="176"/>
    <x v="0"/>
    <x v="0"/>
    <x v="0"/>
    <x v="273"/>
  </r>
  <r>
    <x v="274"/>
    <x v="56"/>
    <x v="1"/>
    <x v="0"/>
    <x v="4"/>
    <x v="11"/>
    <x v="62"/>
    <x v="110"/>
    <x v="14"/>
    <x v="171"/>
    <x v="1"/>
    <x v="0"/>
    <x v="0"/>
    <x v="274"/>
  </r>
  <r>
    <x v="275"/>
    <x v="28"/>
    <x v="3"/>
    <x v="1"/>
    <x v="3"/>
    <x v="9"/>
    <x v="182"/>
    <x v="46"/>
    <x v="1"/>
    <x v="177"/>
    <x v="2"/>
    <x v="0"/>
    <x v="0"/>
    <x v="275"/>
  </r>
  <r>
    <x v="276"/>
    <x v="1"/>
    <x v="1"/>
    <x v="0"/>
    <x v="3"/>
    <x v="2"/>
    <x v="26"/>
    <x v="9"/>
    <x v="12"/>
    <x v="0"/>
    <x v="0"/>
    <x v="0"/>
    <x v="0"/>
    <x v="276"/>
  </r>
  <r>
    <x v="277"/>
    <x v="5"/>
    <x v="2"/>
    <x v="1"/>
    <x v="4"/>
    <x v="6"/>
    <x v="101"/>
    <x v="107"/>
    <x v="11"/>
    <x v="178"/>
    <x v="1"/>
    <x v="0"/>
    <x v="0"/>
    <x v="277"/>
  </r>
  <r>
    <x v="278"/>
    <x v="19"/>
    <x v="2"/>
    <x v="0"/>
    <x v="0"/>
    <x v="16"/>
    <x v="51"/>
    <x v="192"/>
    <x v="13"/>
    <x v="19"/>
    <x v="3"/>
    <x v="1"/>
    <x v="1"/>
    <x v="278"/>
  </r>
  <r>
    <x v="279"/>
    <x v="27"/>
    <x v="1"/>
    <x v="0"/>
    <x v="1"/>
    <x v="2"/>
    <x v="155"/>
    <x v="120"/>
    <x v="10"/>
    <x v="70"/>
    <x v="2"/>
    <x v="0"/>
    <x v="0"/>
    <x v="279"/>
  </r>
  <r>
    <x v="280"/>
    <x v="37"/>
    <x v="2"/>
    <x v="1"/>
    <x v="3"/>
    <x v="23"/>
    <x v="183"/>
    <x v="193"/>
    <x v="8"/>
    <x v="179"/>
    <x v="0"/>
    <x v="0"/>
    <x v="0"/>
    <x v="280"/>
  </r>
  <r>
    <x v="281"/>
    <x v="15"/>
    <x v="2"/>
    <x v="0"/>
    <x v="1"/>
    <x v="24"/>
    <x v="184"/>
    <x v="194"/>
    <x v="7"/>
    <x v="65"/>
    <x v="2"/>
    <x v="1"/>
    <x v="1"/>
    <x v="281"/>
  </r>
  <r>
    <x v="282"/>
    <x v="60"/>
    <x v="1"/>
    <x v="0"/>
    <x v="1"/>
    <x v="19"/>
    <x v="185"/>
    <x v="195"/>
    <x v="9"/>
    <x v="180"/>
    <x v="1"/>
    <x v="0"/>
    <x v="0"/>
    <x v="282"/>
  </r>
  <r>
    <x v="283"/>
    <x v="59"/>
    <x v="2"/>
    <x v="0"/>
    <x v="1"/>
    <x v="20"/>
    <x v="82"/>
    <x v="40"/>
    <x v="13"/>
    <x v="80"/>
    <x v="3"/>
    <x v="0"/>
    <x v="0"/>
    <x v="283"/>
  </r>
  <r>
    <x v="284"/>
    <x v="26"/>
    <x v="2"/>
    <x v="1"/>
    <x v="3"/>
    <x v="17"/>
    <x v="159"/>
    <x v="165"/>
    <x v="14"/>
    <x v="0"/>
    <x v="1"/>
    <x v="0"/>
    <x v="0"/>
    <x v="284"/>
  </r>
  <r>
    <x v="285"/>
    <x v="8"/>
    <x v="0"/>
    <x v="1"/>
    <x v="3"/>
    <x v="5"/>
    <x v="186"/>
    <x v="196"/>
    <x v="8"/>
    <x v="181"/>
    <x v="1"/>
    <x v="1"/>
    <x v="1"/>
    <x v="285"/>
  </r>
  <r>
    <x v="286"/>
    <x v="26"/>
    <x v="2"/>
    <x v="0"/>
    <x v="2"/>
    <x v="6"/>
    <x v="165"/>
    <x v="100"/>
    <x v="4"/>
    <x v="170"/>
    <x v="3"/>
    <x v="0"/>
    <x v="0"/>
    <x v="286"/>
  </r>
  <r>
    <x v="287"/>
    <x v="66"/>
    <x v="2"/>
    <x v="0"/>
    <x v="2"/>
    <x v="13"/>
    <x v="187"/>
    <x v="86"/>
    <x v="1"/>
    <x v="182"/>
    <x v="3"/>
    <x v="0"/>
    <x v="0"/>
    <x v="287"/>
  </r>
  <r>
    <x v="288"/>
    <x v="62"/>
    <x v="3"/>
    <x v="0"/>
    <x v="4"/>
    <x v="6"/>
    <x v="77"/>
    <x v="197"/>
    <x v="10"/>
    <x v="183"/>
    <x v="3"/>
    <x v="0"/>
    <x v="0"/>
    <x v="288"/>
  </r>
  <r>
    <x v="289"/>
    <x v="52"/>
    <x v="2"/>
    <x v="0"/>
    <x v="2"/>
    <x v="0"/>
    <x v="116"/>
    <x v="198"/>
    <x v="3"/>
    <x v="114"/>
    <x v="3"/>
    <x v="0"/>
    <x v="0"/>
    <x v="289"/>
  </r>
  <r>
    <x v="290"/>
    <x v="54"/>
    <x v="1"/>
    <x v="1"/>
    <x v="2"/>
    <x v="15"/>
    <x v="188"/>
    <x v="199"/>
    <x v="0"/>
    <x v="92"/>
    <x v="0"/>
    <x v="1"/>
    <x v="1"/>
    <x v="290"/>
  </r>
  <r>
    <x v="291"/>
    <x v="52"/>
    <x v="2"/>
    <x v="1"/>
    <x v="3"/>
    <x v="12"/>
    <x v="189"/>
    <x v="164"/>
    <x v="7"/>
    <x v="131"/>
    <x v="2"/>
    <x v="0"/>
    <x v="0"/>
    <x v="291"/>
  </r>
  <r>
    <x v="292"/>
    <x v="47"/>
    <x v="3"/>
    <x v="0"/>
    <x v="3"/>
    <x v="9"/>
    <x v="68"/>
    <x v="193"/>
    <x v="12"/>
    <x v="165"/>
    <x v="3"/>
    <x v="1"/>
    <x v="1"/>
    <x v="292"/>
  </r>
  <r>
    <x v="293"/>
    <x v="56"/>
    <x v="1"/>
    <x v="0"/>
    <x v="2"/>
    <x v="11"/>
    <x v="14"/>
    <x v="200"/>
    <x v="14"/>
    <x v="179"/>
    <x v="0"/>
    <x v="0"/>
    <x v="0"/>
    <x v="293"/>
  </r>
  <r>
    <x v="294"/>
    <x v="82"/>
    <x v="2"/>
    <x v="1"/>
    <x v="2"/>
    <x v="11"/>
    <x v="126"/>
    <x v="132"/>
    <x v="12"/>
    <x v="184"/>
    <x v="3"/>
    <x v="0"/>
    <x v="0"/>
    <x v="294"/>
  </r>
  <r>
    <x v="295"/>
    <x v="17"/>
    <x v="4"/>
    <x v="0"/>
    <x v="0"/>
    <x v="10"/>
    <x v="92"/>
    <x v="4"/>
    <x v="1"/>
    <x v="49"/>
    <x v="2"/>
    <x v="1"/>
    <x v="1"/>
    <x v="295"/>
  </r>
  <r>
    <x v="296"/>
    <x v="58"/>
    <x v="1"/>
    <x v="1"/>
    <x v="4"/>
    <x v="19"/>
    <x v="190"/>
    <x v="201"/>
    <x v="7"/>
    <x v="185"/>
    <x v="0"/>
    <x v="0"/>
    <x v="0"/>
    <x v="296"/>
  </r>
  <r>
    <x v="297"/>
    <x v="9"/>
    <x v="3"/>
    <x v="0"/>
    <x v="4"/>
    <x v="23"/>
    <x v="191"/>
    <x v="202"/>
    <x v="0"/>
    <x v="83"/>
    <x v="2"/>
    <x v="1"/>
    <x v="1"/>
    <x v="297"/>
  </r>
  <r>
    <x v="298"/>
    <x v="55"/>
    <x v="2"/>
    <x v="0"/>
    <x v="4"/>
    <x v="9"/>
    <x v="163"/>
    <x v="136"/>
    <x v="0"/>
    <x v="177"/>
    <x v="0"/>
    <x v="0"/>
    <x v="0"/>
    <x v="298"/>
  </r>
  <r>
    <x v="299"/>
    <x v="39"/>
    <x v="4"/>
    <x v="1"/>
    <x v="0"/>
    <x v="10"/>
    <x v="157"/>
    <x v="96"/>
    <x v="12"/>
    <x v="186"/>
    <x v="2"/>
    <x v="0"/>
    <x v="0"/>
    <x v="299"/>
  </r>
  <r>
    <x v="300"/>
    <x v="5"/>
    <x v="2"/>
    <x v="0"/>
    <x v="0"/>
    <x v="17"/>
    <x v="105"/>
    <x v="43"/>
    <x v="7"/>
    <x v="77"/>
    <x v="3"/>
    <x v="0"/>
    <x v="0"/>
    <x v="300"/>
  </r>
  <r>
    <x v="301"/>
    <x v="14"/>
    <x v="3"/>
    <x v="0"/>
    <x v="2"/>
    <x v="22"/>
    <x v="192"/>
    <x v="0"/>
    <x v="14"/>
    <x v="187"/>
    <x v="0"/>
    <x v="0"/>
    <x v="0"/>
    <x v="301"/>
  </r>
  <r>
    <x v="302"/>
    <x v="8"/>
    <x v="0"/>
    <x v="1"/>
    <x v="2"/>
    <x v="17"/>
    <x v="193"/>
    <x v="27"/>
    <x v="13"/>
    <x v="151"/>
    <x v="1"/>
    <x v="0"/>
    <x v="0"/>
    <x v="302"/>
  </r>
  <r>
    <x v="303"/>
    <x v="6"/>
    <x v="1"/>
    <x v="0"/>
    <x v="2"/>
    <x v="18"/>
    <x v="103"/>
    <x v="203"/>
    <x v="4"/>
    <x v="150"/>
    <x v="3"/>
    <x v="1"/>
    <x v="1"/>
    <x v="303"/>
  </r>
  <r>
    <x v="304"/>
    <x v="82"/>
    <x v="2"/>
    <x v="0"/>
    <x v="2"/>
    <x v="17"/>
    <x v="103"/>
    <x v="204"/>
    <x v="3"/>
    <x v="188"/>
    <x v="0"/>
    <x v="0"/>
    <x v="0"/>
    <x v="304"/>
  </r>
  <r>
    <x v="305"/>
    <x v="45"/>
    <x v="2"/>
    <x v="1"/>
    <x v="0"/>
    <x v="16"/>
    <x v="194"/>
    <x v="204"/>
    <x v="6"/>
    <x v="97"/>
    <x v="3"/>
    <x v="1"/>
    <x v="1"/>
    <x v="305"/>
  </r>
  <r>
    <x v="306"/>
    <x v="77"/>
    <x v="2"/>
    <x v="0"/>
    <x v="0"/>
    <x v="8"/>
    <x v="142"/>
    <x v="90"/>
    <x v="10"/>
    <x v="85"/>
    <x v="2"/>
    <x v="0"/>
    <x v="0"/>
    <x v="306"/>
  </r>
  <r>
    <x v="307"/>
    <x v="23"/>
    <x v="3"/>
    <x v="0"/>
    <x v="3"/>
    <x v="6"/>
    <x v="195"/>
    <x v="44"/>
    <x v="8"/>
    <x v="71"/>
    <x v="1"/>
    <x v="0"/>
    <x v="0"/>
    <x v="307"/>
  </r>
  <r>
    <x v="308"/>
    <x v="77"/>
    <x v="2"/>
    <x v="0"/>
    <x v="3"/>
    <x v="12"/>
    <x v="169"/>
    <x v="205"/>
    <x v="6"/>
    <x v="72"/>
    <x v="3"/>
    <x v="1"/>
    <x v="1"/>
    <x v="308"/>
  </r>
  <r>
    <x v="309"/>
    <x v="54"/>
    <x v="1"/>
    <x v="1"/>
    <x v="0"/>
    <x v="20"/>
    <x v="25"/>
    <x v="144"/>
    <x v="0"/>
    <x v="20"/>
    <x v="1"/>
    <x v="0"/>
    <x v="0"/>
    <x v="309"/>
  </r>
  <r>
    <x v="310"/>
    <x v="13"/>
    <x v="2"/>
    <x v="0"/>
    <x v="2"/>
    <x v="10"/>
    <x v="195"/>
    <x v="44"/>
    <x v="8"/>
    <x v="166"/>
    <x v="0"/>
    <x v="0"/>
    <x v="0"/>
    <x v="310"/>
  </r>
  <r>
    <x v="311"/>
    <x v="68"/>
    <x v="0"/>
    <x v="0"/>
    <x v="2"/>
    <x v="4"/>
    <x v="96"/>
    <x v="174"/>
    <x v="9"/>
    <x v="189"/>
    <x v="0"/>
    <x v="0"/>
    <x v="0"/>
    <x v="311"/>
  </r>
  <r>
    <x v="312"/>
    <x v="50"/>
    <x v="2"/>
    <x v="0"/>
    <x v="1"/>
    <x v="1"/>
    <x v="196"/>
    <x v="206"/>
    <x v="7"/>
    <x v="73"/>
    <x v="2"/>
    <x v="0"/>
    <x v="0"/>
    <x v="312"/>
  </r>
  <r>
    <x v="313"/>
    <x v="3"/>
    <x v="2"/>
    <x v="0"/>
    <x v="0"/>
    <x v="6"/>
    <x v="197"/>
    <x v="207"/>
    <x v="2"/>
    <x v="0"/>
    <x v="2"/>
    <x v="0"/>
    <x v="0"/>
    <x v="313"/>
  </r>
  <r>
    <x v="314"/>
    <x v="35"/>
    <x v="1"/>
    <x v="0"/>
    <x v="2"/>
    <x v="15"/>
    <x v="74"/>
    <x v="60"/>
    <x v="3"/>
    <x v="190"/>
    <x v="1"/>
    <x v="0"/>
    <x v="0"/>
    <x v="314"/>
  </r>
  <r>
    <x v="315"/>
    <x v="60"/>
    <x v="1"/>
    <x v="1"/>
    <x v="0"/>
    <x v="2"/>
    <x v="110"/>
    <x v="208"/>
    <x v="4"/>
    <x v="79"/>
    <x v="0"/>
    <x v="0"/>
    <x v="0"/>
    <x v="315"/>
  </r>
  <r>
    <x v="316"/>
    <x v="75"/>
    <x v="4"/>
    <x v="1"/>
    <x v="0"/>
    <x v="7"/>
    <x v="106"/>
    <x v="150"/>
    <x v="2"/>
    <x v="168"/>
    <x v="2"/>
    <x v="1"/>
    <x v="1"/>
    <x v="316"/>
  </r>
  <r>
    <x v="317"/>
    <x v="4"/>
    <x v="1"/>
    <x v="0"/>
    <x v="3"/>
    <x v="13"/>
    <x v="112"/>
    <x v="179"/>
    <x v="10"/>
    <x v="191"/>
    <x v="0"/>
    <x v="0"/>
    <x v="0"/>
    <x v="317"/>
  </r>
  <r>
    <x v="318"/>
    <x v="2"/>
    <x v="2"/>
    <x v="0"/>
    <x v="3"/>
    <x v="8"/>
    <x v="152"/>
    <x v="209"/>
    <x v="2"/>
    <x v="161"/>
    <x v="0"/>
    <x v="0"/>
    <x v="0"/>
    <x v="318"/>
  </r>
  <r>
    <x v="319"/>
    <x v="6"/>
    <x v="1"/>
    <x v="0"/>
    <x v="1"/>
    <x v="15"/>
    <x v="137"/>
    <x v="136"/>
    <x v="12"/>
    <x v="178"/>
    <x v="2"/>
    <x v="1"/>
    <x v="1"/>
    <x v="319"/>
  </r>
  <r>
    <x v="320"/>
    <x v="59"/>
    <x v="2"/>
    <x v="0"/>
    <x v="4"/>
    <x v="15"/>
    <x v="198"/>
    <x v="210"/>
    <x v="4"/>
    <x v="192"/>
    <x v="2"/>
    <x v="1"/>
    <x v="1"/>
    <x v="320"/>
  </r>
  <r>
    <x v="321"/>
    <x v="73"/>
    <x v="0"/>
    <x v="1"/>
    <x v="1"/>
    <x v="18"/>
    <x v="35"/>
    <x v="211"/>
    <x v="13"/>
    <x v="4"/>
    <x v="0"/>
    <x v="0"/>
    <x v="0"/>
    <x v="321"/>
  </r>
  <r>
    <x v="322"/>
    <x v="72"/>
    <x v="0"/>
    <x v="0"/>
    <x v="0"/>
    <x v="7"/>
    <x v="95"/>
    <x v="119"/>
    <x v="7"/>
    <x v="21"/>
    <x v="1"/>
    <x v="0"/>
    <x v="0"/>
    <x v="322"/>
  </r>
  <r>
    <x v="323"/>
    <x v="15"/>
    <x v="2"/>
    <x v="0"/>
    <x v="1"/>
    <x v="16"/>
    <x v="34"/>
    <x v="33"/>
    <x v="12"/>
    <x v="193"/>
    <x v="0"/>
    <x v="1"/>
    <x v="1"/>
    <x v="323"/>
  </r>
  <r>
    <x v="324"/>
    <x v="32"/>
    <x v="1"/>
    <x v="1"/>
    <x v="3"/>
    <x v="18"/>
    <x v="199"/>
    <x v="212"/>
    <x v="2"/>
    <x v="11"/>
    <x v="0"/>
    <x v="0"/>
    <x v="0"/>
    <x v="324"/>
  </r>
  <r>
    <x v="325"/>
    <x v="75"/>
    <x v="4"/>
    <x v="1"/>
    <x v="2"/>
    <x v="12"/>
    <x v="200"/>
    <x v="213"/>
    <x v="0"/>
    <x v="103"/>
    <x v="0"/>
    <x v="0"/>
    <x v="0"/>
    <x v="325"/>
  </r>
  <r>
    <x v="326"/>
    <x v="40"/>
    <x v="4"/>
    <x v="0"/>
    <x v="0"/>
    <x v="8"/>
    <x v="157"/>
    <x v="100"/>
    <x v="5"/>
    <x v="194"/>
    <x v="2"/>
    <x v="1"/>
    <x v="1"/>
    <x v="326"/>
  </r>
  <r>
    <x v="327"/>
    <x v="25"/>
    <x v="2"/>
    <x v="0"/>
    <x v="4"/>
    <x v="24"/>
    <x v="201"/>
    <x v="6"/>
    <x v="0"/>
    <x v="127"/>
    <x v="2"/>
    <x v="0"/>
    <x v="0"/>
    <x v="327"/>
  </r>
  <r>
    <x v="328"/>
    <x v="12"/>
    <x v="0"/>
    <x v="1"/>
    <x v="3"/>
    <x v="16"/>
    <x v="180"/>
    <x v="41"/>
    <x v="10"/>
    <x v="30"/>
    <x v="2"/>
    <x v="1"/>
    <x v="1"/>
    <x v="328"/>
  </r>
  <r>
    <x v="329"/>
    <x v="16"/>
    <x v="3"/>
    <x v="1"/>
    <x v="1"/>
    <x v="24"/>
    <x v="202"/>
    <x v="214"/>
    <x v="7"/>
    <x v="98"/>
    <x v="3"/>
    <x v="0"/>
    <x v="0"/>
    <x v="329"/>
  </r>
  <r>
    <x v="330"/>
    <x v="62"/>
    <x v="3"/>
    <x v="1"/>
    <x v="4"/>
    <x v="18"/>
    <x v="182"/>
    <x v="215"/>
    <x v="13"/>
    <x v="123"/>
    <x v="2"/>
    <x v="0"/>
    <x v="0"/>
    <x v="330"/>
  </r>
  <r>
    <x v="331"/>
    <x v="27"/>
    <x v="1"/>
    <x v="0"/>
    <x v="0"/>
    <x v="10"/>
    <x v="203"/>
    <x v="216"/>
    <x v="5"/>
    <x v="152"/>
    <x v="2"/>
    <x v="1"/>
    <x v="1"/>
    <x v="331"/>
  </r>
  <r>
    <x v="332"/>
    <x v="83"/>
    <x v="2"/>
    <x v="0"/>
    <x v="3"/>
    <x v="21"/>
    <x v="120"/>
    <x v="50"/>
    <x v="1"/>
    <x v="16"/>
    <x v="3"/>
    <x v="0"/>
    <x v="0"/>
    <x v="332"/>
  </r>
  <r>
    <x v="333"/>
    <x v="25"/>
    <x v="2"/>
    <x v="1"/>
    <x v="3"/>
    <x v="14"/>
    <x v="204"/>
    <x v="181"/>
    <x v="3"/>
    <x v="181"/>
    <x v="1"/>
    <x v="0"/>
    <x v="0"/>
    <x v="333"/>
  </r>
  <r>
    <x v="334"/>
    <x v="48"/>
    <x v="1"/>
    <x v="1"/>
    <x v="1"/>
    <x v="5"/>
    <x v="30"/>
    <x v="22"/>
    <x v="1"/>
    <x v="110"/>
    <x v="0"/>
    <x v="0"/>
    <x v="0"/>
    <x v="334"/>
  </r>
  <r>
    <x v="335"/>
    <x v="4"/>
    <x v="1"/>
    <x v="0"/>
    <x v="3"/>
    <x v="7"/>
    <x v="14"/>
    <x v="217"/>
    <x v="4"/>
    <x v="195"/>
    <x v="0"/>
    <x v="0"/>
    <x v="0"/>
    <x v="335"/>
  </r>
  <r>
    <x v="336"/>
    <x v="38"/>
    <x v="4"/>
    <x v="1"/>
    <x v="0"/>
    <x v="15"/>
    <x v="131"/>
    <x v="137"/>
    <x v="4"/>
    <x v="161"/>
    <x v="3"/>
    <x v="0"/>
    <x v="0"/>
    <x v="336"/>
  </r>
  <r>
    <x v="337"/>
    <x v="83"/>
    <x v="2"/>
    <x v="1"/>
    <x v="0"/>
    <x v="9"/>
    <x v="80"/>
    <x v="218"/>
    <x v="11"/>
    <x v="41"/>
    <x v="0"/>
    <x v="1"/>
    <x v="1"/>
    <x v="337"/>
  </r>
  <r>
    <x v="338"/>
    <x v="45"/>
    <x v="2"/>
    <x v="1"/>
    <x v="1"/>
    <x v="19"/>
    <x v="205"/>
    <x v="135"/>
    <x v="1"/>
    <x v="96"/>
    <x v="0"/>
    <x v="0"/>
    <x v="0"/>
    <x v="338"/>
  </r>
  <r>
    <x v="339"/>
    <x v="41"/>
    <x v="1"/>
    <x v="0"/>
    <x v="0"/>
    <x v="16"/>
    <x v="206"/>
    <x v="96"/>
    <x v="9"/>
    <x v="196"/>
    <x v="1"/>
    <x v="0"/>
    <x v="0"/>
    <x v="339"/>
  </r>
  <r>
    <x v="340"/>
    <x v="29"/>
    <x v="2"/>
    <x v="0"/>
    <x v="2"/>
    <x v="9"/>
    <x v="207"/>
    <x v="39"/>
    <x v="13"/>
    <x v="141"/>
    <x v="0"/>
    <x v="1"/>
    <x v="1"/>
    <x v="340"/>
  </r>
  <r>
    <x v="341"/>
    <x v="22"/>
    <x v="0"/>
    <x v="0"/>
    <x v="2"/>
    <x v="17"/>
    <x v="208"/>
    <x v="89"/>
    <x v="3"/>
    <x v="197"/>
    <x v="2"/>
    <x v="0"/>
    <x v="0"/>
    <x v="341"/>
  </r>
  <r>
    <x v="342"/>
    <x v="34"/>
    <x v="4"/>
    <x v="1"/>
    <x v="2"/>
    <x v="19"/>
    <x v="110"/>
    <x v="167"/>
    <x v="12"/>
    <x v="198"/>
    <x v="0"/>
    <x v="0"/>
    <x v="0"/>
    <x v="342"/>
  </r>
  <r>
    <x v="343"/>
    <x v="77"/>
    <x v="2"/>
    <x v="1"/>
    <x v="0"/>
    <x v="11"/>
    <x v="209"/>
    <x v="63"/>
    <x v="3"/>
    <x v="19"/>
    <x v="3"/>
    <x v="0"/>
    <x v="0"/>
    <x v="343"/>
  </r>
  <r>
    <x v="344"/>
    <x v="25"/>
    <x v="2"/>
    <x v="0"/>
    <x v="1"/>
    <x v="14"/>
    <x v="48"/>
    <x v="149"/>
    <x v="11"/>
    <x v="140"/>
    <x v="0"/>
    <x v="0"/>
    <x v="0"/>
    <x v="344"/>
  </r>
  <r>
    <x v="345"/>
    <x v="41"/>
    <x v="1"/>
    <x v="1"/>
    <x v="3"/>
    <x v="9"/>
    <x v="170"/>
    <x v="219"/>
    <x v="13"/>
    <x v="53"/>
    <x v="1"/>
    <x v="0"/>
    <x v="0"/>
    <x v="345"/>
  </r>
  <r>
    <x v="346"/>
    <x v="13"/>
    <x v="2"/>
    <x v="1"/>
    <x v="4"/>
    <x v="4"/>
    <x v="210"/>
    <x v="220"/>
    <x v="9"/>
    <x v="199"/>
    <x v="1"/>
    <x v="0"/>
    <x v="0"/>
    <x v="346"/>
  </r>
  <r>
    <x v="347"/>
    <x v="61"/>
    <x v="1"/>
    <x v="1"/>
    <x v="2"/>
    <x v="2"/>
    <x v="211"/>
    <x v="221"/>
    <x v="10"/>
    <x v="47"/>
    <x v="2"/>
    <x v="0"/>
    <x v="0"/>
    <x v="347"/>
  </r>
  <r>
    <x v="348"/>
    <x v="1"/>
    <x v="1"/>
    <x v="0"/>
    <x v="1"/>
    <x v="23"/>
    <x v="212"/>
    <x v="191"/>
    <x v="6"/>
    <x v="200"/>
    <x v="3"/>
    <x v="0"/>
    <x v="0"/>
    <x v="348"/>
  </r>
  <r>
    <x v="349"/>
    <x v="83"/>
    <x v="2"/>
    <x v="0"/>
    <x v="3"/>
    <x v="11"/>
    <x v="213"/>
    <x v="65"/>
    <x v="9"/>
    <x v="97"/>
    <x v="1"/>
    <x v="0"/>
    <x v="0"/>
    <x v="349"/>
  </r>
  <r>
    <x v="350"/>
    <x v="41"/>
    <x v="1"/>
    <x v="0"/>
    <x v="4"/>
    <x v="1"/>
    <x v="214"/>
    <x v="222"/>
    <x v="14"/>
    <x v="123"/>
    <x v="0"/>
    <x v="0"/>
    <x v="0"/>
    <x v="350"/>
  </r>
  <r>
    <x v="351"/>
    <x v="48"/>
    <x v="1"/>
    <x v="1"/>
    <x v="3"/>
    <x v="12"/>
    <x v="215"/>
    <x v="223"/>
    <x v="0"/>
    <x v="201"/>
    <x v="2"/>
    <x v="0"/>
    <x v="0"/>
    <x v="351"/>
  </r>
  <r>
    <x v="352"/>
    <x v="66"/>
    <x v="2"/>
    <x v="0"/>
    <x v="4"/>
    <x v="1"/>
    <x v="182"/>
    <x v="224"/>
    <x v="14"/>
    <x v="55"/>
    <x v="2"/>
    <x v="0"/>
    <x v="0"/>
    <x v="352"/>
  </r>
  <r>
    <x v="353"/>
    <x v="33"/>
    <x v="1"/>
    <x v="1"/>
    <x v="0"/>
    <x v="21"/>
    <x v="169"/>
    <x v="179"/>
    <x v="13"/>
    <x v="193"/>
    <x v="3"/>
    <x v="1"/>
    <x v="1"/>
    <x v="353"/>
  </r>
  <r>
    <x v="354"/>
    <x v="35"/>
    <x v="1"/>
    <x v="0"/>
    <x v="0"/>
    <x v="1"/>
    <x v="21"/>
    <x v="9"/>
    <x v="0"/>
    <x v="116"/>
    <x v="3"/>
    <x v="0"/>
    <x v="0"/>
    <x v="354"/>
  </r>
  <r>
    <x v="355"/>
    <x v="11"/>
    <x v="1"/>
    <x v="0"/>
    <x v="2"/>
    <x v="11"/>
    <x v="76"/>
    <x v="57"/>
    <x v="8"/>
    <x v="110"/>
    <x v="1"/>
    <x v="0"/>
    <x v="0"/>
    <x v="355"/>
  </r>
  <r>
    <x v="356"/>
    <x v="82"/>
    <x v="2"/>
    <x v="0"/>
    <x v="2"/>
    <x v="11"/>
    <x v="145"/>
    <x v="225"/>
    <x v="6"/>
    <x v="177"/>
    <x v="1"/>
    <x v="0"/>
    <x v="0"/>
    <x v="356"/>
  </r>
  <r>
    <x v="357"/>
    <x v="19"/>
    <x v="2"/>
    <x v="1"/>
    <x v="1"/>
    <x v="1"/>
    <x v="117"/>
    <x v="226"/>
    <x v="5"/>
    <x v="202"/>
    <x v="2"/>
    <x v="0"/>
    <x v="0"/>
    <x v="357"/>
  </r>
  <r>
    <x v="358"/>
    <x v="10"/>
    <x v="3"/>
    <x v="1"/>
    <x v="0"/>
    <x v="13"/>
    <x v="216"/>
    <x v="202"/>
    <x v="5"/>
    <x v="140"/>
    <x v="0"/>
    <x v="0"/>
    <x v="0"/>
    <x v="358"/>
  </r>
  <r>
    <x v="359"/>
    <x v="14"/>
    <x v="3"/>
    <x v="0"/>
    <x v="0"/>
    <x v="9"/>
    <x v="168"/>
    <x v="227"/>
    <x v="0"/>
    <x v="176"/>
    <x v="0"/>
    <x v="0"/>
    <x v="0"/>
    <x v="359"/>
  </r>
  <r>
    <x v="360"/>
    <x v="84"/>
    <x v="1"/>
    <x v="0"/>
    <x v="3"/>
    <x v="8"/>
    <x v="217"/>
    <x v="140"/>
    <x v="8"/>
    <x v="108"/>
    <x v="3"/>
    <x v="1"/>
    <x v="1"/>
    <x v="360"/>
  </r>
  <r>
    <x v="361"/>
    <x v="23"/>
    <x v="3"/>
    <x v="0"/>
    <x v="4"/>
    <x v="1"/>
    <x v="6"/>
    <x v="7"/>
    <x v="6"/>
    <x v="35"/>
    <x v="0"/>
    <x v="0"/>
    <x v="0"/>
    <x v="361"/>
  </r>
  <r>
    <x v="362"/>
    <x v="51"/>
    <x v="2"/>
    <x v="0"/>
    <x v="1"/>
    <x v="9"/>
    <x v="27"/>
    <x v="228"/>
    <x v="7"/>
    <x v="203"/>
    <x v="3"/>
    <x v="0"/>
    <x v="0"/>
    <x v="362"/>
  </r>
  <r>
    <x v="363"/>
    <x v="64"/>
    <x v="1"/>
    <x v="1"/>
    <x v="2"/>
    <x v="19"/>
    <x v="55"/>
    <x v="229"/>
    <x v="12"/>
    <x v="127"/>
    <x v="1"/>
    <x v="1"/>
    <x v="1"/>
    <x v="363"/>
  </r>
  <r>
    <x v="364"/>
    <x v="54"/>
    <x v="1"/>
    <x v="0"/>
    <x v="3"/>
    <x v="5"/>
    <x v="16"/>
    <x v="230"/>
    <x v="3"/>
    <x v="92"/>
    <x v="0"/>
    <x v="0"/>
    <x v="0"/>
    <x v="364"/>
  </r>
  <r>
    <x v="365"/>
    <x v="2"/>
    <x v="2"/>
    <x v="1"/>
    <x v="3"/>
    <x v="10"/>
    <x v="218"/>
    <x v="229"/>
    <x v="1"/>
    <x v="204"/>
    <x v="2"/>
    <x v="0"/>
    <x v="0"/>
    <x v="365"/>
  </r>
  <r>
    <x v="366"/>
    <x v="83"/>
    <x v="2"/>
    <x v="0"/>
    <x v="2"/>
    <x v="3"/>
    <x v="18"/>
    <x v="12"/>
    <x v="12"/>
    <x v="8"/>
    <x v="2"/>
    <x v="1"/>
    <x v="1"/>
    <x v="366"/>
  </r>
  <r>
    <x v="367"/>
    <x v="83"/>
    <x v="2"/>
    <x v="0"/>
    <x v="4"/>
    <x v="14"/>
    <x v="219"/>
    <x v="124"/>
    <x v="8"/>
    <x v="149"/>
    <x v="1"/>
    <x v="0"/>
    <x v="0"/>
    <x v="367"/>
  </r>
  <r>
    <x v="368"/>
    <x v="61"/>
    <x v="1"/>
    <x v="0"/>
    <x v="0"/>
    <x v="8"/>
    <x v="220"/>
    <x v="170"/>
    <x v="5"/>
    <x v="205"/>
    <x v="0"/>
    <x v="0"/>
    <x v="0"/>
    <x v="368"/>
  </r>
  <r>
    <x v="369"/>
    <x v="43"/>
    <x v="0"/>
    <x v="0"/>
    <x v="1"/>
    <x v="23"/>
    <x v="221"/>
    <x v="135"/>
    <x v="6"/>
    <x v="206"/>
    <x v="2"/>
    <x v="0"/>
    <x v="0"/>
    <x v="369"/>
  </r>
  <r>
    <x v="370"/>
    <x v="59"/>
    <x v="2"/>
    <x v="1"/>
    <x v="1"/>
    <x v="24"/>
    <x v="222"/>
    <x v="98"/>
    <x v="14"/>
    <x v="97"/>
    <x v="0"/>
    <x v="0"/>
    <x v="0"/>
    <x v="370"/>
  </r>
  <r>
    <x v="371"/>
    <x v="27"/>
    <x v="1"/>
    <x v="0"/>
    <x v="2"/>
    <x v="21"/>
    <x v="153"/>
    <x v="223"/>
    <x v="2"/>
    <x v="3"/>
    <x v="1"/>
    <x v="0"/>
    <x v="0"/>
    <x v="371"/>
  </r>
  <r>
    <x v="372"/>
    <x v="30"/>
    <x v="2"/>
    <x v="0"/>
    <x v="4"/>
    <x v="17"/>
    <x v="113"/>
    <x v="25"/>
    <x v="2"/>
    <x v="10"/>
    <x v="1"/>
    <x v="0"/>
    <x v="0"/>
    <x v="372"/>
  </r>
  <r>
    <x v="373"/>
    <x v="31"/>
    <x v="3"/>
    <x v="0"/>
    <x v="4"/>
    <x v="3"/>
    <x v="197"/>
    <x v="85"/>
    <x v="5"/>
    <x v="91"/>
    <x v="2"/>
    <x v="0"/>
    <x v="0"/>
    <x v="373"/>
  </r>
  <r>
    <x v="374"/>
    <x v="84"/>
    <x v="1"/>
    <x v="0"/>
    <x v="2"/>
    <x v="11"/>
    <x v="223"/>
    <x v="181"/>
    <x v="2"/>
    <x v="207"/>
    <x v="1"/>
    <x v="0"/>
    <x v="0"/>
    <x v="374"/>
  </r>
  <r>
    <x v="375"/>
    <x v="61"/>
    <x v="1"/>
    <x v="1"/>
    <x v="4"/>
    <x v="3"/>
    <x v="122"/>
    <x v="231"/>
    <x v="0"/>
    <x v="117"/>
    <x v="2"/>
    <x v="0"/>
    <x v="0"/>
    <x v="375"/>
  </r>
  <r>
    <x v="376"/>
    <x v="79"/>
    <x v="4"/>
    <x v="0"/>
    <x v="3"/>
    <x v="19"/>
    <x v="25"/>
    <x v="37"/>
    <x v="12"/>
    <x v="33"/>
    <x v="2"/>
    <x v="0"/>
    <x v="0"/>
    <x v="376"/>
  </r>
  <r>
    <x v="377"/>
    <x v="65"/>
    <x v="2"/>
    <x v="1"/>
    <x v="1"/>
    <x v="11"/>
    <x v="224"/>
    <x v="151"/>
    <x v="3"/>
    <x v="12"/>
    <x v="3"/>
    <x v="1"/>
    <x v="1"/>
    <x v="377"/>
  </r>
  <r>
    <x v="378"/>
    <x v="37"/>
    <x v="2"/>
    <x v="0"/>
    <x v="2"/>
    <x v="13"/>
    <x v="108"/>
    <x v="80"/>
    <x v="7"/>
    <x v="208"/>
    <x v="3"/>
    <x v="0"/>
    <x v="0"/>
    <x v="378"/>
  </r>
  <r>
    <x v="379"/>
    <x v="67"/>
    <x v="0"/>
    <x v="0"/>
    <x v="1"/>
    <x v="23"/>
    <x v="225"/>
    <x v="119"/>
    <x v="0"/>
    <x v="209"/>
    <x v="0"/>
    <x v="0"/>
    <x v="0"/>
    <x v="379"/>
  </r>
  <r>
    <x v="380"/>
    <x v="37"/>
    <x v="2"/>
    <x v="1"/>
    <x v="1"/>
    <x v="15"/>
    <x v="226"/>
    <x v="232"/>
    <x v="14"/>
    <x v="210"/>
    <x v="1"/>
    <x v="1"/>
    <x v="1"/>
    <x v="380"/>
  </r>
  <r>
    <x v="381"/>
    <x v="18"/>
    <x v="1"/>
    <x v="1"/>
    <x v="2"/>
    <x v="22"/>
    <x v="227"/>
    <x v="159"/>
    <x v="11"/>
    <x v="211"/>
    <x v="0"/>
    <x v="0"/>
    <x v="0"/>
    <x v="381"/>
  </r>
  <r>
    <x v="382"/>
    <x v="51"/>
    <x v="2"/>
    <x v="0"/>
    <x v="4"/>
    <x v="20"/>
    <x v="213"/>
    <x v="233"/>
    <x v="6"/>
    <x v="212"/>
    <x v="0"/>
    <x v="0"/>
    <x v="0"/>
    <x v="382"/>
  </r>
  <r>
    <x v="383"/>
    <x v="21"/>
    <x v="1"/>
    <x v="1"/>
    <x v="1"/>
    <x v="16"/>
    <x v="228"/>
    <x v="165"/>
    <x v="9"/>
    <x v="213"/>
    <x v="3"/>
    <x v="0"/>
    <x v="0"/>
    <x v="383"/>
  </r>
  <r>
    <x v="384"/>
    <x v="24"/>
    <x v="1"/>
    <x v="0"/>
    <x v="0"/>
    <x v="21"/>
    <x v="229"/>
    <x v="101"/>
    <x v="12"/>
    <x v="105"/>
    <x v="2"/>
    <x v="0"/>
    <x v="0"/>
    <x v="384"/>
  </r>
  <r>
    <x v="385"/>
    <x v="76"/>
    <x v="1"/>
    <x v="1"/>
    <x v="4"/>
    <x v="13"/>
    <x v="230"/>
    <x v="234"/>
    <x v="0"/>
    <x v="154"/>
    <x v="3"/>
    <x v="0"/>
    <x v="0"/>
    <x v="385"/>
  </r>
  <r>
    <x v="386"/>
    <x v="77"/>
    <x v="2"/>
    <x v="1"/>
    <x v="4"/>
    <x v="13"/>
    <x v="178"/>
    <x v="10"/>
    <x v="9"/>
    <x v="214"/>
    <x v="2"/>
    <x v="1"/>
    <x v="1"/>
    <x v="386"/>
  </r>
  <r>
    <x v="387"/>
    <x v="81"/>
    <x v="1"/>
    <x v="0"/>
    <x v="0"/>
    <x v="5"/>
    <x v="231"/>
    <x v="48"/>
    <x v="7"/>
    <x v="184"/>
    <x v="0"/>
    <x v="0"/>
    <x v="0"/>
    <x v="387"/>
  </r>
  <r>
    <x v="388"/>
    <x v="38"/>
    <x v="4"/>
    <x v="0"/>
    <x v="2"/>
    <x v="22"/>
    <x v="232"/>
    <x v="197"/>
    <x v="0"/>
    <x v="215"/>
    <x v="0"/>
    <x v="1"/>
    <x v="1"/>
    <x v="388"/>
  </r>
  <r>
    <x v="389"/>
    <x v="11"/>
    <x v="1"/>
    <x v="0"/>
    <x v="2"/>
    <x v="0"/>
    <x v="151"/>
    <x v="163"/>
    <x v="9"/>
    <x v="17"/>
    <x v="1"/>
    <x v="0"/>
    <x v="0"/>
    <x v="389"/>
  </r>
  <r>
    <x v="390"/>
    <x v="84"/>
    <x v="1"/>
    <x v="1"/>
    <x v="1"/>
    <x v="2"/>
    <x v="233"/>
    <x v="235"/>
    <x v="9"/>
    <x v="165"/>
    <x v="2"/>
    <x v="0"/>
    <x v="0"/>
    <x v="390"/>
  </r>
  <r>
    <x v="391"/>
    <x v="68"/>
    <x v="0"/>
    <x v="0"/>
    <x v="1"/>
    <x v="12"/>
    <x v="234"/>
    <x v="236"/>
    <x v="8"/>
    <x v="41"/>
    <x v="2"/>
    <x v="0"/>
    <x v="0"/>
    <x v="391"/>
  </r>
  <r>
    <x v="392"/>
    <x v="8"/>
    <x v="0"/>
    <x v="1"/>
    <x v="3"/>
    <x v="15"/>
    <x v="235"/>
    <x v="95"/>
    <x v="3"/>
    <x v="178"/>
    <x v="1"/>
    <x v="0"/>
    <x v="0"/>
    <x v="392"/>
  </r>
  <r>
    <x v="393"/>
    <x v="12"/>
    <x v="0"/>
    <x v="0"/>
    <x v="1"/>
    <x v="22"/>
    <x v="137"/>
    <x v="237"/>
    <x v="14"/>
    <x v="35"/>
    <x v="2"/>
    <x v="0"/>
    <x v="0"/>
    <x v="393"/>
  </r>
  <r>
    <x v="394"/>
    <x v="17"/>
    <x v="4"/>
    <x v="0"/>
    <x v="2"/>
    <x v="16"/>
    <x v="53"/>
    <x v="165"/>
    <x v="13"/>
    <x v="79"/>
    <x v="1"/>
    <x v="1"/>
    <x v="1"/>
    <x v="394"/>
  </r>
  <r>
    <x v="395"/>
    <x v="74"/>
    <x v="1"/>
    <x v="0"/>
    <x v="1"/>
    <x v="17"/>
    <x v="16"/>
    <x v="210"/>
    <x v="10"/>
    <x v="67"/>
    <x v="3"/>
    <x v="0"/>
    <x v="0"/>
    <x v="395"/>
  </r>
  <r>
    <x v="396"/>
    <x v="56"/>
    <x v="1"/>
    <x v="0"/>
    <x v="1"/>
    <x v="13"/>
    <x v="205"/>
    <x v="105"/>
    <x v="12"/>
    <x v="176"/>
    <x v="2"/>
    <x v="0"/>
    <x v="0"/>
    <x v="396"/>
  </r>
  <r>
    <x v="397"/>
    <x v="44"/>
    <x v="2"/>
    <x v="1"/>
    <x v="4"/>
    <x v="20"/>
    <x v="183"/>
    <x v="192"/>
    <x v="14"/>
    <x v="112"/>
    <x v="1"/>
    <x v="1"/>
    <x v="1"/>
    <x v="397"/>
  </r>
  <r>
    <x v="398"/>
    <x v="5"/>
    <x v="2"/>
    <x v="1"/>
    <x v="4"/>
    <x v="3"/>
    <x v="236"/>
    <x v="162"/>
    <x v="0"/>
    <x v="45"/>
    <x v="1"/>
    <x v="0"/>
    <x v="0"/>
    <x v="398"/>
  </r>
  <r>
    <x v="399"/>
    <x v="78"/>
    <x v="1"/>
    <x v="1"/>
    <x v="0"/>
    <x v="1"/>
    <x v="237"/>
    <x v="163"/>
    <x v="10"/>
    <x v="216"/>
    <x v="3"/>
    <x v="1"/>
    <x v="1"/>
    <x v="399"/>
  </r>
  <r>
    <x v="400"/>
    <x v="22"/>
    <x v="0"/>
    <x v="1"/>
    <x v="1"/>
    <x v="20"/>
    <x v="153"/>
    <x v="54"/>
    <x v="5"/>
    <x v="153"/>
    <x v="3"/>
    <x v="0"/>
    <x v="0"/>
    <x v="400"/>
  </r>
  <r>
    <x v="401"/>
    <x v="31"/>
    <x v="3"/>
    <x v="1"/>
    <x v="0"/>
    <x v="11"/>
    <x v="74"/>
    <x v="68"/>
    <x v="1"/>
    <x v="217"/>
    <x v="0"/>
    <x v="1"/>
    <x v="1"/>
    <x v="401"/>
  </r>
  <r>
    <x v="402"/>
    <x v="14"/>
    <x v="3"/>
    <x v="0"/>
    <x v="4"/>
    <x v="1"/>
    <x v="165"/>
    <x v="174"/>
    <x v="2"/>
    <x v="1"/>
    <x v="3"/>
    <x v="0"/>
    <x v="0"/>
    <x v="402"/>
  </r>
  <r>
    <x v="403"/>
    <x v="44"/>
    <x v="2"/>
    <x v="0"/>
    <x v="2"/>
    <x v="1"/>
    <x v="227"/>
    <x v="238"/>
    <x v="6"/>
    <x v="158"/>
    <x v="3"/>
    <x v="0"/>
    <x v="0"/>
    <x v="403"/>
  </r>
  <r>
    <x v="404"/>
    <x v="50"/>
    <x v="2"/>
    <x v="1"/>
    <x v="4"/>
    <x v="19"/>
    <x v="36"/>
    <x v="45"/>
    <x v="5"/>
    <x v="12"/>
    <x v="0"/>
    <x v="0"/>
    <x v="0"/>
    <x v="404"/>
  </r>
  <r>
    <x v="405"/>
    <x v="10"/>
    <x v="3"/>
    <x v="1"/>
    <x v="0"/>
    <x v="5"/>
    <x v="52"/>
    <x v="110"/>
    <x v="5"/>
    <x v="218"/>
    <x v="0"/>
    <x v="0"/>
    <x v="0"/>
    <x v="405"/>
  </r>
  <r>
    <x v="406"/>
    <x v="31"/>
    <x v="3"/>
    <x v="1"/>
    <x v="0"/>
    <x v="5"/>
    <x v="167"/>
    <x v="93"/>
    <x v="12"/>
    <x v="74"/>
    <x v="1"/>
    <x v="1"/>
    <x v="1"/>
    <x v="406"/>
  </r>
  <r>
    <x v="407"/>
    <x v="65"/>
    <x v="2"/>
    <x v="1"/>
    <x v="3"/>
    <x v="20"/>
    <x v="238"/>
    <x v="96"/>
    <x v="7"/>
    <x v="219"/>
    <x v="3"/>
    <x v="0"/>
    <x v="0"/>
    <x v="407"/>
  </r>
  <r>
    <x v="408"/>
    <x v="44"/>
    <x v="2"/>
    <x v="0"/>
    <x v="4"/>
    <x v="12"/>
    <x v="208"/>
    <x v="175"/>
    <x v="12"/>
    <x v="220"/>
    <x v="3"/>
    <x v="0"/>
    <x v="0"/>
    <x v="408"/>
  </r>
  <r>
    <x v="409"/>
    <x v="59"/>
    <x v="2"/>
    <x v="0"/>
    <x v="4"/>
    <x v="18"/>
    <x v="239"/>
    <x v="192"/>
    <x v="12"/>
    <x v="188"/>
    <x v="2"/>
    <x v="0"/>
    <x v="0"/>
    <x v="409"/>
  </r>
  <r>
    <x v="410"/>
    <x v="22"/>
    <x v="0"/>
    <x v="0"/>
    <x v="4"/>
    <x v="12"/>
    <x v="63"/>
    <x v="95"/>
    <x v="14"/>
    <x v="0"/>
    <x v="0"/>
    <x v="1"/>
    <x v="1"/>
    <x v="410"/>
  </r>
  <r>
    <x v="411"/>
    <x v="42"/>
    <x v="2"/>
    <x v="0"/>
    <x v="3"/>
    <x v="3"/>
    <x v="235"/>
    <x v="239"/>
    <x v="14"/>
    <x v="221"/>
    <x v="2"/>
    <x v="0"/>
    <x v="0"/>
    <x v="411"/>
  </r>
  <r>
    <x v="412"/>
    <x v="35"/>
    <x v="1"/>
    <x v="0"/>
    <x v="4"/>
    <x v="10"/>
    <x v="104"/>
    <x v="139"/>
    <x v="12"/>
    <x v="177"/>
    <x v="2"/>
    <x v="0"/>
    <x v="0"/>
    <x v="412"/>
  </r>
  <r>
    <x v="413"/>
    <x v="75"/>
    <x v="4"/>
    <x v="0"/>
    <x v="2"/>
    <x v="2"/>
    <x v="3"/>
    <x v="107"/>
    <x v="7"/>
    <x v="207"/>
    <x v="1"/>
    <x v="0"/>
    <x v="0"/>
    <x v="413"/>
  </r>
  <r>
    <x v="414"/>
    <x v="45"/>
    <x v="2"/>
    <x v="0"/>
    <x v="4"/>
    <x v="16"/>
    <x v="6"/>
    <x v="7"/>
    <x v="6"/>
    <x v="209"/>
    <x v="1"/>
    <x v="1"/>
    <x v="1"/>
    <x v="414"/>
  </r>
  <r>
    <x v="415"/>
    <x v="7"/>
    <x v="1"/>
    <x v="1"/>
    <x v="3"/>
    <x v="4"/>
    <x v="177"/>
    <x v="173"/>
    <x v="1"/>
    <x v="222"/>
    <x v="0"/>
    <x v="1"/>
    <x v="1"/>
    <x v="415"/>
  </r>
  <r>
    <x v="416"/>
    <x v="73"/>
    <x v="0"/>
    <x v="1"/>
    <x v="0"/>
    <x v="4"/>
    <x v="158"/>
    <x v="228"/>
    <x v="11"/>
    <x v="223"/>
    <x v="3"/>
    <x v="1"/>
    <x v="1"/>
    <x v="416"/>
  </r>
  <r>
    <x v="417"/>
    <x v="23"/>
    <x v="3"/>
    <x v="1"/>
    <x v="3"/>
    <x v="23"/>
    <x v="182"/>
    <x v="186"/>
    <x v="5"/>
    <x v="158"/>
    <x v="1"/>
    <x v="0"/>
    <x v="0"/>
    <x v="417"/>
  </r>
  <r>
    <x v="418"/>
    <x v="28"/>
    <x v="3"/>
    <x v="1"/>
    <x v="2"/>
    <x v="2"/>
    <x v="225"/>
    <x v="240"/>
    <x v="4"/>
    <x v="81"/>
    <x v="3"/>
    <x v="0"/>
    <x v="0"/>
    <x v="418"/>
  </r>
  <r>
    <x v="419"/>
    <x v="7"/>
    <x v="1"/>
    <x v="0"/>
    <x v="3"/>
    <x v="22"/>
    <x v="192"/>
    <x v="187"/>
    <x v="11"/>
    <x v="54"/>
    <x v="3"/>
    <x v="0"/>
    <x v="0"/>
    <x v="419"/>
  </r>
  <r>
    <x v="420"/>
    <x v="44"/>
    <x v="2"/>
    <x v="1"/>
    <x v="4"/>
    <x v="2"/>
    <x v="176"/>
    <x v="241"/>
    <x v="6"/>
    <x v="50"/>
    <x v="2"/>
    <x v="0"/>
    <x v="0"/>
    <x v="420"/>
  </r>
  <r>
    <x v="421"/>
    <x v="26"/>
    <x v="2"/>
    <x v="1"/>
    <x v="4"/>
    <x v="20"/>
    <x v="240"/>
    <x v="227"/>
    <x v="12"/>
    <x v="201"/>
    <x v="0"/>
    <x v="1"/>
    <x v="1"/>
    <x v="421"/>
  </r>
  <r>
    <x v="422"/>
    <x v="80"/>
    <x v="3"/>
    <x v="1"/>
    <x v="1"/>
    <x v="20"/>
    <x v="197"/>
    <x v="76"/>
    <x v="4"/>
    <x v="224"/>
    <x v="3"/>
    <x v="0"/>
    <x v="0"/>
    <x v="422"/>
  </r>
  <r>
    <x v="423"/>
    <x v="46"/>
    <x v="2"/>
    <x v="0"/>
    <x v="4"/>
    <x v="2"/>
    <x v="202"/>
    <x v="29"/>
    <x v="8"/>
    <x v="86"/>
    <x v="2"/>
    <x v="1"/>
    <x v="1"/>
    <x v="423"/>
  </r>
  <r>
    <x v="424"/>
    <x v="75"/>
    <x v="4"/>
    <x v="1"/>
    <x v="1"/>
    <x v="14"/>
    <x v="241"/>
    <x v="156"/>
    <x v="6"/>
    <x v="1"/>
    <x v="2"/>
    <x v="0"/>
    <x v="0"/>
    <x v="424"/>
  </r>
  <r>
    <x v="425"/>
    <x v="67"/>
    <x v="0"/>
    <x v="0"/>
    <x v="4"/>
    <x v="2"/>
    <x v="145"/>
    <x v="242"/>
    <x v="12"/>
    <x v="148"/>
    <x v="0"/>
    <x v="0"/>
    <x v="0"/>
    <x v="425"/>
  </r>
  <r>
    <x v="426"/>
    <x v="43"/>
    <x v="0"/>
    <x v="1"/>
    <x v="1"/>
    <x v="22"/>
    <x v="242"/>
    <x v="243"/>
    <x v="12"/>
    <x v="103"/>
    <x v="3"/>
    <x v="0"/>
    <x v="0"/>
    <x v="426"/>
  </r>
  <r>
    <x v="427"/>
    <x v="32"/>
    <x v="1"/>
    <x v="1"/>
    <x v="0"/>
    <x v="7"/>
    <x v="68"/>
    <x v="12"/>
    <x v="7"/>
    <x v="225"/>
    <x v="1"/>
    <x v="1"/>
    <x v="1"/>
    <x v="427"/>
  </r>
  <r>
    <x v="428"/>
    <x v="41"/>
    <x v="1"/>
    <x v="0"/>
    <x v="2"/>
    <x v="6"/>
    <x v="130"/>
    <x v="122"/>
    <x v="12"/>
    <x v="96"/>
    <x v="3"/>
    <x v="0"/>
    <x v="0"/>
    <x v="428"/>
  </r>
  <r>
    <x v="429"/>
    <x v="57"/>
    <x v="2"/>
    <x v="1"/>
    <x v="1"/>
    <x v="8"/>
    <x v="118"/>
    <x v="147"/>
    <x v="0"/>
    <x v="61"/>
    <x v="2"/>
    <x v="0"/>
    <x v="0"/>
    <x v="429"/>
  </r>
  <r>
    <x v="430"/>
    <x v="51"/>
    <x v="2"/>
    <x v="0"/>
    <x v="0"/>
    <x v="11"/>
    <x v="160"/>
    <x v="233"/>
    <x v="3"/>
    <x v="226"/>
    <x v="3"/>
    <x v="0"/>
    <x v="0"/>
    <x v="430"/>
  </r>
  <r>
    <x v="431"/>
    <x v="83"/>
    <x v="2"/>
    <x v="1"/>
    <x v="1"/>
    <x v="12"/>
    <x v="243"/>
    <x v="70"/>
    <x v="3"/>
    <x v="180"/>
    <x v="0"/>
    <x v="1"/>
    <x v="1"/>
    <x v="431"/>
  </r>
  <r>
    <x v="432"/>
    <x v="60"/>
    <x v="1"/>
    <x v="1"/>
    <x v="1"/>
    <x v="5"/>
    <x v="76"/>
    <x v="244"/>
    <x v="13"/>
    <x v="52"/>
    <x v="3"/>
    <x v="0"/>
    <x v="0"/>
    <x v="432"/>
  </r>
  <r>
    <x v="433"/>
    <x v="17"/>
    <x v="4"/>
    <x v="1"/>
    <x v="1"/>
    <x v="20"/>
    <x v="61"/>
    <x v="104"/>
    <x v="1"/>
    <x v="179"/>
    <x v="1"/>
    <x v="1"/>
    <x v="1"/>
    <x v="433"/>
  </r>
  <r>
    <x v="434"/>
    <x v="68"/>
    <x v="0"/>
    <x v="1"/>
    <x v="0"/>
    <x v="12"/>
    <x v="244"/>
    <x v="106"/>
    <x v="0"/>
    <x v="7"/>
    <x v="1"/>
    <x v="0"/>
    <x v="0"/>
    <x v="434"/>
  </r>
  <r>
    <x v="435"/>
    <x v="79"/>
    <x v="4"/>
    <x v="0"/>
    <x v="4"/>
    <x v="17"/>
    <x v="245"/>
    <x v="245"/>
    <x v="4"/>
    <x v="60"/>
    <x v="3"/>
    <x v="1"/>
    <x v="1"/>
    <x v="435"/>
  </r>
  <r>
    <x v="436"/>
    <x v="77"/>
    <x v="2"/>
    <x v="0"/>
    <x v="3"/>
    <x v="18"/>
    <x v="51"/>
    <x v="246"/>
    <x v="5"/>
    <x v="227"/>
    <x v="0"/>
    <x v="0"/>
    <x v="0"/>
    <x v="436"/>
  </r>
  <r>
    <x v="437"/>
    <x v="70"/>
    <x v="3"/>
    <x v="1"/>
    <x v="3"/>
    <x v="14"/>
    <x v="246"/>
    <x v="247"/>
    <x v="5"/>
    <x v="185"/>
    <x v="3"/>
    <x v="0"/>
    <x v="0"/>
    <x v="437"/>
  </r>
  <r>
    <x v="438"/>
    <x v="82"/>
    <x v="2"/>
    <x v="1"/>
    <x v="0"/>
    <x v="8"/>
    <x v="7"/>
    <x v="248"/>
    <x v="13"/>
    <x v="89"/>
    <x v="0"/>
    <x v="1"/>
    <x v="1"/>
    <x v="438"/>
  </r>
  <r>
    <x v="439"/>
    <x v="50"/>
    <x v="2"/>
    <x v="0"/>
    <x v="1"/>
    <x v="7"/>
    <x v="247"/>
    <x v="249"/>
    <x v="0"/>
    <x v="228"/>
    <x v="2"/>
    <x v="0"/>
    <x v="0"/>
    <x v="439"/>
  </r>
  <r>
    <x v="440"/>
    <x v="32"/>
    <x v="1"/>
    <x v="1"/>
    <x v="3"/>
    <x v="12"/>
    <x v="248"/>
    <x v="250"/>
    <x v="2"/>
    <x v="217"/>
    <x v="3"/>
    <x v="0"/>
    <x v="0"/>
    <x v="440"/>
  </r>
  <r>
    <x v="441"/>
    <x v="77"/>
    <x v="2"/>
    <x v="1"/>
    <x v="2"/>
    <x v="6"/>
    <x v="249"/>
    <x v="130"/>
    <x v="12"/>
    <x v="71"/>
    <x v="0"/>
    <x v="0"/>
    <x v="0"/>
    <x v="441"/>
  </r>
  <r>
    <x v="442"/>
    <x v="61"/>
    <x v="1"/>
    <x v="1"/>
    <x v="1"/>
    <x v="2"/>
    <x v="177"/>
    <x v="230"/>
    <x v="5"/>
    <x v="72"/>
    <x v="1"/>
    <x v="0"/>
    <x v="0"/>
    <x v="442"/>
  </r>
  <r>
    <x v="443"/>
    <x v="87"/>
    <x v="1"/>
    <x v="1"/>
    <x v="2"/>
    <x v="18"/>
    <x v="193"/>
    <x v="72"/>
    <x v="1"/>
    <x v="175"/>
    <x v="3"/>
    <x v="0"/>
    <x v="0"/>
    <x v="443"/>
  </r>
  <r>
    <x v="444"/>
    <x v="84"/>
    <x v="1"/>
    <x v="0"/>
    <x v="1"/>
    <x v="8"/>
    <x v="59"/>
    <x v="158"/>
    <x v="7"/>
    <x v="138"/>
    <x v="1"/>
    <x v="0"/>
    <x v="0"/>
    <x v="444"/>
  </r>
  <r>
    <x v="445"/>
    <x v="39"/>
    <x v="4"/>
    <x v="0"/>
    <x v="3"/>
    <x v="11"/>
    <x v="250"/>
    <x v="251"/>
    <x v="1"/>
    <x v="229"/>
    <x v="0"/>
    <x v="0"/>
    <x v="0"/>
    <x v="445"/>
  </r>
  <r>
    <x v="446"/>
    <x v="36"/>
    <x v="2"/>
    <x v="1"/>
    <x v="3"/>
    <x v="23"/>
    <x v="118"/>
    <x v="252"/>
    <x v="12"/>
    <x v="36"/>
    <x v="0"/>
    <x v="0"/>
    <x v="0"/>
    <x v="446"/>
  </r>
  <r>
    <x v="447"/>
    <x v="69"/>
    <x v="1"/>
    <x v="0"/>
    <x v="4"/>
    <x v="7"/>
    <x v="162"/>
    <x v="253"/>
    <x v="9"/>
    <x v="191"/>
    <x v="0"/>
    <x v="0"/>
    <x v="0"/>
    <x v="447"/>
  </r>
  <r>
    <x v="448"/>
    <x v="46"/>
    <x v="2"/>
    <x v="0"/>
    <x v="4"/>
    <x v="15"/>
    <x v="104"/>
    <x v="65"/>
    <x v="1"/>
    <x v="64"/>
    <x v="1"/>
    <x v="0"/>
    <x v="0"/>
    <x v="448"/>
  </r>
  <r>
    <x v="449"/>
    <x v="62"/>
    <x v="3"/>
    <x v="0"/>
    <x v="1"/>
    <x v="5"/>
    <x v="146"/>
    <x v="25"/>
    <x v="7"/>
    <x v="170"/>
    <x v="2"/>
    <x v="0"/>
    <x v="0"/>
    <x v="449"/>
  </r>
  <r>
    <x v="450"/>
    <x v="88"/>
    <x v="3"/>
    <x v="0"/>
    <x v="1"/>
    <x v="2"/>
    <x v="133"/>
    <x v="254"/>
    <x v="7"/>
    <x v="84"/>
    <x v="0"/>
    <x v="0"/>
    <x v="0"/>
    <x v="450"/>
  </r>
  <r>
    <x v="451"/>
    <x v="48"/>
    <x v="1"/>
    <x v="1"/>
    <x v="3"/>
    <x v="19"/>
    <x v="137"/>
    <x v="136"/>
    <x v="12"/>
    <x v="50"/>
    <x v="0"/>
    <x v="1"/>
    <x v="1"/>
    <x v="451"/>
  </r>
  <r>
    <x v="452"/>
    <x v="60"/>
    <x v="1"/>
    <x v="1"/>
    <x v="2"/>
    <x v="17"/>
    <x v="65"/>
    <x v="16"/>
    <x v="14"/>
    <x v="56"/>
    <x v="0"/>
    <x v="1"/>
    <x v="1"/>
    <x v="452"/>
  </r>
  <r>
    <x v="453"/>
    <x v="59"/>
    <x v="2"/>
    <x v="0"/>
    <x v="3"/>
    <x v="6"/>
    <x v="251"/>
    <x v="17"/>
    <x v="10"/>
    <x v="217"/>
    <x v="1"/>
    <x v="1"/>
    <x v="1"/>
    <x v="453"/>
  </r>
  <r>
    <x v="454"/>
    <x v="62"/>
    <x v="3"/>
    <x v="1"/>
    <x v="3"/>
    <x v="6"/>
    <x v="252"/>
    <x v="255"/>
    <x v="7"/>
    <x v="169"/>
    <x v="1"/>
    <x v="0"/>
    <x v="0"/>
    <x v="454"/>
  </r>
  <r>
    <x v="455"/>
    <x v="16"/>
    <x v="3"/>
    <x v="1"/>
    <x v="0"/>
    <x v="6"/>
    <x v="32"/>
    <x v="195"/>
    <x v="12"/>
    <x v="224"/>
    <x v="1"/>
    <x v="0"/>
    <x v="0"/>
    <x v="455"/>
  </r>
  <r>
    <x v="456"/>
    <x v="87"/>
    <x v="1"/>
    <x v="0"/>
    <x v="1"/>
    <x v="2"/>
    <x v="2"/>
    <x v="251"/>
    <x v="8"/>
    <x v="69"/>
    <x v="3"/>
    <x v="1"/>
    <x v="1"/>
    <x v="456"/>
  </r>
  <r>
    <x v="457"/>
    <x v="29"/>
    <x v="2"/>
    <x v="1"/>
    <x v="2"/>
    <x v="21"/>
    <x v="176"/>
    <x v="256"/>
    <x v="4"/>
    <x v="230"/>
    <x v="3"/>
    <x v="0"/>
    <x v="0"/>
    <x v="457"/>
  </r>
  <r>
    <x v="458"/>
    <x v="14"/>
    <x v="3"/>
    <x v="0"/>
    <x v="0"/>
    <x v="20"/>
    <x v="173"/>
    <x v="2"/>
    <x v="1"/>
    <x v="231"/>
    <x v="2"/>
    <x v="0"/>
    <x v="0"/>
    <x v="458"/>
  </r>
  <r>
    <x v="459"/>
    <x v="1"/>
    <x v="1"/>
    <x v="1"/>
    <x v="4"/>
    <x v="1"/>
    <x v="27"/>
    <x v="27"/>
    <x v="6"/>
    <x v="202"/>
    <x v="2"/>
    <x v="1"/>
    <x v="1"/>
    <x v="459"/>
  </r>
  <r>
    <x v="460"/>
    <x v="32"/>
    <x v="1"/>
    <x v="0"/>
    <x v="1"/>
    <x v="13"/>
    <x v="208"/>
    <x v="200"/>
    <x v="13"/>
    <x v="232"/>
    <x v="3"/>
    <x v="0"/>
    <x v="0"/>
    <x v="460"/>
  </r>
  <r>
    <x v="461"/>
    <x v="65"/>
    <x v="2"/>
    <x v="1"/>
    <x v="2"/>
    <x v="2"/>
    <x v="22"/>
    <x v="140"/>
    <x v="1"/>
    <x v="45"/>
    <x v="2"/>
    <x v="0"/>
    <x v="0"/>
    <x v="461"/>
  </r>
  <r>
    <x v="462"/>
    <x v="74"/>
    <x v="1"/>
    <x v="1"/>
    <x v="0"/>
    <x v="20"/>
    <x v="136"/>
    <x v="231"/>
    <x v="2"/>
    <x v="165"/>
    <x v="2"/>
    <x v="0"/>
    <x v="0"/>
    <x v="462"/>
  </r>
  <r>
    <x v="463"/>
    <x v="60"/>
    <x v="1"/>
    <x v="1"/>
    <x v="3"/>
    <x v="11"/>
    <x v="219"/>
    <x v="257"/>
    <x v="2"/>
    <x v="233"/>
    <x v="1"/>
    <x v="0"/>
    <x v="0"/>
    <x v="463"/>
  </r>
  <r>
    <x v="464"/>
    <x v="65"/>
    <x v="2"/>
    <x v="1"/>
    <x v="4"/>
    <x v="1"/>
    <x v="253"/>
    <x v="25"/>
    <x v="10"/>
    <x v="102"/>
    <x v="0"/>
    <x v="0"/>
    <x v="0"/>
    <x v="464"/>
  </r>
  <r>
    <x v="465"/>
    <x v="4"/>
    <x v="1"/>
    <x v="0"/>
    <x v="3"/>
    <x v="14"/>
    <x v="254"/>
    <x v="76"/>
    <x v="1"/>
    <x v="156"/>
    <x v="1"/>
    <x v="0"/>
    <x v="0"/>
    <x v="465"/>
  </r>
  <r>
    <x v="466"/>
    <x v="10"/>
    <x v="3"/>
    <x v="1"/>
    <x v="2"/>
    <x v="9"/>
    <x v="255"/>
    <x v="258"/>
    <x v="9"/>
    <x v="1"/>
    <x v="2"/>
    <x v="1"/>
    <x v="1"/>
    <x v="466"/>
  </r>
  <r>
    <x v="467"/>
    <x v="79"/>
    <x v="4"/>
    <x v="0"/>
    <x v="0"/>
    <x v="4"/>
    <x v="256"/>
    <x v="41"/>
    <x v="11"/>
    <x v="176"/>
    <x v="1"/>
    <x v="0"/>
    <x v="0"/>
    <x v="467"/>
  </r>
  <r>
    <x v="468"/>
    <x v="69"/>
    <x v="1"/>
    <x v="0"/>
    <x v="2"/>
    <x v="2"/>
    <x v="257"/>
    <x v="139"/>
    <x v="13"/>
    <x v="225"/>
    <x v="0"/>
    <x v="0"/>
    <x v="0"/>
    <x v="468"/>
  </r>
  <r>
    <x v="469"/>
    <x v="78"/>
    <x v="1"/>
    <x v="1"/>
    <x v="1"/>
    <x v="12"/>
    <x v="63"/>
    <x v="95"/>
    <x v="14"/>
    <x v="168"/>
    <x v="3"/>
    <x v="0"/>
    <x v="0"/>
    <x v="469"/>
  </r>
  <r>
    <x v="470"/>
    <x v="57"/>
    <x v="2"/>
    <x v="1"/>
    <x v="2"/>
    <x v="2"/>
    <x v="258"/>
    <x v="193"/>
    <x v="9"/>
    <x v="18"/>
    <x v="3"/>
    <x v="1"/>
    <x v="1"/>
    <x v="470"/>
  </r>
  <r>
    <x v="471"/>
    <x v="18"/>
    <x v="1"/>
    <x v="1"/>
    <x v="4"/>
    <x v="10"/>
    <x v="27"/>
    <x v="160"/>
    <x v="14"/>
    <x v="234"/>
    <x v="0"/>
    <x v="0"/>
    <x v="0"/>
    <x v="471"/>
  </r>
  <r>
    <x v="472"/>
    <x v="4"/>
    <x v="1"/>
    <x v="1"/>
    <x v="0"/>
    <x v="12"/>
    <x v="176"/>
    <x v="200"/>
    <x v="1"/>
    <x v="30"/>
    <x v="3"/>
    <x v="0"/>
    <x v="0"/>
    <x v="472"/>
  </r>
  <r>
    <x v="473"/>
    <x v="32"/>
    <x v="1"/>
    <x v="0"/>
    <x v="1"/>
    <x v="3"/>
    <x v="174"/>
    <x v="259"/>
    <x v="5"/>
    <x v="82"/>
    <x v="0"/>
    <x v="1"/>
    <x v="1"/>
    <x v="473"/>
  </r>
  <r>
    <x v="474"/>
    <x v="79"/>
    <x v="4"/>
    <x v="1"/>
    <x v="1"/>
    <x v="17"/>
    <x v="162"/>
    <x v="260"/>
    <x v="1"/>
    <x v="231"/>
    <x v="0"/>
    <x v="0"/>
    <x v="0"/>
    <x v="474"/>
  </r>
  <r>
    <x v="475"/>
    <x v="19"/>
    <x v="2"/>
    <x v="0"/>
    <x v="3"/>
    <x v="23"/>
    <x v="21"/>
    <x v="79"/>
    <x v="11"/>
    <x v="133"/>
    <x v="3"/>
    <x v="0"/>
    <x v="0"/>
    <x v="475"/>
  </r>
  <r>
    <x v="476"/>
    <x v="69"/>
    <x v="1"/>
    <x v="1"/>
    <x v="2"/>
    <x v="11"/>
    <x v="259"/>
    <x v="97"/>
    <x v="12"/>
    <x v="122"/>
    <x v="1"/>
    <x v="0"/>
    <x v="0"/>
    <x v="476"/>
  </r>
  <r>
    <x v="477"/>
    <x v="74"/>
    <x v="1"/>
    <x v="1"/>
    <x v="4"/>
    <x v="2"/>
    <x v="202"/>
    <x v="261"/>
    <x v="4"/>
    <x v="31"/>
    <x v="3"/>
    <x v="1"/>
    <x v="1"/>
    <x v="477"/>
  </r>
  <r>
    <x v="478"/>
    <x v="70"/>
    <x v="3"/>
    <x v="1"/>
    <x v="0"/>
    <x v="3"/>
    <x v="227"/>
    <x v="262"/>
    <x v="7"/>
    <x v="235"/>
    <x v="1"/>
    <x v="0"/>
    <x v="0"/>
    <x v="478"/>
  </r>
  <r>
    <x v="479"/>
    <x v="78"/>
    <x v="1"/>
    <x v="0"/>
    <x v="1"/>
    <x v="15"/>
    <x v="249"/>
    <x v="177"/>
    <x v="14"/>
    <x v="26"/>
    <x v="2"/>
    <x v="0"/>
    <x v="0"/>
    <x v="479"/>
  </r>
  <r>
    <x v="480"/>
    <x v="24"/>
    <x v="1"/>
    <x v="0"/>
    <x v="2"/>
    <x v="15"/>
    <x v="240"/>
    <x v="181"/>
    <x v="10"/>
    <x v="123"/>
    <x v="1"/>
    <x v="0"/>
    <x v="0"/>
    <x v="480"/>
  </r>
  <r>
    <x v="481"/>
    <x v="51"/>
    <x v="2"/>
    <x v="1"/>
    <x v="0"/>
    <x v="17"/>
    <x v="91"/>
    <x v="263"/>
    <x v="6"/>
    <x v="163"/>
    <x v="1"/>
    <x v="0"/>
    <x v="0"/>
    <x v="481"/>
  </r>
  <r>
    <x v="482"/>
    <x v="54"/>
    <x v="1"/>
    <x v="1"/>
    <x v="2"/>
    <x v="1"/>
    <x v="129"/>
    <x v="142"/>
    <x v="12"/>
    <x v="156"/>
    <x v="0"/>
    <x v="0"/>
    <x v="0"/>
    <x v="482"/>
  </r>
  <r>
    <x v="483"/>
    <x v="17"/>
    <x v="4"/>
    <x v="1"/>
    <x v="2"/>
    <x v="8"/>
    <x v="224"/>
    <x v="264"/>
    <x v="4"/>
    <x v="176"/>
    <x v="1"/>
    <x v="0"/>
    <x v="0"/>
    <x v="483"/>
  </r>
  <r>
    <x v="484"/>
    <x v="17"/>
    <x v="4"/>
    <x v="0"/>
    <x v="2"/>
    <x v="9"/>
    <x v="127"/>
    <x v="265"/>
    <x v="6"/>
    <x v="119"/>
    <x v="1"/>
    <x v="1"/>
    <x v="1"/>
    <x v="484"/>
  </r>
  <r>
    <x v="485"/>
    <x v="27"/>
    <x v="1"/>
    <x v="0"/>
    <x v="2"/>
    <x v="24"/>
    <x v="128"/>
    <x v="253"/>
    <x v="10"/>
    <x v="236"/>
    <x v="1"/>
    <x v="0"/>
    <x v="0"/>
    <x v="485"/>
  </r>
  <r>
    <x v="486"/>
    <x v="25"/>
    <x v="2"/>
    <x v="1"/>
    <x v="0"/>
    <x v="7"/>
    <x v="44"/>
    <x v="144"/>
    <x v="1"/>
    <x v="237"/>
    <x v="1"/>
    <x v="0"/>
    <x v="0"/>
    <x v="486"/>
  </r>
  <r>
    <x v="487"/>
    <x v="63"/>
    <x v="2"/>
    <x v="0"/>
    <x v="3"/>
    <x v="1"/>
    <x v="114"/>
    <x v="214"/>
    <x v="2"/>
    <x v="204"/>
    <x v="1"/>
    <x v="1"/>
    <x v="1"/>
    <x v="487"/>
  </r>
  <r>
    <x v="488"/>
    <x v="78"/>
    <x v="1"/>
    <x v="1"/>
    <x v="4"/>
    <x v="24"/>
    <x v="242"/>
    <x v="33"/>
    <x v="8"/>
    <x v="85"/>
    <x v="2"/>
    <x v="0"/>
    <x v="0"/>
    <x v="488"/>
  </r>
  <r>
    <x v="489"/>
    <x v="89"/>
    <x v="0"/>
    <x v="1"/>
    <x v="2"/>
    <x v="18"/>
    <x v="70"/>
    <x v="105"/>
    <x v="0"/>
    <x v="108"/>
    <x v="3"/>
    <x v="0"/>
    <x v="0"/>
    <x v="489"/>
  </r>
  <r>
    <x v="490"/>
    <x v="1"/>
    <x v="1"/>
    <x v="0"/>
    <x v="0"/>
    <x v="16"/>
    <x v="4"/>
    <x v="5"/>
    <x v="4"/>
    <x v="235"/>
    <x v="2"/>
    <x v="0"/>
    <x v="0"/>
    <x v="490"/>
  </r>
  <r>
    <x v="491"/>
    <x v="60"/>
    <x v="1"/>
    <x v="1"/>
    <x v="3"/>
    <x v="16"/>
    <x v="61"/>
    <x v="213"/>
    <x v="9"/>
    <x v="238"/>
    <x v="0"/>
    <x v="0"/>
    <x v="0"/>
    <x v="491"/>
  </r>
  <r>
    <x v="492"/>
    <x v="60"/>
    <x v="1"/>
    <x v="1"/>
    <x v="3"/>
    <x v="17"/>
    <x v="236"/>
    <x v="36"/>
    <x v="8"/>
    <x v="14"/>
    <x v="2"/>
    <x v="1"/>
    <x v="1"/>
    <x v="492"/>
  </r>
  <r>
    <x v="493"/>
    <x v="21"/>
    <x v="1"/>
    <x v="1"/>
    <x v="1"/>
    <x v="5"/>
    <x v="260"/>
    <x v="206"/>
    <x v="6"/>
    <x v="214"/>
    <x v="2"/>
    <x v="0"/>
    <x v="0"/>
    <x v="493"/>
  </r>
  <r>
    <x v="494"/>
    <x v="15"/>
    <x v="2"/>
    <x v="0"/>
    <x v="3"/>
    <x v="1"/>
    <x v="213"/>
    <x v="65"/>
    <x v="9"/>
    <x v="239"/>
    <x v="0"/>
    <x v="0"/>
    <x v="0"/>
    <x v="494"/>
  </r>
  <r>
    <x v="495"/>
    <x v="7"/>
    <x v="1"/>
    <x v="0"/>
    <x v="4"/>
    <x v="14"/>
    <x v="261"/>
    <x v="61"/>
    <x v="9"/>
    <x v="132"/>
    <x v="2"/>
    <x v="1"/>
    <x v="1"/>
    <x v="495"/>
  </r>
  <r>
    <x v="496"/>
    <x v="48"/>
    <x v="1"/>
    <x v="1"/>
    <x v="2"/>
    <x v="5"/>
    <x v="262"/>
    <x v="8"/>
    <x v="3"/>
    <x v="240"/>
    <x v="2"/>
    <x v="1"/>
    <x v="1"/>
    <x v="496"/>
  </r>
  <r>
    <x v="497"/>
    <x v="53"/>
    <x v="1"/>
    <x v="1"/>
    <x v="2"/>
    <x v="24"/>
    <x v="91"/>
    <x v="39"/>
    <x v="7"/>
    <x v="51"/>
    <x v="2"/>
    <x v="0"/>
    <x v="0"/>
    <x v="497"/>
  </r>
  <r>
    <x v="498"/>
    <x v="2"/>
    <x v="2"/>
    <x v="1"/>
    <x v="0"/>
    <x v="17"/>
    <x v="152"/>
    <x v="200"/>
    <x v="12"/>
    <x v="211"/>
    <x v="1"/>
    <x v="0"/>
    <x v="0"/>
    <x v="498"/>
  </r>
  <r>
    <x v="499"/>
    <x v="63"/>
    <x v="2"/>
    <x v="1"/>
    <x v="3"/>
    <x v="12"/>
    <x v="263"/>
    <x v="139"/>
    <x v="11"/>
    <x v="134"/>
    <x v="3"/>
    <x v="0"/>
    <x v="0"/>
    <x v="499"/>
  </r>
  <r>
    <x v="500"/>
    <x v="51"/>
    <x v="2"/>
    <x v="1"/>
    <x v="0"/>
    <x v="11"/>
    <x v="253"/>
    <x v="118"/>
    <x v="12"/>
    <x v="56"/>
    <x v="2"/>
    <x v="0"/>
    <x v="0"/>
    <x v="500"/>
  </r>
  <r>
    <x v="501"/>
    <x v="84"/>
    <x v="1"/>
    <x v="1"/>
    <x v="1"/>
    <x v="17"/>
    <x v="264"/>
    <x v="115"/>
    <x v="1"/>
    <x v="241"/>
    <x v="2"/>
    <x v="1"/>
    <x v="1"/>
    <x v="501"/>
  </r>
  <r>
    <x v="502"/>
    <x v="43"/>
    <x v="0"/>
    <x v="0"/>
    <x v="1"/>
    <x v="4"/>
    <x v="53"/>
    <x v="55"/>
    <x v="12"/>
    <x v="165"/>
    <x v="3"/>
    <x v="1"/>
    <x v="1"/>
    <x v="502"/>
  </r>
  <r>
    <x v="503"/>
    <x v="51"/>
    <x v="2"/>
    <x v="1"/>
    <x v="2"/>
    <x v="2"/>
    <x v="218"/>
    <x v="20"/>
    <x v="5"/>
    <x v="207"/>
    <x v="1"/>
    <x v="0"/>
    <x v="0"/>
    <x v="503"/>
  </r>
  <r>
    <x v="504"/>
    <x v="13"/>
    <x v="2"/>
    <x v="1"/>
    <x v="0"/>
    <x v="13"/>
    <x v="202"/>
    <x v="130"/>
    <x v="3"/>
    <x v="12"/>
    <x v="2"/>
    <x v="0"/>
    <x v="0"/>
    <x v="504"/>
  </r>
  <r>
    <x v="505"/>
    <x v="87"/>
    <x v="1"/>
    <x v="0"/>
    <x v="0"/>
    <x v="6"/>
    <x v="160"/>
    <x v="266"/>
    <x v="9"/>
    <x v="101"/>
    <x v="2"/>
    <x v="1"/>
    <x v="1"/>
    <x v="505"/>
  </r>
  <r>
    <x v="506"/>
    <x v="35"/>
    <x v="1"/>
    <x v="1"/>
    <x v="1"/>
    <x v="8"/>
    <x v="251"/>
    <x v="267"/>
    <x v="1"/>
    <x v="201"/>
    <x v="0"/>
    <x v="1"/>
    <x v="1"/>
    <x v="506"/>
  </r>
  <r>
    <x v="507"/>
    <x v="68"/>
    <x v="0"/>
    <x v="0"/>
    <x v="0"/>
    <x v="8"/>
    <x v="42"/>
    <x v="226"/>
    <x v="3"/>
    <x v="127"/>
    <x v="1"/>
    <x v="0"/>
    <x v="0"/>
    <x v="507"/>
  </r>
  <r>
    <x v="508"/>
    <x v="53"/>
    <x v="1"/>
    <x v="1"/>
    <x v="1"/>
    <x v="20"/>
    <x v="265"/>
    <x v="205"/>
    <x v="4"/>
    <x v="132"/>
    <x v="3"/>
    <x v="0"/>
    <x v="0"/>
    <x v="508"/>
  </r>
  <r>
    <x v="509"/>
    <x v="72"/>
    <x v="0"/>
    <x v="1"/>
    <x v="2"/>
    <x v="19"/>
    <x v="240"/>
    <x v="97"/>
    <x v="2"/>
    <x v="240"/>
    <x v="2"/>
    <x v="0"/>
    <x v="0"/>
    <x v="509"/>
  </r>
  <r>
    <x v="510"/>
    <x v="47"/>
    <x v="3"/>
    <x v="0"/>
    <x v="2"/>
    <x v="5"/>
    <x v="79"/>
    <x v="268"/>
    <x v="0"/>
    <x v="209"/>
    <x v="3"/>
    <x v="0"/>
    <x v="0"/>
    <x v="510"/>
  </r>
  <r>
    <x v="511"/>
    <x v="66"/>
    <x v="2"/>
    <x v="1"/>
    <x v="3"/>
    <x v="15"/>
    <x v="239"/>
    <x v="192"/>
    <x v="12"/>
    <x v="229"/>
    <x v="3"/>
    <x v="0"/>
    <x v="0"/>
    <x v="511"/>
  </r>
  <r>
    <x v="512"/>
    <x v="53"/>
    <x v="1"/>
    <x v="0"/>
    <x v="4"/>
    <x v="14"/>
    <x v="159"/>
    <x v="87"/>
    <x v="9"/>
    <x v="115"/>
    <x v="3"/>
    <x v="0"/>
    <x v="0"/>
    <x v="512"/>
  </r>
  <r>
    <x v="513"/>
    <x v="5"/>
    <x v="2"/>
    <x v="0"/>
    <x v="0"/>
    <x v="21"/>
    <x v="194"/>
    <x v="103"/>
    <x v="2"/>
    <x v="30"/>
    <x v="3"/>
    <x v="0"/>
    <x v="0"/>
    <x v="513"/>
  </r>
  <r>
    <x v="514"/>
    <x v="11"/>
    <x v="1"/>
    <x v="1"/>
    <x v="0"/>
    <x v="13"/>
    <x v="192"/>
    <x v="94"/>
    <x v="2"/>
    <x v="129"/>
    <x v="0"/>
    <x v="0"/>
    <x v="0"/>
    <x v="514"/>
  </r>
  <r>
    <x v="515"/>
    <x v="79"/>
    <x v="4"/>
    <x v="1"/>
    <x v="4"/>
    <x v="0"/>
    <x v="251"/>
    <x v="269"/>
    <x v="11"/>
    <x v="214"/>
    <x v="0"/>
    <x v="0"/>
    <x v="0"/>
    <x v="515"/>
  </r>
  <r>
    <x v="516"/>
    <x v="86"/>
    <x v="2"/>
    <x v="0"/>
    <x v="2"/>
    <x v="11"/>
    <x v="141"/>
    <x v="88"/>
    <x v="14"/>
    <x v="186"/>
    <x v="3"/>
    <x v="1"/>
    <x v="1"/>
    <x v="516"/>
  </r>
  <r>
    <x v="517"/>
    <x v="27"/>
    <x v="1"/>
    <x v="0"/>
    <x v="0"/>
    <x v="11"/>
    <x v="160"/>
    <x v="166"/>
    <x v="5"/>
    <x v="242"/>
    <x v="2"/>
    <x v="0"/>
    <x v="0"/>
    <x v="517"/>
  </r>
  <r>
    <x v="518"/>
    <x v="83"/>
    <x v="2"/>
    <x v="1"/>
    <x v="0"/>
    <x v="9"/>
    <x v="266"/>
    <x v="206"/>
    <x v="3"/>
    <x v="67"/>
    <x v="3"/>
    <x v="0"/>
    <x v="0"/>
    <x v="518"/>
  </r>
  <r>
    <x v="519"/>
    <x v="48"/>
    <x v="1"/>
    <x v="1"/>
    <x v="2"/>
    <x v="19"/>
    <x v="267"/>
    <x v="198"/>
    <x v="11"/>
    <x v="5"/>
    <x v="0"/>
    <x v="0"/>
    <x v="0"/>
    <x v="519"/>
  </r>
  <r>
    <x v="520"/>
    <x v="33"/>
    <x v="1"/>
    <x v="0"/>
    <x v="4"/>
    <x v="5"/>
    <x v="159"/>
    <x v="165"/>
    <x v="14"/>
    <x v="174"/>
    <x v="2"/>
    <x v="1"/>
    <x v="1"/>
    <x v="520"/>
  </r>
  <r>
    <x v="521"/>
    <x v="50"/>
    <x v="2"/>
    <x v="1"/>
    <x v="3"/>
    <x v="10"/>
    <x v="171"/>
    <x v="87"/>
    <x v="1"/>
    <x v="63"/>
    <x v="0"/>
    <x v="0"/>
    <x v="0"/>
    <x v="521"/>
  </r>
  <r>
    <x v="522"/>
    <x v="60"/>
    <x v="1"/>
    <x v="0"/>
    <x v="2"/>
    <x v="14"/>
    <x v="244"/>
    <x v="103"/>
    <x v="13"/>
    <x v="231"/>
    <x v="3"/>
    <x v="1"/>
    <x v="1"/>
    <x v="522"/>
  </r>
  <r>
    <x v="523"/>
    <x v="26"/>
    <x v="2"/>
    <x v="0"/>
    <x v="3"/>
    <x v="12"/>
    <x v="65"/>
    <x v="270"/>
    <x v="13"/>
    <x v="4"/>
    <x v="0"/>
    <x v="1"/>
    <x v="1"/>
    <x v="523"/>
  </r>
  <r>
    <x v="524"/>
    <x v="37"/>
    <x v="2"/>
    <x v="1"/>
    <x v="0"/>
    <x v="23"/>
    <x v="235"/>
    <x v="149"/>
    <x v="0"/>
    <x v="80"/>
    <x v="1"/>
    <x v="0"/>
    <x v="0"/>
    <x v="524"/>
  </r>
  <r>
    <x v="525"/>
    <x v="57"/>
    <x v="2"/>
    <x v="1"/>
    <x v="3"/>
    <x v="12"/>
    <x v="231"/>
    <x v="95"/>
    <x v="6"/>
    <x v="223"/>
    <x v="0"/>
    <x v="0"/>
    <x v="0"/>
    <x v="525"/>
  </r>
  <r>
    <x v="526"/>
    <x v="16"/>
    <x v="3"/>
    <x v="0"/>
    <x v="0"/>
    <x v="3"/>
    <x v="268"/>
    <x v="160"/>
    <x v="3"/>
    <x v="136"/>
    <x v="3"/>
    <x v="0"/>
    <x v="0"/>
    <x v="526"/>
  </r>
  <r>
    <x v="527"/>
    <x v="50"/>
    <x v="2"/>
    <x v="1"/>
    <x v="0"/>
    <x v="4"/>
    <x v="63"/>
    <x v="12"/>
    <x v="5"/>
    <x v="217"/>
    <x v="1"/>
    <x v="0"/>
    <x v="0"/>
    <x v="527"/>
  </r>
  <r>
    <x v="528"/>
    <x v="38"/>
    <x v="4"/>
    <x v="0"/>
    <x v="2"/>
    <x v="19"/>
    <x v="115"/>
    <x v="150"/>
    <x v="14"/>
    <x v="243"/>
    <x v="0"/>
    <x v="1"/>
    <x v="1"/>
    <x v="528"/>
  </r>
  <r>
    <x v="529"/>
    <x v="61"/>
    <x v="1"/>
    <x v="0"/>
    <x v="3"/>
    <x v="17"/>
    <x v="269"/>
    <x v="245"/>
    <x v="3"/>
    <x v="242"/>
    <x v="1"/>
    <x v="1"/>
    <x v="1"/>
    <x v="529"/>
  </r>
  <r>
    <x v="530"/>
    <x v="73"/>
    <x v="0"/>
    <x v="0"/>
    <x v="3"/>
    <x v="15"/>
    <x v="149"/>
    <x v="208"/>
    <x v="8"/>
    <x v="20"/>
    <x v="1"/>
    <x v="1"/>
    <x v="1"/>
    <x v="530"/>
  </r>
  <r>
    <x v="531"/>
    <x v="40"/>
    <x v="4"/>
    <x v="0"/>
    <x v="4"/>
    <x v="7"/>
    <x v="270"/>
    <x v="45"/>
    <x v="7"/>
    <x v="225"/>
    <x v="0"/>
    <x v="0"/>
    <x v="0"/>
    <x v="531"/>
  </r>
  <r>
    <x v="532"/>
    <x v="59"/>
    <x v="2"/>
    <x v="0"/>
    <x v="2"/>
    <x v="5"/>
    <x v="148"/>
    <x v="55"/>
    <x v="0"/>
    <x v="244"/>
    <x v="1"/>
    <x v="0"/>
    <x v="0"/>
    <x v="532"/>
  </r>
  <r>
    <x v="533"/>
    <x v="46"/>
    <x v="2"/>
    <x v="0"/>
    <x v="0"/>
    <x v="8"/>
    <x v="209"/>
    <x v="169"/>
    <x v="10"/>
    <x v="189"/>
    <x v="2"/>
    <x v="1"/>
    <x v="1"/>
    <x v="533"/>
  </r>
  <r>
    <x v="534"/>
    <x v="86"/>
    <x v="2"/>
    <x v="0"/>
    <x v="3"/>
    <x v="17"/>
    <x v="271"/>
    <x v="174"/>
    <x v="3"/>
    <x v="245"/>
    <x v="2"/>
    <x v="0"/>
    <x v="0"/>
    <x v="534"/>
  </r>
  <r>
    <x v="535"/>
    <x v="83"/>
    <x v="2"/>
    <x v="0"/>
    <x v="3"/>
    <x v="4"/>
    <x v="272"/>
    <x v="234"/>
    <x v="13"/>
    <x v="246"/>
    <x v="2"/>
    <x v="1"/>
    <x v="1"/>
    <x v="535"/>
  </r>
  <r>
    <x v="536"/>
    <x v="61"/>
    <x v="1"/>
    <x v="1"/>
    <x v="2"/>
    <x v="15"/>
    <x v="222"/>
    <x v="45"/>
    <x v="11"/>
    <x v="9"/>
    <x v="3"/>
    <x v="0"/>
    <x v="0"/>
    <x v="536"/>
  </r>
  <r>
    <x v="537"/>
    <x v="54"/>
    <x v="1"/>
    <x v="1"/>
    <x v="3"/>
    <x v="21"/>
    <x v="98"/>
    <x v="165"/>
    <x v="5"/>
    <x v="247"/>
    <x v="0"/>
    <x v="0"/>
    <x v="0"/>
    <x v="537"/>
  </r>
  <r>
    <x v="538"/>
    <x v="4"/>
    <x v="1"/>
    <x v="1"/>
    <x v="3"/>
    <x v="3"/>
    <x v="163"/>
    <x v="271"/>
    <x v="5"/>
    <x v="46"/>
    <x v="1"/>
    <x v="0"/>
    <x v="0"/>
    <x v="538"/>
  </r>
  <r>
    <x v="539"/>
    <x v="65"/>
    <x v="2"/>
    <x v="0"/>
    <x v="1"/>
    <x v="22"/>
    <x v="159"/>
    <x v="87"/>
    <x v="9"/>
    <x v="248"/>
    <x v="1"/>
    <x v="0"/>
    <x v="0"/>
    <x v="539"/>
  </r>
  <r>
    <x v="540"/>
    <x v="18"/>
    <x v="1"/>
    <x v="1"/>
    <x v="4"/>
    <x v="16"/>
    <x v="171"/>
    <x v="188"/>
    <x v="12"/>
    <x v="114"/>
    <x v="3"/>
    <x v="1"/>
    <x v="1"/>
    <x v="540"/>
  </r>
  <r>
    <x v="541"/>
    <x v="57"/>
    <x v="2"/>
    <x v="0"/>
    <x v="0"/>
    <x v="17"/>
    <x v="273"/>
    <x v="54"/>
    <x v="10"/>
    <x v="3"/>
    <x v="3"/>
    <x v="1"/>
    <x v="1"/>
    <x v="541"/>
  </r>
  <r>
    <x v="542"/>
    <x v="46"/>
    <x v="2"/>
    <x v="1"/>
    <x v="4"/>
    <x v="23"/>
    <x v="5"/>
    <x v="272"/>
    <x v="8"/>
    <x v="199"/>
    <x v="1"/>
    <x v="1"/>
    <x v="1"/>
    <x v="542"/>
  </r>
  <r>
    <x v="543"/>
    <x v="15"/>
    <x v="2"/>
    <x v="0"/>
    <x v="3"/>
    <x v="17"/>
    <x v="144"/>
    <x v="273"/>
    <x v="13"/>
    <x v="249"/>
    <x v="0"/>
    <x v="0"/>
    <x v="0"/>
    <x v="543"/>
  </r>
  <r>
    <x v="544"/>
    <x v="65"/>
    <x v="2"/>
    <x v="1"/>
    <x v="0"/>
    <x v="17"/>
    <x v="274"/>
    <x v="108"/>
    <x v="12"/>
    <x v="178"/>
    <x v="0"/>
    <x v="0"/>
    <x v="0"/>
    <x v="544"/>
  </r>
  <r>
    <x v="545"/>
    <x v="73"/>
    <x v="0"/>
    <x v="1"/>
    <x v="3"/>
    <x v="10"/>
    <x v="275"/>
    <x v="169"/>
    <x v="9"/>
    <x v="234"/>
    <x v="0"/>
    <x v="0"/>
    <x v="0"/>
    <x v="545"/>
  </r>
  <r>
    <x v="546"/>
    <x v="18"/>
    <x v="1"/>
    <x v="0"/>
    <x v="4"/>
    <x v="0"/>
    <x v="276"/>
    <x v="274"/>
    <x v="0"/>
    <x v="250"/>
    <x v="1"/>
    <x v="1"/>
    <x v="1"/>
    <x v="546"/>
  </r>
  <r>
    <x v="547"/>
    <x v="64"/>
    <x v="1"/>
    <x v="1"/>
    <x v="1"/>
    <x v="11"/>
    <x v="106"/>
    <x v="153"/>
    <x v="8"/>
    <x v="251"/>
    <x v="1"/>
    <x v="1"/>
    <x v="1"/>
    <x v="547"/>
  </r>
  <r>
    <x v="548"/>
    <x v="71"/>
    <x v="2"/>
    <x v="0"/>
    <x v="0"/>
    <x v="7"/>
    <x v="75"/>
    <x v="231"/>
    <x v="14"/>
    <x v="24"/>
    <x v="2"/>
    <x v="1"/>
    <x v="1"/>
    <x v="548"/>
  </r>
  <r>
    <x v="549"/>
    <x v="54"/>
    <x v="1"/>
    <x v="0"/>
    <x v="2"/>
    <x v="18"/>
    <x v="147"/>
    <x v="189"/>
    <x v="14"/>
    <x v="148"/>
    <x v="1"/>
    <x v="0"/>
    <x v="0"/>
    <x v="549"/>
  </r>
  <r>
    <x v="550"/>
    <x v="79"/>
    <x v="4"/>
    <x v="0"/>
    <x v="4"/>
    <x v="16"/>
    <x v="75"/>
    <x v="275"/>
    <x v="6"/>
    <x v="80"/>
    <x v="1"/>
    <x v="0"/>
    <x v="0"/>
    <x v="550"/>
  </r>
  <r>
    <x v="551"/>
    <x v="41"/>
    <x v="1"/>
    <x v="1"/>
    <x v="4"/>
    <x v="20"/>
    <x v="277"/>
    <x v="276"/>
    <x v="1"/>
    <x v="38"/>
    <x v="0"/>
    <x v="1"/>
    <x v="1"/>
    <x v="551"/>
  </r>
  <r>
    <x v="552"/>
    <x v="30"/>
    <x v="2"/>
    <x v="0"/>
    <x v="2"/>
    <x v="0"/>
    <x v="278"/>
    <x v="32"/>
    <x v="1"/>
    <x v="162"/>
    <x v="1"/>
    <x v="0"/>
    <x v="0"/>
    <x v="552"/>
  </r>
  <r>
    <x v="553"/>
    <x v="66"/>
    <x v="2"/>
    <x v="1"/>
    <x v="0"/>
    <x v="7"/>
    <x v="98"/>
    <x v="195"/>
    <x v="11"/>
    <x v="187"/>
    <x v="3"/>
    <x v="0"/>
    <x v="0"/>
    <x v="553"/>
  </r>
  <r>
    <x v="554"/>
    <x v="4"/>
    <x v="1"/>
    <x v="1"/>
    <x v="2"/>
    <x v="2"/>
    <x v="5"/>
    <x v="137"/>
    <x v="11"/>
    <x v="55"/>
    <x v="1"/>
    <x v="0"/>
    <x v="0"/>
    <x v="554"/>
  </r>
  <r>
    <x v="555"/>
    <x v="8"/>
    <x v="0"/>
    <x v="1"/>
    <x v="0"/>
    <x v="20"/>
    <x v="220"/>
    <x v="170"/>
    <x v="5"/>
    <x v="252"/>
    <x v="3"/>
    <x v="1"/>
    <x v="1"/>
    <x v="555"/>
  </r>
  <r>
    <x v="556"/>
    <x v="21"/>
    <x v="1"/>
    <x v="1"/>
    <x v="4"/>
    <x v="19"/>
    <x v="56"/>
    <x v="225"/>
    <x v="10"/>
    <x v="87"/>
    <x v="0"/>
    <x v="0"/>
    <x v="0"/>
    <x v="556"/>
  </r>
  <r>
    <x v="557"/>
    <x v="71"/>
    <x v="2"/>
    <x v="1"/>
    <x v="3"/>
    <x v="3"/>
    <x v="201"/>
    <x v="107"/>
    <x v="4"/>
    <x v="225"/>
    <x v="2"/>
    <x v="0"/>
    <x v="0"/>
    <x v="557"/>
  </r>
  <r>
    <x v="558"/>
    <x v="16"/>
    <x v="3"/>
    <x v="0"/>
    <x v="3"/>
    <x v="20"/>
    <x v="279"/>
    <x v="277"/>
    <x v="7"/>
    <x v="131"/>
    <x v="1"/>
    <x v="1"/>
    <x v="1"/>
    <x v="558"/>
  </r>
  <r>
    <x v="559"/>
    <x v="38"/>
    <x v="4"/>
    <x v="1"/>
    <x v="1"/>
    <x v="5"/>
    <x v="196"/>
    <x v="159"/>
    <x v="3"/>
    <x v="235"/>
    <x v="0"/>
    <x v="1"/>
    <x v="1"/>
    <x v="559"/>
  </r>
  <r>
    <x v="560"/>
    <x v="65"/>
    <x v="2"/>
    <x v="0"/>
    <x v="1"/>
    <x v="21"/>
    <x v="234"/>
    <x v="229"/>
    <x v="14"/>
    <x v="217"/>
    <x v="3"/>
    <x v="1"/>
    <x v="1"/>
    <x v="560"/>
  </r>
  <r>
    <x v="561"/>
    <x v="13"/>
    <x v="2"/>
    <x v="1"/>
    <x v="2"/>
    <x v="12"/>
    <x v="233"/>
    <x v="278"/>
    <x v="6"/>
    <x v="253"/>
    <x v="3"/>
    <x v="1"/>
    <x v="1"/>
    <x v="561"/>
  </r>
  <r>
    <x v="562"/>
    <x v="59"/>
    <x v="2"/>
    <x v="1"/>
    <x v="1"/>
    <x v="3"/>
    <x v="280"/>
    <x v="215"/>
    <x v="14"/>
    <x v="156"/>
    <x v="0"/>
    <x v="0"/>
    <x v="0"/>
    <x v="562"/>
  </r>
  <r>
    <x v="563"/>
    <x v="14"/>
    <x v="3"/>
    <x v="0"/>
    <x v="1"/>
    <x v="12"/>
    <x v="50"/>
    <x v="50"/>
    <x v="4"/>
    <x v="254"/>
    <x v="0"/>
    <x v="0"/>
    <x v="0"/>
    <x v="563"/>
  </r>
  <r>
    <x v="564"/>
    <x v="12"/>
    <x v="0"/>
    <x v="1"/>
    <x v="4"/>
    <x v="14"/>
    <x v="13"/>
    <x v="178"/>
    <x v="3"/>
    <x v="255"/>
    <x v="3"/>
    <x v="0"/>
    <x v="0"/>
    <x v="564"/>
  </r>
  <r>
    <x v="565"/>
    <x v="56"/>
    <x v="1"/>
    <x v="0"/>
    <x v="2"/>
    <x v="24"/>
    <x v="281"/>
    <x v="279"/>
    <x v="10"/>
    <x v="140"/>
    <x v="0"/>
    <x v="0"/>
    <x v="0"/>
    <x v="565"/>
  </r>
  <r>
    <x v="566"/>
    <x v="11"/>
    <x v="1"/>
    <x v="0"/>
    <x v="1"/>
    <x v="11"/>
    <x v="282"/>
    <x v="271"/>
    <x v="0"/>
    <x v="251"/>
    <x v="2"/>
    <x v="0"/>
    <x v="0"/>
    <x v="566"/>
  </r>
  <r>
    <x v="567"/>
    <x v="25"/>
    <x v="2"/>
    <x v="0"/>
    <x v="3"/>
    <x v="3"/>
    <x v="283"/>
    <x v="71"/>
    <x v="6"/>
    <x v="39"/>
    <x v="0"/>
    <x v="1"/>
    <x v="1"/>
    <x v="567"/>
  </r>
  <r>
    <x v="568"/>
    <x v="68"/>
    <x v="0"/>
    <x v="0"/>
    <x v="3"/>
    <x v="15"/>
    <x v="265"/>
    <x v="205"/>
    <x v="4"/>
    <x v="91"/>
    <x v="3"/>
    <x v="0"/>
    <x v="0"/>
    <x v="568"/>
  </r>
  <r>
    <x v="569"/>
    <x v="3"/>
    <x v="2"/>
    <x v="0"/>
    <x v="3"/>
    <x v="5"/>
    <x v="138"/>
    <x v="280"/>
    <x v="9"/>
    <x v="19"/>
    <x v="2"/>
    <x v="0"/>
    <x v="0"/>
    <x v="569"/>
  </r>
  <r>
    <x v="570"/>
    <x v="52"/>
    <x v="2"/>
    <x v="0"/>
    <x v="2"/>
    <x v="16"/>
    <x v="276"/>
    <x v="144"/>
    <x v="7"/>
    <x v="6"/>
    <x v="0"/>
    <x v="1"/>
    <x v="1"/>
    <x v="570"/>
  </r>
  <r>
    <x v="571"/>
    <x v="43"/>
    <x v="0"/>
    <x v="0"/>
    <x v="2"/>
    <x v="0"/>
    <x v="284"/>
    <x v="233"/>
    <x v="14"/>
    <x v="168"/>
    <x v="0"/>
    <x v="1"/>
    <x v="1"/>
    <x v="571"/>
  </r>
  <r>
    <x v="572"/>
    <x v="61"/>
    <x v="1"/>
    <x v="1"/>
    <x v="2"/>
    <x v="20"/>
    <x v="181"/>
    <x v="250"/>
    <x v="12"/>
    <x v="256"/>
    <x v="3"/>
    <x v="0"/>
    <x v="0"/>
    <x v="572"/>
  </r>
  <r>
    <x v="573"/>
    <x v="27"/>
    <x v="1"/>
    <x v="1"/>
    <x v="1"/>
    <x v="24"/>
    <x v="3"/>
    <x v="33"/>
    <x v="9"/>
    <x v="14"/>
    <x v="0"/>
    <x v="0"/>
    <x v="0"/>
    <x v="573"/>
  </r>
  <r>
    <x v="574"/>
    <x v="17"/>
    <x v="4"/>
    <x v="1"/>
    <x v="2"/>
    <x v="18"/>
    <x v="16"/>
    <x v="70"/>
    <x v="6"/>
    <x v="232"/>
    <x v="3"/>
    <x v="0"/>
    <x v="0"/>
    <x v="574"/>
  </r>
  <r>
    <x v="575"/>
    <x v="74"/>
    <x v="1"/>
    <x v="1"/>
    <x v="1"/>
    <x v="4"/>
    <x v="96"/>
    <x v="281"/>
    <x v="6"/>
    <x v="72"/>
    <x v="0"/>
    <x v="1"/>
    <x v="1"/>
    <x v="575"/>
  </r>
  <r>
    <x v="576"/>
    <x v="85"/>
    <x v="1"/>
    <x v="0"/>
    <x v="4"/>
    <x v="7"/>
    <x v="216"/>
    <x v="282"/>
    <x v="3"/>
    <x v="257"/>
    <x v="1"/>
    <x v="0"/>
    <x v="0"/>
    <x v="576"/>
  </r>
  <r>
    <x v="577"/>
    <x v="36"/>
    <x v="2"/>
    <x v="1"/>
    <x v="0"/>
    <x v="10"/>
    <x v="19"/>
    <x v="30"/>
    <x v="5"/>
    <x v="101"/>
    <x v="0"/>
    <x v="0"/>
    <x v="0"/>
    <x v="577"/>
  </r>
  <r>
    <x v="578"/>
    <x v="88"/>
    <x v="3"/>
    <x v="1"/>
    <x v="2"/>
    <x v="18"/>
    <x v="285"/>
    <x v="283"/>
    <x v="6"/>
    <x v="14"/>
    <x v="3"/>
    <x v="0"/>
    <x v="0"/>
    <x v="578"/>
  </r>
  <r>
    <x v="579"/>
    <x v="58"/>
    <x v="1"/>
    <x v="0"/>
    <x v="3"/>
    <x v="21"/>
    <x v="149"/>
    <x v="165"/>
    <x v="3"/>
    <x v="227"/>
    <x v="2"/>
    <x v="1"/>
    <x v="1"/>
    <x v="579"/>
  </r>
  <r>
    <x v="580"/>
    <x v="70"/>
    <x v="3"/>
    <x v="0"/>
    <x v="4"/>
    <x v="23"/>
    <x v="286"/>
    <x v="152"/>
    <x v="12"/>
    <x v="156"/>
    <x v="1"/>
    <x v="0"/>
    <x v="0"/>
    <x v="580"/>
  </r>
  <r>
    <x v="581"/>
    <x v="59"/>
    <x v="2"/>
    <x v="1"/>
    <x v="2"/>
    <x v="15"/>
    <x v="287"/>
    <x v="50"/>
    <x v="11"/>
    <x v="30"/>
    <x v="3"/>
    <x v="0"/>
    <x v="0"/>
    <x v="581"/>
  </r>
  <r>
    <x v="582"/>
    <x v="66"/>
    <x v="2"/>
    <x v="1"/>
    <x v="1"/>
    <x v="20"/>
    <x v="225"/>
    <x v="24"/>
    <x v="7"/>
    <x v="133"/>
    <x v="2"/>
    <x v="0"/>
    <x v="0"/>
    <x v="582"/>
  </r>
  <r>
    <x v="583"/>
    <x v="16"/>
    <x v="3"/>
    <x v="0"/>
    <x v="1"/>
    <x v="2"/>
    <x v="278"/>
    <x v="284"/>
    <x v="6"/>
    <x v="67"/>
    <x v="2"/>
    <x v="0"/>
    <x v="0"/>
    <x v="583"/>
  </r>
  <r>
    <x v="584"/>
    <x v="47"/>
    <x v="3"/>
    <x v="1"/>
    <x v="4"/>
    <x v="16"/>
    <x v="59"/>
    <x v="173"/>
    <x v="3"/>
    <x v="125"/>
    <x v="2"/>
    <x v="0"/>
    <x v="0"/>
    <x v="584"/>
  </r>
  <r>
    <x v="585"/>
    <x v="84"/>
    <x v="1"/>
    <x v="0"/>
    <x v="2"/>
    <x v="4"/>
    <x v="278"/>
    <x v="27"/>
    <x v="0"/>
    <x v="117"/>
    <x v="1"/>
    <x v="1"/>
    <x v="1"/>
    <x v="585"/>
  </r>
  <r>
    <x v="586"/>
    <x v="56"/>
    <x v="1"/>
    <x v="1"/>
    <x v="2"/>
    <x v="18"/>
    <x v="283"/>
    <x v="115"/>
    <x v="5"/>
    <x v="177"/>
    <x v="0"/>
    <x v="1"/>
    <x v="1"/>
    <x v="586"/>
  </r>
  <r>
    <x v="587"/>
    <x v="63"/>
    <x v="2"/>
    <x v="0"/>
    <x v="3"/>
    <x v="22"/>
    <x v="288"/>
    <x v="272"/>
    <x v="14"/>
    <x v="255"/>
    <x v="2"/>
    <x v="0"/>
    <x v="0"/>
    <x v="587"/>
  </r>
  <r>
    <x v="588"/>
    <x v="73"/>
    <x v="0"/>
    <x v="0"/>
    <x v="2"/>
    <x v="11"/>
    <x v="86"/>
    <x v="285"/>
    <x v="11"/>
    <x v="258"/>
    <x v="2"/>
    <x v="0"/>
    <x v="0"/>
    <x v="588"/>
  </r>
  <r>
    <x v="589"/>
    <x v="47"/>
    <x v="3"/>
    <x v="1"/>
    <x v="3"/>
    <x v="1"/>
    <x v="80"/>
    <x v="177"/>
    <x v="6"/>
    <x v="259"/>
    <x v="0"/>
    <x v="0"/>
    <x v="0"/>
    <x v="589"/>
  </r>
  <r>
    <x v="590"/>
    <x v="66"/>
    <x v="2"/>
    <x v="1"/>
    <x v="0"/>
    <x v="23"/>
    <x v="289"/>
    <x v="138"/>
    <x v="13"/>
    <x v="234"/>
    <x v="3"/>
    <x v="0"/>
    <x v="0"/>
    <x v="590"/>
  </r>
  <r>
    <x v="591"/>
    <x v="38"/>
    <x v="4"/>
    <x v="0"/>
    <x v="2"/>
    <x v="22"/>
    <x v="10"/>
    <x v="198"/>
    <x v="4"/>
    <x v="201"/>
    <x v="2"/>
    <x v="1"/>
    <x v="1"/>
    <x v="591"/>
  </r>
  <r>
    <x v="592"/>
    <x v="66"/>
    <x v="2"/>
    <x v="1"/>
    <x v="2"/>
    <x v="6"/>
    <x v="290"/>
    <x v="233"/>
    <x v="7"/>
    <x v="228"/>
    <x v="2"/>
    <x v="0"/>
    <x v="0"/>
    <x v="592"/>
  </r>
  <r>
    <x v="593"/>
    <x v="30"/>
    <x v="2"/>
    <x v="0"/>
    <x v="2"/>
    <x v="9"/>
    <x v="291"/>
    <x v="286"/>
    <x v="13"/>
    <x v="166"/>
    <x v="3"/>
    <x v="1"/>
    <x v="1"/>
    <x v="593"/>
  </r>
  <r>
    <x v="594"/>
    <x v="59"/>
    <x v="2"/>
    <x v="0"/>
    <x v="2"/>
    <x v="18"/>
    <x v="238"/>
    <x v="133"/>
    <x v="6"/>
    <x v="230"/>
    <x v="1"/>
    <x v="0"/>
    <x v="0"/>
    <x v="594"/>
  </r>
  <r>
    <x v="595"/>
    <x v="55"/>
    <x v="2"/>
    <x v="1"/>
    <x v="3"/>
    <x v="11"/>
    <x v="100"/>
    <x v="0"/>
    <x v="5"/>
    <x v="99"/>
    <x v="2"/>
    <x v="0"/>
    <x v="0"/>
    <x v="595"/>
  </r>
  <r>
    <x v="596"/>
    <x v="73"/>
    <x v="0"/>
    <x v="1"/>
    <x v="2"/>
    <x v="24"/>
    <x v="191"/>
    <x v="202"/>
    <x v="0"/>
    <x v="130"/>
    <x v="0"/>
    <x v="0"/>
    <x v="0"/>
    <x v="596"/>
  </r>
  <r>
    <x v="597"/>
    <x v="19"/>
    <x v="2"/>
    <x v="0"/>
    <x v="1"/>
    <x v="23"/>
    <x v="292"/>
    <x v="106"/>
    <x v="4"/>
    <x v="260"/>
    <x v="2"/>
    <x v="0"/>
    <x v="0"/>
    <x v="597"/>
  </r>
  <r>
    <x v="598"/>
    <x v="50"/>
    <x v="2"/>
    <x v="0"/>
    <x v="2"/>
    <x v="3"/>
    <x v="248"/>
    <x v="275"/>
    <x v="13"/>
    <x v="97"/>
    <x v="0"/>
    <x v="1"/>
    <x v="1"/>
    <x v="598"/>
  </r>
  <r>
    <x v="599"/>
    <x v="68"/>
    <x v="0"/>
    <x v="0"/>
    <x v="0"/>
    <x v="11"/>
    <x v="293"/>
    <x v="161"/>
    <x v="9"/>
    <x v="147"/>
    <x v="2"/>
    <x v="0"/>
    <x v="0"/>
    <x v="599"/>
  </r>
  <r>
    <x v="600"/>
    <x v="12"/>
    <x v="0"/>
    <x v="1"/>
    <x v="3"/>
    <x v="12"/>
    <x v="294"/>
    <x v="237"/>
    <x v="12"/>
    <x v="261"/>
    <x v="1"/>
    <x v="0"/>
    <x v="0"/>
    <x v="600"/>
  </r>
  <r>
    <x v="601"/>
    <x v="18"/>
    <x v="1"/>
    <x v="0"/>
    <x v="0"/>
    <x v="13"/>
    <x v="230"/>
    <x v="99"/>
    <x v="5"/>
    <x v="152"/>
    <x v="0"/>
    <x v="0"/>
    <x v="0"/>
    <x v="601"/>
  </r>
  <r>
    <x v="602"/>
    <x v="79"/>
    <x v="4"/>
    <x v="1"/>
    <x v="0"/>
    <x v="10"/>
    <x v="254"/>
    <x v="269"/>
    <x v="9"/>
    <x v="262"/>
    <x v="0"/>
    <x v="0"/>
    <x v="0"/>
    <x v="602"/>
  </r>
  <r>
    <x v="603"/>
    <x v="63"/>
    <x v="2"/>
    <x v="0"/>
    <x v="3"/>
    <x v="3"/>
    <x v="180"/>
    <x v="287"/>
    <x v="4"/>
    <x v="211"/>
    <x v="0"/>
    <x v="0"/>
    <x v="0"/>
    <x v="603"/>
  </r>
  <r>
    <x v="604"/>
    <x v="4"/>
    <x v="1"/>
    <x v="0"/>
    <x v="0"/>
    <x v="10"/>
    <x v="94"/>
    <x v="96"/>
    <x v="3"/>
    <x v="67"/>
    <x v="0"/>
    <x v="0"/>
    <x v="0"/>
    <x v="604"/>
  </r>
  <r>
    <x v="605"/>
    <x v="2"/>
    <x v="2"/>
    <x v="1"/>
    <x v="0"/>
    <x v="23"/>
    <x v="227"/>
    <x v="206"/>
    <x v="9"/>
    <x v="263"/>
    <x v="2"/>
    <x v="0"/>
    <x v="0"/>
    <x v="605"/>
  </r>
  <r>
    <x v="606"/>
    <x v="58"/>
    <x v="1"/>
    <x v="1"/>
    <x v="3"/>
    <x v="0"/>
    <x v="273"/>
    <x v="26"/>
    <x v="9"/>
    <x v="145"/>
    <x v="2"/>
    <x v="1"/>
    <x v="1"/>
    <x v="606"/>
  </r>
  <r>
    <x v="607"/>
    <x v="19"/>
    <x v="2"/>
    <x v="1"/>
    <x v="0"/>
    <x v="18"/>
    <x v="107"/>
    <x v="85"/>
    <x v="3"/>
    <x v="96"/>
    <x v="2"/>
    <x v="0"/>
    <x v="0"/>
    <x v="607"/>
  </r>
  <r>
    <x v="608"/>
    <x v="64"/>
    <x v="1"/>
    <x v="1"/>
    <x v="3"/>
    <x v="2"/>
    <x v="47"/>
    <x v="218"/>
    <x v="2"/>
    <x v="246"/>
    <x v="2"/>
    <x v="0"/>
    <x v="0"/>
    <x v="608"/>
  </r>
  <r>
    <x v="609"/>
    <x v="40"/>
    <x v="4"/>
    <x v="1"/>
    <x v="4"/>
    <x v="24"/>
    <x v="185"/>
    <x v="195"/>
    <x v="9"/>
    <x v="108"/>
    <x v="1"/>
    <x v="1"/>
    <x v="1"/>
    <x v="609"/>
  </r>
  <r>
    <x v="610"/>
    <x v="7"/>
    <x v="1"/>
    <x v="0"/>
    <x v="0"/>
    <x v="2"/>
    <x v="187"/>
    <x v="99"/>
    <x v="7"/>
    <x v="86"/>
    <x v="0"/>
    <x v="0"/>
    <x v="0"/>
    <x v="610"/>
  </r>
  <r>
    <x v="611"/>
    <x v="49"/>
    <x v="1"/>
    <x v="0"/>
    <x v="2"/>
    <x v="14"/>
    <x v="203"/>
    <x v="235"/>
    <x v="13"/>
    <x v="52"/>
    <x v="2"/>
    <x v="0"/>
    <x v="0"/>
    <x v="611"/>
  </r>
  <r>
    <x v="612"/>
    <x v="38"/>
    <x v="4"/>
    <x v="0"/>
    <x v="0"/>
    <x v="10"/>
    <x v="203"/>
    <x v="238"/>
    <x v="3"/>
    <x v="38"/>
    <x v="1"/>
    <x v="0"/>
    <x v="0"/>
    <x v="612"/>
  </r>
  <r>
    <x v="613"/>
    <x v="62"/>
    <x v="3"/>
    <x v="1"/>
    <x v="0"/>
    <x v="0"/>
    <x v="67"/>
    <x v="288"/>
    <x v="7"/>
    <x v="20"/>
    <x v="3"/>
    <x v="0"/>
    <x v="0"/>
    <x v="613"/>
  </r>
  <r>
    <x v="614"/>
    <x v="6"/>
    <x v="1"/>
    <x v="1"/>
    <x v="0"/>
    <x v="9"/>
    <x v="108"/>
    <x v="79"/>
    <x v="6"/>
    <x v="158"/>
    <x v="3"/>
    <x v="1"/>
    <x v="1"/>
    <x v="614"/>
  </r>
  <r>
    <x v="615"/>
    <x v="13"/>
    <x v="2"/>
    <x v="1"/>
    <x v="3"/>
    <x v="13"/>
    <x v="295"/>
    <x v="263"/>
    <x v="5"/>
    <x v="135"/>
    <x v="3"/>
    <x v="0"/>
    <x v="0"/>
    <x v="615"/>
  </r>
  <r>
    <x v="616"/>
    <x v="84"/>
    <x v="1"/>
    <x v="1"/>
    <x v="2"/>
    <x v="21"/>
    <x v="143"/>
    <x v="289"/>
    <x v="2"/>
    <x v="191"/>
    <x v="3"/>
    <x v="0"/>
    <x v="0"/>
    <x v="616"/>
  </r>
  <r>
    <x v="617"/>
    <x v="66"/>
    <x v="2"/>
    <x v="1"/>
    <x v="2"/>
    <x v="13"/>
    <x v="296"/>
    <x v="200"/>
    <x v="9"/>
    <x v="146"/>
    <x v="0"/>
    <x v="0"/>
    <x v="0"/>
    <x v="617"/>
  </r>
  <r>
    <x v="618"/>
    <x v="36"/>
    <x v="2"/>
    <x v="0"/>
    <x v="3"/>
    <x v="17"/>
    <x v="95"/>
    <x v="290"/>
    <x v="11"/>
    <x v="22"/>
    <x v="1"/>
    <x v="0"/>
    <x v="0"/>
    <x v="618"/>
  </r>
  <r>
    <x v="619"/>
    <x v="9"/>
    <x v="3"/>
    <x v="0"/>
    <x v="3"/>
    <x v="9"/>
    <x v="297"/>
    <x v="250"/>
    <x v="14"/>
    <x v="222"/>
    <x v="0"/>
    <x v="0"/>
    <x v="0"/>
    <x v="619"/>
  </r>
  <r>
    <x v="620"/>
    <x v="62"/>
    <x v="3"/>
    <x v="0"/>
    <x v="3"/>
    <x v="23"/>
    <x v="58"/>
    <x v="83"/>
    <x v="9"/>
    <x v="264"/>
    <x v="0"/>
    <x v="0"/>
    <x v="0"/>
    <x v="620"/>
  </r>
  <r>
    <x v="621"/>
    <x v="14"/>
    <x v="3"/>
    <x v="0"/>
    <x v="1"/>
    <x v="5"/>
    <x v="298"/>
    <x v="17"/>
    <x v="14"/>
    <x v="256"/>
    <x v="2"/>
    <x v="0"/>
    <x v="0"/>
    <x v="621"/>
  </r>
  <r>
    <x v="622"/>
    <x v="19"/>
    <x v="2"/>
    <x v="0"/>
    <x v="1"/>
    <x v="10"/>
    <x v="103"/>
    <x v="109"/>
    <x v="2"/>
    <x v="265"/>
    <x v="2"/>
    <x v="1"/>
    <x v="1"/>
    <x v="622"/>
  </r>
  <r>
    <x v="623"/>
    <x v="80"/>
    <x v="3"/>
    <x v="0"/>
    <x v="2"/>
    <x v="12"/>
    <x v="7"/>
    <x v="82"/>
    <x v="1"/>
    <x v="35"/>
    <x v="2"/>
    <x v="0"/>
    <x v="0"/>
    <x v="623"/>
  </r>
  <r>
    <x v="624"/>
    <x v="42"/>
    <x v="2"/>
    <x v="0"/>
    <x v="4"/>
    <x v="3"/>
    <x v="145"/>
    <x v="83"/>
    <x v="1"/>
    <x v="138"/>
    <x v="1"/>
    <x v="0"/>
    <x v="0"/>
    <x v="624"/>
  </r>
  <r>
    <x v="625"/>
    <x v="72"/>
    <x v="0"/>
    <x v="0"/>
    <x v="1"/>
    <x v="1"/>
    <x v="167"/>
    <x v="291"/>
    <x v="6"/>
    <x v="95"/>
    <x v="3"/>
    <x v="0"/>
    <x v="0"/>
    <x v="625"/>
  </r>
  <r>
    <x v="626"/>
    <x v="16"/>
    <x v="3"/>
    <x v="0"/>
    <x v="3"/>
    <x v="22"/>
    <x v="186"/>
    <x v="292"/>
    <x v="6"/>
    <x v="45"/>
    <x v="0"/>
    <x v="0"/>
    <x v="0"/>
    <x v="626"/>
  </r>
  <r>
    <x v="627"/>
    <x v="69"/>
    <x v="1"/>
    <x v="1"/>
    <x v="1"/>
    <x v="17"/>
    <x v="299"/>
    <x v="35"/>
    <x v="4"/>
    <x v="104"/>
    <x v="0"/>
    <x v="0"/>
    <x v="0"/>
    <x v="627"/>
  </r>
  <r>
    <x v="628"/>
    <x v="67"/>
    <x v="0"/>
    <x v="0"/>
    <x v="4"/>
    <x v="9"/>
    <x v="88"/>
    <x v="293"/>
    <x v="5"/>
    <x v="27"/>
    <x v="0"/>
    <x v="1"/>
    <x v="1"/>
    <x v="628"/>
  </r>
  <r>
    <x v="629"/>
    <x v="57"/>
    <x v="2"/>
    <x v="1"/>
    <x v="3"/>
    <x v="3"/>
    <x v="253"/>
    <x v="118"/>
    <x v="12"/>
    <x v="266"/>
    <x v="1"/>
    <x v="0"/>
    <x v="0"/>
    <x v="629"/>
  </r>
  <r>
    <x v="630"/>
    <x v="44"/>
    <x v="2"/>
    <x v="0"/>
    <x v="1"/>
    <x v="2"/>
    <x v="278"/>
    <x v="228"/>
    <x v="3"/>
    <x v="267"/>
    <x v="0"/>
    <x v="0"/>
    <x v="0"/>
    <x v="630"/>
  </r>
  <r>
    <x v="631"/>
    <x v="56"/>
    <x v="1"/>
    <x v="0"/>
    <x v="4"/>
    <x v="10"/>
    <x v="265"/>
    <x v="109"/>
    <x v="0"/>
    <x v="80"/>
    <x v="2"/>
    <x v="0"/>
    <x v="0"/>
    <x v="631"/>
  </r>
  <r>
    <x v="632"/>
    <x v="84"/>
    <x v="1"/>
    <x v="1"/>
    <x v="3"/>
    <x v="3"/>
    <x v="300"/>
    <x v="279"/>
    <x v="0"/>
    <x v="130"/>
    <x v="3"/>
    <x v="0"/>
    <x v="0"/>
    <x v="632"/>
  </r>
  <r>
    <x v="633"/>
    <x v="69"/>
    <x v="1"/>
    <x v="0"/>
    <x v="0"/>
    <x v="6"/>
    <x v="301"/>
    <x v="250"/>
    <x v="10"/>
    <x v="184"/>
    <x v="3"/>
    <x v="1"/>
    <x v="1"/>
    <x v="633"/>
  </r>
  <r>
    <x v="634"/>
    <x v="49"/>
    <x v="1"/>
    <x v="1"/>
    <x v="4"/>
    <x v="4"/>
    <x v="129"/>
    <x v="294"/>
    <x v="14"/>
    <x v="200"/>
    <x v="0"/>
    <x v="0"/>
    <x v="0"/>
    <x v="634"/>
  </r>
  <r>
    <x v="635"/>
    <x v="40"/>
    <x v="4"/>
    <x v="1"/>
    <x v="2"/>
    <x v="22"/>
    <x v="70"/>
    <x v="295"/>
    <x v="13"/>
    <x v="80"/>
    <x v="0"/>
    <x v="0"/>
    <x v="0"/>
    <x v="635"/>
  </r>
  <r>
    <x v="636"/>
    <x v="7"/>
    <x v="1"/>
    <x v="1"/>
    <x v="1"/>
    <x v="18"/>
    <x v="159"/>
    <x v="55"/>
    <x v="13"/>
    <x v="206"/>
    <x v="1"/>
    <x v="0"/>
    <x v="0"/>
    <x v="636"/>
  </r>
  <r>
    <x v="637"/>
    <x v="87"/>
    <x v="1"/>
    <x v="0"/>
    <x v="1"/>
    <x v="21"/>
    <x v="184"/>
    <x v="46"/>
    <x v="4"/>
    <x v="34"/>
    <x v="1"/>
    <x v="1"/>
    <x v="1"/>
    <x v="637"/>
  </r>
  <r>
    <x v="638"/>
    <x v="0"/>
    <x v="0"/>
    <x v="1"/>
    <x v="0"/>
    <x v="23"/>
    <x v="74"/>
    <x v="165"/>
    <x v="10"/>
    <x v="23"/>
    <x v="3"/>
    <x v="1"/>
    <x v="1"/>
    <x v="638"/>
  </r>
  <r>
    <x v="639"/>
    <x v="53"/>
    <x v="1"/>
    <x v="1"/>
    <x v="3"/>
    <x v="15"/>
    <x v="120"/>
    <x v="295"/>
    <x v="8"/>
    <x v="46"/>
    <x v="3"/>
    <x v="1"/>
    <x v="1"/>
    <x v="639"/>
  </r>
  <r>
    <x v="640"/>
    <x v="41"/>
    <x v="1"/>
    <x v="0"/>
    <x v="2"/>
    <x v="3"/>
    <x v="288"/>
    <x v="296"/>
    <x v="5"/>
    <x v="9"/>
    <x v="0"/>
    <x v="0"/>
    <x v="0"/>
    <x v="640"/>
  </r>
  <r>
    <x v="641"/>
    <x v="82"/>
    <x v="2"/>
    <x v="1"/>
    <x v="0"/>
    <x v="5"/>
    <x v="236"/>
    <x v="261"/>
    <x v="3"/>
    <x v="108"/>
    <x v="1"/>
    <x v="1"/>
    <x v="1"/>
    <x v="641"/>
  </r>
  <r>
    <x v="642"/>
    <x v="80"/>
    <x v="3"/>
    <x v="0"/>
    <x v="0"/>
    <x v="6"/>
    <x v="176"/>
    <x v="5"/>
    <x v="5"/>
    <x v="32"/>
    <x v="1"/>
    <x v="0"/>
    <x v="0"/>
    <x v="642"/>
  </r>
  <r>
    <x v="643"/>
    <x v="51"/>
    <x v="2"/>
    <x v="1"/>
    <x v="3"/>
    <x v="0"/>
    <x v="196"/>
    <x v="278"/>
    <x v="4"/>
    <x v="140"/>
    <x v="3"/>
    <x v="0"/>
    <x v="0"/>
    <x v="643"/>
  </r>
  <r>
    <x v="644"/>
    <x v="31"/>
    <x v="3"/>
    <x v="1"/>
    <x v="4"/>
    <x v="11"/>
    <x v="181"/>
    <x v="297"/>
    <x v="4"/>
    <x v="206"/>
    <x v="0"/>
    <x v="1"/>
    <x v="1"/>
    <x v="644"/>
  </r>
  <r>
    <x v="645"/>
    <x v="53"/>
    <x v="1"/>
    <x v="1"/>
    <x v="0"/>
    <x v="23"/>
    <x v="212"/>
    <x v="249"/>
    <x v="13"/>
    <x v="185"/>
    <x v="1"/>
    <x v="0"/>
    <x v="0"/>
    <x v="645"/>
  </r>
  <r>
    <x v="646"/>
    <x v="41"/>
    <x v="1"/>
    <x v="1"/>
    <x v="0"/>
    <x v="3"/>
    <x v="101"/>
    <x v="204"/>
    <x v="5"/>
    <x v="221"/>
    <x v="3"/>
    <x v="1"/>
    <x v="1"/>
    <x v="646"/>
  </r>
  <r>
    <x v="647"/>
    <x v="72"/>
    <x v="0"/>
    <x v="0"/>
    <x v="1"/>
    <x v="12"/>
    <x v="248"/>
    <x v="14"/>
    <x v="0"/>
    <x v="65"/>
    <x v="1"/>
    <x v="1"/>
    <x v="1"/>
    <x v="647"/>
  </r>
  <r>
    <x v="648"/>
    <x v="27"/>
    <x v="1"/>
    <x v="0"/>
    <x v="1"/>
    <x v="14"/>
    <x v="201"/>
    <x v="106"/>
    <x v="9"/>
    <x v="112"/>
    <x v="2"/>
    <x v="0"/>
    <x v="0"/>
    <x v="648"/>
  </r>
  <r>
    <x v="649"/>
    <x v="2"/>
    <x v="2"/>
    <x v="0"/>
    <x v="3"/>
    <x v="12"/>
    <x v="234"/>
    <x v="142"/>
    <x v="4"/>
    <x v="73"/>
    <x v="1"/>
    <x v="0"/>
    <x v="0"/>
    <x v="649"/>
  </r>
  <r>
    <x v="650"/>
    <x v="12"/>
    <x v="0"/>
    <x v="1"/>
    <x v="0"/>
    <x v="15"/>
    <x v="172"/>
    <x v="48"/>
    <x v="0"/>
    <x v="113"/>
    <x v="1"/>
    <x v="0"/>
    <x v="0"/>
    <x v="650"/>
  </r>
  <r>
    <x v="651"/>
    <x v="57"/>
    <x v="2"/>
    <x v="1"/>
    <x v="0"/>
    <x v="9"/>
    <x v="261"/>
    <x v="298"/>
    <x v="13"/>
    <x v="112"/>
    <x v="1"/>
    <x v="1"/>
    <x v="1"/>
    <x v="651"/>
  </r>
  <r>
    <x v="652"/>
    <x v="76"/>
    <x v="1"/>
    <x v="1"/>
    <x v="1"/>
    <x v="13"/>
    <x v="102"/>
    <x v="153"/>
    <x v="1"/>
    <x v="71"/>
    <x v="0"/>
    <x v="1"/>
    <x v="1"/>
    <x v="652"/>
  </r>
  <r>
    <x v="653"/>
    <x v="24"/>
    <x v="1"/>
    <x v="0"/>
    <x v="2"/>
    <x v="16"/>
    <x v="302"/>
    <x v="142"/>
    <x v="2"/>
    <x v="112"/>
    <x v="1"/>
    <x v="0"/>
    <x v="0"/>
    <x v="653"/>
  </r>
  <r>
    <x v="654"/>
    <x v="35"/>
    <x v="1"/>
    <x v="1"/>
    <x v="3"/>
    <x v="14"/>
    <x v="173"/>
    <x v="261"/>
    <x v="13"/>
    <x v="21"/>
    <x v="0"/>
    <x v="1"/>
    <x v="1"/>
    <x v="654"/>
  </r>
  <r>
    <x v="655"/>
    <x v="11"/>
    <x v="1"/>
    <x v="0"/>
    <x v="3"/>
    <x v="0"/>
    <x v="179"/>
    <x v="104"/>
    <x v="4"/>
    <x v="144"/>
    <x v="2"/>
    <x v="0"/>
    <x v="0"/>
    <x v="655"/>
  </r>
  <r>
    <x v="656"/>
    <x v="32"/>
    <x v="1"/>
    <x v="0"/>
    <x v="4"/>
    <x v="1"/>
    <x v="190"/>
    <x v="223"/>
    <x v="8"/>
    <x v="89"/>
    <x v="0"/>
    <x v="0"/>
    <x v="0"/>
    <x v="656"/>
  </r>
  <r>
    <x v="657"/>
    <x v="53"/>
    <x v="1"/>
    <x v="0"/>
    <x v="0"/>
    <x v="20"/>
    <x v="166"/>
    <x v="203"/>
    <x v="3"/>
    <x v="268"/>
    <x v="2"/>
    <x v="0"/>
    <x v="0"/>
    <x v="657"/>
  </r>
  <r>
    <x v="658"/>
    <x v="85"/>
    <x v="1"/>
    <x v="1"/>
    <x v="4"/>
    <x v="15"/>
    <x v="92"/>
    <x v="134"/>
    <x v="3"/>
    <x v="57"/>
    <x v="3"/>
    <x v="1"/>
    <x v="1"/>
    <x v="658"/>
  </r>
  <r>
    <x v="659"/>
    <x v="20"/>
    <x v="1"/>
    <x v="1"/>
    <x v="3"/>
    <x v="13"/>
    <x v="269"/>
    <x v="187"/>
    <x v="6"/>
    <x v="143"/>
    <x v="1"/>
    <x v="0"/>
    <x v="0"/>
    <x v="659"/>
  </r>
  <r>
    <x v="660"/>
    <x v="30"/>
    <x v="2"/>
    <x v="0"/>
    <x v="2"/>
    <x v="7"/>
    <x v="298"/>
    <x v="299"/>
    <x v="11"/>
    <x v="28"/>
    <x v="2"/>
    <x v="0"/>
    <x v="0"/>
    <x v="660"/>
  </r>
  <r>
    <x v="661"/>
    <x v="21"/>
    <x v="1"/>
    <x v="1"/>
    <x v="2"/>
    <x v="6"/>
    <x v="145"/>
    <x v="300"/>
    <x v="10"/>
    <x v="100"/>
    <x v="1"/>
    <x v="0"/>
    <x v="0"/>
    <x v="661"/>
  </r>
  <r>
    <x v="662"/>
    <x v="86"/>
    <x v="2"/>
    <x v="1"/>
    <x v="2"/>
    <x v="21"/>
    <x v="222"/>
    <x v="301"/>
    <x v="4"/>
    <x v="58"/>
    <x v="1"/>
    <x v="1"/>
    <x v="1"/>
    <x v="662"/>
  </r>
  <r>
    <x v="663"/>
    <x v="79"/>
    <x v="4"/>
    <x v="1"/>
    <x v="0"/>
    <x v="14"/>
    <x v="229"/>
    <x v="265"/>
    <x v="1"/>
    <x v="200"/>
    <x v="2"/>
    <x v="0"/>
    <x v="0"/>
    <x v="663"/>
  </r>
  <r>
    <x v="664"/>
    <x v="77"/>
    <x v="2"/>
    <x v="0"/>
    <x v="0"/>
    <x v="4"/>
    <x v="303"/>
    <x v="241"/>
    <x v="4"/>
    <x v="269"/>
    <x v="1"/>
    <x v="0"/>
    <x v="0"/>
    <x v="664"/>
  </r>
  <r>
    <x v="665"/>
    <x v="33"/>
    <x v="1"/>
    <x v="1"/>
    <x v="2"/>
    <x v="10"/>
    <x v="91"/>
    <x v="253"/>
    <x v="0"/>
    <x v="43"/>
    <x v="2"/>
    <x v="0"/>
    <x v="0"/>
    <x v="665"/>
  </r>
  <r>
    <x v="666"/>
    <x v="20"/>
    <x v="1"/>
    <x v="1"/>
    <x v="1"/>
    <x v="7"/>
    <x v="304"/>
    <x v="26"/>
    <x v="14"/>
    <x v="37"/>
    <x v="1"/>
    <x v="0"/>
    <x v="0"/>
    <x v="666"/>
  </r>
  <r>
    <x v="667"/>
    <x v="30"/>
    <x v="2"/>
    <x v="0"/>
    <x v="4"/>
    <x v="7"/>
    <x v="227"/>
    <x v="238"/>
    <x v="6"/>
    <x v="127"/>
    <x v="3"/>
    <x v="1"/>
    <x v="1"/>
    <x v="667"/>
  </r>
  <r>
    <x v="668"/>
    <x v="27"/>
    <x v="1"/>
    <x v="1"/>
    <x v="3"/>
    <x v="24"/>
    <x v="136"/>
    <x v="185"/>
    <x v="6"/>
    <x v="86"/>
    <x v="3"/>
    <x v="0"/>
    <x v="0"/>
    <x v="668"/>
  </r>
  <r>
    <x v="669"/>
    <x v="6"/>
    <x v="1"/>
    <x v="1"/>
    <x v="0"/>
    <x v="19"/>
    <x v="121"/>
    <x v="302"/>
    <x v="4"/>
    <x v="194"/>
    <x v="0"/>
    <x v="0"/>
    <x v="0"/>
    <x v="669"/>
  </r>
  <r>
    <x v="670"/>
    <x v="30"/>
    <x v="2"/>
    <x v="1"/>
    <x v="1"/>
    <x v="24"/>
    <x v="283"/>
    <x v="270"/>
    <x v="12"/>
    <x v="84"/>
    <x v="3"/>
    <x v="1"/>
    <x v="1"/>
    <x v="670"/>
  </r>
  <r>
    <x v="671"/>
    <x v="60"/>
    <x v="1"/>
    <x v="0"/>
    <x v="2"/>
    <x v="1"/>
    <x v="129"/>
    <x v="257"/>
    <x v="7"/>
    <x v="265"/>
    <x v="1"/>
    <x v="0"/>
    <x v="0"/>
    <x v="671"/>
  </r>
  <r>
    <x v="672"/>
    <x v="72"/>
    <x v="0"/>
    <x v="0"/>
    <x v="0"/>
    <x v="7"/>
    <x v="305"/>
    <x v="47"/>
    <x v="10"/>
    <x v="222"/>
    <x v="1"/>
    <x v="1"/>
    <x v="1"/>
    <x v="672"/>
  </r>
  <r>
    <x v="673"/>
    <x v="67"/>
    <x v="0"/>
    <x v="1"/>
    <x v="2"/>
    <x v="8"/>
    <x v="149"/>
    <x v="165"/>
    <x v="3"/>
    <x v="197"/>
    <x v="0"/>
    <x v="1"/>
    <x v="1"/>
    <x v="673"/>
  </r>
  <r>
    <x v="674"/>
    <x v="64"/>
    <x v="1"/>
    <x v="0"/>
    <x v="3"/>
    <x v="10"/>
    <x v="5"/>
    <x v="272"/>
    <x v="8"/>
    <x v="137"/>
    <x v="0"/>
    <x v="0"/>
    <x v="0"/>
    <x v="674"/>
  </r>
  <r>
    <x v="675"/>
    <x v="27"/>
    <x v="1"/>
    <x v="1"/>
    <x v="2"/>
    <x v="14"/>
    <x v="306"/>
    <x v="91"/>
    <x v="2"/>
    <x v="112"/>
    <x v="0"/>
    <x v="0"/>
    <x v="0"/>
    <x v="675"/>
  </r>
  <r>
    <x v="676"/>
    <x v="13"/>
    <x v="2"/>
    <x v="0"/>
    <x v="2"/>
    <x v="3"/>
    <x v="277"/>
    <x v="227"/>
    <x v="7"/>
    <x v="176"/>
    <x v="3"/>
    <x v="0"/>
    <x v="0"/>
    <x v="676"/>
  </r>
  <r>
    <x v="677"/>
    <x v="67"/>
    <x v="0"/>
    <x v="0"/>
    <x v="2"/>
    <x v="5"/>
    <x v="289"/>
    <x v="234"/>
    <x v="8"/>
    <x v="270"/>
    <x v="3"/>
    <x v="0"/>
    <x v="0"/>
    <x v="677"/>
  </r>
  <r>
    <x v="678"/>
    <x v="52"/>
    <x v="2"/>
    <x v="1"/>
    <x v="4"/>
    <x v="8"/>
    <x v="307"/>
    <x v="282"/>
    <x v="12"/>
    <x v="234"/>
    <x v="2"/>
    <x v="0"/>
    <x v="0"/>
    <x v="678"/>
  </r>
  <r>
    <x v="679"/>
    <x v="49"/>
    <x v="1"/>
    <x v="0"/>
    <x v="4"/>
    <x v="5"/>
    <x v="68"/>
    <x v="69"/>
    <x v="8"/>
    <x v="271"/>
    <x v="0"/>
    <x v="0"/>
    <x v="0"/>
    <x v="679"/>
  </r>
  <r>
    <x v="680"/>
    <x v="19"/>
    <x v="2"/>
    <x v="0"/>
    <x v="0"/>
    <x v="5"/>
    <x v="124"/>
    <x v="293"/>
    <x v="12"/>
    <x v="28"/>
    <x v="3"/>
    <x v="0"/>
    <x v="0"/>
    <x v="680"/>
  </r>
  <r>
    <x v="681"/>
    <x v="38"/>
    <x v="4"/>
    <x v="1"/>
    <x v="2"/>
    <x v="24"/>
    <x v="196"/>
    <x v="159"/>
    <x v="3"/>
    <x v="66"/>
    <x v="3"/>
    <x v="1"/>
    <x v="1"/>
    <x v="681"/>
  </r>
  <r>
    <x v="682"/>
    <x v="7"/>
    <x v="1"/>
    <x v="1"/>
    <x v="0"/>
    <x v="14"/>
    <x v="229"/>
    <x v="303"/>
    <x v="7"/>
    <x v="115"/>
    <x v="0"/>
    <x v="0"/>
    <x v="0"/>
    <x v="682"/>
  </r>
  <r>
    <x v="683"/>
    <x v="81"/>
    <x v="1"/>
    <x v="0"/>
    <x v="3"/>
    <x v="20"/>
    <x v="307"/>
    <x v="182"/>
    <x v="8"/>
    <x v="17"/>
    <x v="2"/>
    <x v="1"/>
    <x v="1"/>
    <x v="683"/>
  </r>
  <r>
    <x v="684"/>
    <x v="76"/>
    <x v="1"/>
    <x v="0"/>
    <x v="0"/>
    <x v="10"/>
    <x v="81"/>
    <x v="225"/>
    <x v="11"/>
    <x v="41"/>
    <x v="0"/>
    <x v="0"/>
    <x v="0"/>
    <x v="684"/>
  </r>
  <r>
    <x v="685"/>
    <x v="25"/>
    <x v="2"/>
    <x v="1"/>
    <x v="1"/>
    <x v="15"/>
    <x v="273"/>
    <x v="145"/>
    <x v="12"/>
    <x v="272"/>
    <x v="3"/>
    <x v="0"/>
    <x v="0"/>
    <x v="685"/>
  </r>
  <r>
    <x v="686"/>
    <x v="17"/>
    <x v="4"/>
    <x v="0"/>
    <x v="2"/>
    <x v="13"/>
    <x v="272"/>
    <x v="72"/>
    <x v="4"/>
    <x v="57"/>
    <x v="2"/>
    <x v="0"/>
    <x v="0"/>
    <x v="686"/>
  </r>
  <r>
    <x v="687"/>
    <x v="56"/>
    <x v="1"/>
    <x v="1"/>
    <x v="4"/>
    <x v="15"/>
    <x v="286"/>
    <x v="152"/>
    <x v="12"/>
    <x v="273"/>
    <x v="0"/>
    <x v="0"/>
    <x v="0"/>
    <x v="687"/>
  </r>
  <r>
    <x v="688"/>
    <x v="64"/>
    <x v="1"/>
    <x v="1"/>
    <x v="3"/>
    <x v="16"/>
    <x v="83"/>
    <x v="21"/>
    <x v="0"/>
    <x v="274"/>
    <x v="1"/>
    <x v="0"/>
    <x v="0"/>
    <x v="688"/>
  </r>
  <r>
    <x v="689"/>
    <x v="69"/>
    <x v="1"/>
    <x v="1"/>
    <x v="1"/>
    <x v="6"/>
    <x v="233"/>
    <x v="157"/>
    <x v="1"/>
    <x v="254"/>
    <x v="0"/>
    <x v="0"/>
    <x v="0"/>
    <x v="689"/>
  </r>
  <r>
    <x v="690"/>
    <x v="37"/>
    <x v="2"/>
    <x v="1"/>
    <x v="1"/>
    <x v="7"/>
    <x v="107"/>
    <x v="135"/>
    <x v="8"/>
    <x v="249"/>
    <x v="1"/>
    <x v="0"/>
    <x v="0"/>
    <x v="690"/>
  </r>
  <r>
    <x v="691"/>
    <x v="89"/>
    <x v="0"/>
    <x v="0"/>
    <x v="4"/>
    <x v="2"/>
    <x v="229"/>
    <x v="36"/>
    <x v="14"/>
    <x v="267"/>
    <x v="1"/>
    <x v="0"/>
    <x v="0"/>
    <x v="691"/>
  </r>
  <r>
    <x v="692"/>
    <x v="22"/>
    <x v="0"/>
    <x v="0"/>
    <x v="3"/>
    <x v="23"/>
    <x v="30"/>
    <x v="296"/>
    <x v="4"/>
    <x v="25"/>
    <x v="1"/>
    <x v="0"/>
    <x v="0"/>
    <x v="692"/>
  </r>
  <r>
    <x v="693"/>
    <x v="21"/>
    <x v="1"/>
    <x v="1"/>
    <x v="2"/>
    <x v="13"/>
    <x v="95"/>
    <x v="47"/>
    <x v="0"/>
    <x v="14"/>
    <x v="3"/>
    <x v="0"/>
    <x v="0"/>
    <x v="693"/>
  </r>
  <r>
    <x v="694"/>
    <x v="30"/>
    <x v="2"/>
    <x v="1"/>
    <x v="2"/>
    <x v="18"/>
    <x v="75"/>
    <x v="259"/>
    <x v="13"/>
    <x v="63"/>
    <x v="3"/>
    <x v="0"/>
    <x v="0"/>
    <x v="694"/>
  </r>
  <r>
    <x v="695"/>
    <x v="89"/>
    <x v="0"/>
    <x v="0"/>
    <x v="3"/>
    <x v="19"/>
    <x v="233"/>
    <x v="238"/>
    <x v="0"/>
    <x v="95"/>
    <x v="2"/>
    <x v="0"/>
    <x v="0"/>
    <x v="695"/>
  </r>
  <r>
    <x v="696"/>
    <x v="71"/>
    <x v="2"/>
    <x v="1"/>
    <x v="4"/>
    <x v="13"/>
    <x v="109"/>
    <x v="132"/>
    <x v="11"/>
    <x v="259"/>
    <x v="0"/>
    <x v="1"/>
    <x v="1"/>
    <x v="696"/>
  </r>
  <r>
    <x v="697"/>
    <x v="8"/>
    <x v="0"/>
    <x v="1"/>
    <x v="1"/>
    <x v="13"/>
    <x v="60"/>
    <x v="143"/>
    <x v="11"/>
    <x v="275"/>
    <x v="0"/>
    <x v="0"/>
    <x v="0"/>
    <x v="697"/>
  </r>
  <r>
    <x v="698"/>
    <x v="86"/>
    <x v="2"/>
    <x v="1"/>
    <x v="1"/>
    <x v="16"/>
    <x v="35"/>
    <x v="29"/>
    <x v="4"/>
    <x v="148"/>
    <x v="1"/>
    <x v="0"/>
    <x v="0"/>
    <x v="698"/>
  </r>
  <r>
    <x v="699"/>
    <x v="14"/>
    <x v="3"/>
    <x v="1"/>
    <x v="2"/>
    <x v="11"/>
    <x v="289"/>
    <x v="228"/>
    <x v="12"/>
    <x v="265"/>
    <x v="2"/>
    <x v="0"/>
    <x v="0"/>
    <x v="699"/>
  </r>
  <r>
    <x v="700"/>
    <x v="39"/>
    <x v="4"/>
    <x v="0"/>
    <x v="3"/>
    <x v="9"/>
    <x v="26"/>
    <x v="123"/>
    <x v="14"/>
    <x v="31"/>
    <x v="2"/>
    <x v="0"/>
    <x v="0"/>
    <x v="700"/>
  </r>
  <r>
    <x v="701"/>
    <x v="48"/>
    <x v="1"/>
    <x v="1"/>
    <x v="3"/>
    <x v="13"/>
    <x v="234"/>
    <x v="304"/>
    <x v="1"/>
    <x v="276"/>
    <x v="1"/>
    <x v="1"/>
    <x v="1"/>
    <x v="701"/>
  </r>
  <r>
    <x v="702"/>
    <x v="67"/>
    <x v="0"/>
    <x v="0"/>
    <x v="1"/>
    <x v="23"/>
    <x v="132"/>
    <x v="305"/>
    <x v="1"/>
    <x v="135"/>
    <x v="3"/>
    <x v="0"/>
    <x v="0"/>
    <x v="702"/>
  </r>
  <r>
    <x v="703"/>
    <x v="41"/>
    <x v="1"/>
    <x v="0"/>
    <x v="2"/>
    <x v="24"/>
    <x v="250"/>
    <x v="114"/>
    <x v="12"/>
    <x v="266"/>
    <x v="2"/>
    <x v="0"/>
    <x v="0"/>
    <x v="703"/>
  </r>
  <r>
    <x v="704"/>
    <x v="18"/>
    <x v="1"/>
    <x v="1"/>
    <x v="3"/>
    <x v="6"/>
    <x v="112"/>
    <x v="90"/>
    <x v="7"/>
    <x v="239"/>
    <x v="2"/>
    <x v="0"/>
    <x v="0"/>
    <x v="704"/>
  </r>
  <r>
    <x v="705"/>
    <x v="73"/>
    <x v="0"/>
    <x v="0"/>
    <x v="1"/>
    <x v="1"/>
    <x v="219"/>
    <x v="304"/>
    <x v="12"/>
    <x v="7"/>
    <x v="0"/>
    <x v="0"/>
    <x v="0"/>
    <x v="705"/>
  </r>
  <r>
    <x v="706"/>
    <x v="49"/>
    <x v="1"/>
    <x v="1"/>
    <x v="1"/>
    <x v="4"/>
    <x v="308"/>
    <x v="217"/>
    <x v="10"/>
    <x v="267"/>
    <x v="1"/>
    <x v="1"/>
    <x v="1"/>
    <x v="706"/>
  </r>
  <r>
    <x v="707"/>
    <x v="84"/>
    <x v="1"/>
    <x v="1"/>
    <x v="4"/>
    <x v="4"/>
    <x v="115"/>
    <x v="103"/>
    <x v="12"/>
    <x v="239"/>
    <x v="2"/>
    <x v="0"/>
    <x v="0"/>
    <x v="707"/>
  </r>
  <r>
    <x v="708"/>
    <x v="9"/>
    <x v="3"/>
    <x v="0"/>
    <x v="0"/>
    <x v="7"/>
    <x v="115"/>
    <x v="243"/>
    <x v="4"/>
    <x v="214"/>
    <x v="2"/>
    <x v="1"/>
    <x v="1"/>
    <x v="708"/>
  </r>
  <r>
    <x v="709"/>
    <x v="62"/>
    <x v="3"/>
    <x v="1"/>
    <x v="2"/>
    <x v="13"/>
    <x v="148"/>
    <x v="208"/>
    <x v="1"/>
    <x v="211"/>
    <x v="0"/>
    <x v="1"/>
    <x v="1"/>
    <x v="709"/>
  </r>
  <r>
    <x v="710"/>
    <x v="31"/>
    <x v="3"/>
    <x v="1"/>
    <x v="2"/>
    <x v="20"/>
    <x v="259"/>
    <x v="306"/>
    <x v="1"/>
    <x v="277"/>
    <x v="3"/>
    <x v="0"/>
    <x v="0"/>
    <x v="710"/>
  </r>
  <r>
    <x v="711"/>
    <x v="71"/>
    <x v="2"/>
    <x v="0"/>
    <x v="3"/>
    <x v="0"/>
    <x v="85"/>
    <x v="117"/>
    <x v="12"/>
    <x v="186"/>
    <x v="0"/>
    <x v="0"/>
    <x v="0"/>
    <x v="711"/>
  </r>
  <r>
    <x v="712"/>
    <x v="79"/>
    <x v="4"/>
    <x v="0"/>
    <x v="4"/>
    <x v="22"/>
    <x v="282"/>
    <x v="49"/>
    <x v="10"/>
    <x v="129"/>
    <x v="2"/>
    <x v="0"/>
    <x v="0"/>
    <x v="712"/>
  </r>
  <r>
    <x v="713"/>
    <x v="69"/>
    <x v="1"/>
    <x v="0"/>
    <x v="2"/>
    <x v="10"/>
    <x v="180"/>
    <x v="297"/>
    <x v="0"/>
    <x v="274"/>
    <x v="3"/>
    <x v="0"/>
    <x v="0"/>
    <x v="713"/>
  </r>
  <r>
    <x v="714"/>
    <x v="34"/>
    <x v="4"/>
    <x v="1"/>
    <x v="3"/>
    <x v="8"/>
    <x v="22"/>
    <x v="279"/>
    <x v="6"/>
    <x v="158"/>
    <x v="2"/>
    <x v="0"/>
    <x v="0"/>
    <x v="714"/>
  </r>
  <r>
    <x v="715"/>
    <x v="57"/>
    <x v="2"/>
    <x v="1"/>
    <x v="3"/>
    <x v="5"/>
    <x v="120"/>
    <x v="307"/>
    <x v="3"/>
    <x v="46"/>
    <x v="3"/>
    <x v="0"/>
    <x v="0"/>
    <x v="715"/>
  </r>
  <r>
    <x v="716"/>
    <x v="35"/>
    <x v="1"/>
    <x v="1"/>
    <x v="0"/>
    <x v="19"/>
    <x v="307"/>
    <x v="308"/>
    <x v="14"/>
    <x v="278"/>
    <x v="0"/>
    <x v="0"/>
    <x v="0"/>
    <x v="716"/>
  </r>
  <r>
    <x v="717"/>
    <x v="33"/>
    <x v="1"/>
    <x v="0"/>
    <x v="3"/>
    <x v="4"/>
    <x v="144"/>
    <x v="64"/>
    <x v="10"/>
    <x v="114"/>
    <x v="2"/>
    <x v="0"/>
    <x v="0"/>
    <x v="717"/>
  </r>
  <r>
    <x v="718"/>
    <x v="83"/>
    <x v="2"/>
    <x v="0"/>
    <x v="0"/>
    <x v="13"/>
    <x v="241"/>
    <x v="254"/>
    <x v="0"/>
    <x v="274"/>
    <x v="0"/>
    <x v="1"/>
    <x v="1"/>
    <x v="718"/>
  </r>
  <r>
    <x v="719"/>
    <x v="30"/>
    <x v="2"/>
    <x v="1"/>
    <x v="0"/>
    <x v="6"/>
    <x v="16"/>
    <x v="237"/>
    <x v="1"/>
    <x v="6"/>
    <x v="2"/>
    <x v="1"/>
    <x v="1"/>
    <x v="719"/>
  </r>
  <r>
    <x v="720"/>
    <x v="88"/>
    <x v="3"/>
    <x v="0"/>
    <x v="4"/>
    <x v="4"/>
    <x v="169"/>
    <x v="309"/>
    <x v="7"/>
    <x v="46"/>
    <x v="2"/>
    <x v="0"/>
    <x v="0"/>
    <x v="720"/>
  </r>
  <r>
    <x v="721"/>
    <x v="2"/>
    <x v="2"/>
    <x v="1"/>
    <x v="1"/>
    <x v="1"/>
    <x v="74"/>
    <x v="68"/>
    <x v="1"/>
    <x v="262"/>
    <x v="3"/>
    <x v="0"/>
    <x v="0"/>
    <x v="721"/>
  </r>
  <r>
    <x v="722"/>
    <x v="52"/>
    <x v="2"/>
    <x v="1"/>
    <x v="2"/>
    <x v="17"/>
    <x v="218"/>
    <x v="219"/>
    <x v="14"/>
    <x v="192"/>
    <x v="2"/>
    <x v="0"/>
    <x v="0"/>
    <x v="722"/>
  </r>
  <r>
    <x v="723"/>
    <x v="16"/>
    <x v="3"/>
    <x v="0"/>
    <x v="3"/>
    <x v="5"/>
    <x v="248"/>
    <x v="209"/>
    <x v="7"/>
    <x v="271"/>
    <x v="3"/>
    <x v="0"/>
    <x v="0"/>
    <x v="723"/>
  </r>
  <r>
    <x v="724"/>
    <x v="33"/>
    <x v="1"/>
    <x v="1"/>
    <x v="2"/>
    <x v="24"/>
    <x v="309"/>
    <x v="215"/>
    <x v="11"/>
    <x v="145"/>
    <x v="0"/>
    <x v="1"/>
    <x v="1"/>
    <x v="724"/>
  </r>
  <r>
    <x v="725"/>
    <x v="87"/>
    <x v="1"/>
    <x v="1"/>
    <x v="3"/>
    <x v="10"/>
    <x v="260"/>
    <x v="140"/>
    <x v="7"/>
    <x v="263"/>
    <x v="3"/>
    <x v="0"/>
    <x v="0"/>
    <x v="725"/>
  </r>
  <r>
    <x v="726"/>
    <x v="38"/>
    <x v="4"/>
    <x v="1"/>
    <x v="3"/>
    <x v="4"/>
    <x v="198"/>
    <x v="271"/>
    <x v="6"/>
    <x v="21"/>
    <x v="1"/>
    <x v="0"/>
    <x v="0"/>
    <x v="726"/>
  </r>
  <r>
    <x v="727"/>
    <x v="43"/>
    <x v="0"/>
    <x v="0"/>
    <x v="4"/>
    <x v="17"/>
    <x v="310"/>
    <x v="295"/>
    <x v="0"/>
    <x v="4"/>
    <x v="0"/>
    <x v="1"/>
    <x v="1"/>
    <x v="727"/>
  </r>
  <r>
    <x v="728"/>
    <x v="86"/>
    <x v="2"/>
    <x v="1"/>
    <x v="4"/>
    <x v="18"/>
    <x v="142"/>
    <x v="117"/>
    <x v="5"/>
    <x v="100"/>
    <x v="0"/>
    <x v="0"/>
    <x v="0"/>
    <x v="728"/>
  </r>
  <r>
    <x v="729"/>
    <x v="64"/>
    <x v="1"/>
    <x v="1"/>
    <x v="4"/>
    <x v="22"/>
    <x v="311"/>
    <x v="214"/>
    <x v="3"/>
    <x v="261"/>
    <x v="2"/>
    <x v="0"/>
    <x v="0"/>
    <x v="729"/>
  </r>
  <r>
    <x v="730"/>
    <x v="22"/>
    <x v="0"/>
    <x v="0"/>
    <x v="1"/>
    <x v="21"/>
    <x v="207"/>
    <x v="152"/>
    <x v="2"/>
    <x v="265"/>
    <x v="1"/>
    <x v="1"/>
    <x v="1"/>
    <x v="730"/>
  </r>
  <r>
    <x v="731"/>
    <x v="15"/>
    <x v="2"/>
    <x v="1"/>
    <x v="2"/>
    <x v="7"/>
    <x v="260"/>
    <x v="235"/>
    <x v="3"/>
    <x v="139"/>
    <x v="2"/>
    <x v="0"/>
    <x v="0"/>
    <x v="731"/>
  </r>
  <r>
    <x v="732"/>
    <x v="34"/>
    <x v="4"/>
    <x v="0"/>
    <x v="2"/>
    <x v="7"/>
    <x v="312"/>
    <x v="108"/>
    <x v="9"/>
    <x v="260"/>
    <x v="2"/>
    <x v="0"/>
    <x v="0"/>
    <x v="732"/>
  </r>
  <r>
    <x v="733"/>
    <x v="11"/>
    <x v="1"/>
    <x v="0"/>
    <x v="4"/>
    <x v="11"/>
    <x v="291"/>
    <x v="51"/>
    <x v="9"/>
    <x v="276"/>
    <x v="1"/>
    <x v="0"/>
    <x v="0"/>
    <x v="733"/>
  </r>
  <r>
    <x v="734"/>
    <x v="64"/>
    <x v="1"/>
    <x v="1"/>
    <x v="3"/>
    <x v="7"/>
    <x v="16"/>
    <x v="271"/>
    <x v="9"/>
    <x v="279"/>
    <x v="1"/>
    <x v="1"/>
    <x v="1"/>
    <x v="734"/>
  </r>
  <r>
    <x v="735"/>
    <x v="58"/>
    <x v="1"/>
    <x v="1"/>
    <x v="0"/>
    <x v="1"/>
    <x v="211"/>
    <x v="283"/>
    <x v="13"/>
    <x v="65"/>
    <x v="0"/>
    <x v="1"/>
    <x v="1"/>
    <x v="735"/>
  </r>
  <r>
    <x v="736"/>
    <x v="39"/>
    <x v="4"/>
    <x v="1"/>
    <x v="4"/>
    <x v="21"/>
    <x v="195"/>
    <x v="286"/>
    <x v="0"/>
    <x v="104"/>
    <x v="3"/>
    <x v="0"/>
    <x v="0"/>
    <x v="736"/>
  </r>
  <r>
    <x v="737"/>
    <x v="43"/>
    <x v="0"/>
    <x v="0"/>
    <x v="3"/>
    <x v="12"/>
    <x v="40"/>
    <x v="241"/>
    <x v="12"/>
    <x v="243"/>
    <x v="2"/>
    <x v="1"/>
    <x v="1"/>
    <x v="737"/>
  </r>
  <r>
    <x v="738"/>
    <x v="78"/>
    <x v="1"/>
    <x v="1"/>
    <x v="4"/>
    <x v="4"/>
    <x v="42"/>
    <x v="163"/>
    <x v="7"/>
    <x v="276"/>
    <x v="0"/>
    <x v="0"/>
    <x v="0"/>
    <x v="738"/>
  </r>
  <r>
    <x v="739"/>
    <x v="51"/>
    <x v="2"/>
    <x v="0"/>
    <x v="4"/>
    <x v="8"/>
    <x v="120"/>
    <x v="307"/>
    <x v="3"/>
    <x v="50"/>
    <x v="3"/>
    <x v="1"/>
    <x v="1"/>
    <x v="739"/>
  </r>
  <r>
    <x v="740"/>
    <x v="45"/>
    <x v="2"/>
    <x v="1"/>
    <x v="4"/>
    <x v="0"/>
    <x v="313"/>
    <x v="102"/>
    <x v="8"/>
    <x v="185"/>
    <x v="1"/>
    <x v="0"/>
    <x v="0"/>
    <x v="740"/>
  </r>
  <r>
    <x v="741"/>
    <x v="57"/>
    <x v="2"/>
    <x v="0"/>
    <x v="0"/>
    <x v="6"/>
    <x v="314"/>
    <x v="274"/>
    <x v="3"/>
    <x v="15"/>
    <x v="1"/>
    <x v="0"/>
    <x v="0"/>
    <x v="741"/>
  </r>
  <r>
    <x v="742"/>
    <x v="6"/>
    <x v="1"/>
    <x v="1"/>
    <x v="0"/>
    <x v="0"/>
    <x v="125"/>
    <x v="300"/>
    <x v="2"/>
    <x v="32"/>
    <x v="0"/>
    <x v="0"/>
    <x v="0"/>
    <x v="742"/>
  </r>
  <r>
    <x v="743"/>
    <x v="50"/>
    <x v="2"/>
    <x v="0"/>
    <x v="0"/>
    <x v="4"/>
    <x v="106"/>
    <x v="103"/>
    <x v="7"/>
    <x v="10"/>
    <x v="0"/>
    <x v="0"/>
    <x v="0"/>
    <x v="743"/>
  </r>
  <r>
    <x v="744"/>
    <x v="19"/>
    <x v="2"/>
    <x v="1"/>
    <x v="2"/>
    <x v="20"/>
    <x v="314"/>
    <x v="274"/>
    <x v="3"/>
    <x v="248"/>
    <x v="0"/>
    <x v="1"/>
    <x v="1"/>
    <x v="744"/>
  </r>
  <r>
    <x v="745"/>
    <x v="25"/>
    <x v="2"/>
    <x v="1"/>
    <x v="1"/>
    <x v="3"/>
    <x v="88"/>
    <x v="179"/>
    <x v="7"/>
    <x v="94"/>
    <x v="1"/>
    <x v="0"/>
    <x v="0"/>
    <x v="745"/>
  </r>
  <r>
    <x v="746"/>
    <x v="84"/>
    <x v="1"/>
    <x v="1"/>
    <x v="2"/>
    <x v="3"/>
    <x v="289"/>
    <x v="138"/>
    <x v="13"/>
    <x v="45"/>
    <x v="1"/>
    <x v="0"/>
    <x v="0"/>
    <x v="746"/>
  </r>
  <r>
    <x v="747"/>
    <x v="68"/>
    <x v="0"/>
    <x v="1"/>
    <x v="2"/>
    <x v="21"/>
    <x v="315"/>
    <x v="270"/>
    <x v="14"/>
    <x v="116"/>
    <x v="0"/>
    <x v="1"/>
    <x v="1"/>
    <x v="747"/>
  </r>
  <r>
    <x v="748"/>
    <x v="82"/>
    <x v="2"/>
    <x v="1"/>
    <x v="4"/>
    <x v="11"/>
    <x v="218"/>
    <x v="156"/>
    <x v="7"/>
    <x v="119"/>
    <x v="2"/>
    <x v="0"/>
    <x v="0"/>
    <x v="748"/>
  </r>
  <r>
    <x v="749"/>
    <x v="35"/>
    <x v="1"/>
    <x v="0"/>
    <x v="1"/>
    <x v="10"/>
    <x v="168"/>
    <x v="227"/>
    <x v="0"/>
    <x v="263"/>
    <x v="2"/>
    <x v="1"/>
    <x v="1"/>
    <x v="749"/>
  </r>
  <r>
    <x v="750"/>
    <x v="60"/>
    <x v="1"/>
    <x v="1"/>
    <x v="4"/>
    <x v="13"/>
    <x v="221"/>
    <x v="147"/>
    <x v="10"/>
    <x v="104"/>
    <x v="3"/>
    <x v="0"/>
    <x v="0"/>
    <x v="750"/>
  </r>
  <r>
    <x v="751"/>
    <x v="57"/>
    <x v="2"/>
    <x v="0"/>
    <x v="4"/>
    <x v="20"/>
    <x v="271"/>
    <x v="281"/>
    <x v="1"/>
    <x v="138"/>
    <x v="0"/>
    <x v="0"/>
    <x v="0"/>
    <x v="751"/>
  </r>
  <r>
    <x v="752"/>
    <x v="42"/>
    <x v="2"/>
    <x v="0"/>
    <x v="4"/>
    <x v="17"/>
    <x v="144"/>
    <x v="24"/>
    <x v="2"/>
    <x v="189"/>
    <x v="3"/>
    <x v="0"/>
    <x v="0"/>
    <x v="752"/>
  </r>
  <r>
    <x v="753"/>
    <x v="9"/>
    <x v="3"/>
    <x v="1"/>
    <x v="4"/>
    <x v="8"/>
    <x v="82"/>
    <x v="267"/>
    <x v="0"/>
    <x v="228"/>
    <x v="1"/>
    <x v="0"/>
    <x v="0"/>
    <x v="753"/>
  </r>
  <r>
    <x v="754"/>
    <x v="72"/>
    <x v="0"/>
    <x v="0"/>
    <x v="4"/>
    <x v="22"/>
    <x v="316"/>
    <x v="310"/>
    <x v="0"/>
    <x v="186"/>
    <x v="3"/>
    <x v="0"/>
    <x v="0"/>
    <x v="754"/>
  </r>
  <r>
    <x v="755"/>
    <x v="37"/>
    <x v="2"/>
    <x v="0"/>
    <x v="2"/>
    <x v="8"/>
    <x v="138"/>
    <x v="233"/>
    <x v="5"/>
    <x v="135"/>
    <x v="1"/>
    <x v="0"/>
    <x v="0"/>
    <x v="755"/>
  </r>
  <r>
    <x v="756"/>
    <x v="81"/>
    <x v="1"/>
    <x v="1"/>
    <x v="1"/>
    <x v="19"/>
    <x v="159"/>
    <x v="208"/>
    <x v="2"/>
    <x v="82"/>
    <x v="1"/>
    <x v="0"/>
    <x v="0"/>
    <x v="756"/>
  </r>
  <r>
    <x v="757"/>
    <x v="40"/>
    <x v="4"/>
    <x v="0"/>
    <x v="3"/>
    <x v="17"/>
    <x v="147"/>
    <x v="295"/>
    <x v="7"/>
    <x v="72"/>
    <x v="2"/>
    <x v="0"/>
    <x v="0"/>
    <x v="757"/>
  </r>
  <r>
    <x v="758"/>
    <x v="8"/>
    <x v="0"/>
    <x v="0"/>
    <x v="2"/>
    <x v="8"/>
    <x v="239"/>
    <x v="286"/>
    <x v="7"/>
    <x v="236"/>
    <x v="3"/>
    <x v="0"/>
    <x v="0"/>
    <x v="758"/>
  </r>
  <r>
    <x v="759"/>
    <x v="56"/>
    <x v="1"/>
    <x v="1"/>
    <x v="4"/>
    <x v="10"/>
    <x v="202"/>
    <x v="214"/>
    <x v="7"/>
    <x v="259"/>
    <x v="0"/>
    <x v="0"/>
    <x v="0"/>
    <x v="759"/>
  </r>
  <r>
    <x v="760"/>
    <x v="9"/>
    <x v="3"/>
    <x v="0"/>
    <x v="3"/>
    <x v="7"/>
    <x v="148"/>
    <x v="208"/>
    <x v="1"/>
    <x v="142"/>
    <x v="1"/>
    <x v="0"/>
    <x v="0"/>
    <x v="760"/>
  </r>
  <r>
    <x v="761"/>
    <x v="42"/>
    <x v="2"/>
    <x v="0"/>
    <x v="1"/>
    <x v="20"/>
    <x v="51"/>
    <x v="51"/>
    <x v="3"/>
    <x v="199"/>
    <x v="0"/>
    <x v="0"/>
    <x v="0"/>
    <x v="761"/>
  </r>
  <r>
    <x v="762"/>
    <x v="17"/>
    <x v="4"/>
    <x v="1"/>
    <x v="2"/>
    <x v="23"/>
    <x v="317"/>
    <x v="23"/>
    <x v="13"/>
    <x v="9"/>
    <x v="1"/>
    <x v="0"/>
    <x v="0"/>
    <x v="762"/>
  </r>
  <r>
    <x v="763"/>
    <x v="15"/>
    <x v="2"/>
    <x v="1"/>
    <x v="2"/>
    <x v="14"/>
    <x v="80"/>
    <x v="61"/>
    <x v="2"/>
    <x v="69"/>
    <x v="2"/>
    <x v="0"/>
    <x v="0"/>
    <x v="763"/>
  </r>
  <r>
    <x v="764"/>
    <x v="44"/>
    <x v="2"/>
    <x v="0"/>
    <x v="3"/>
    <x v="23"/>
    <x v="296"/>
    <x v="62"/>
    <x v="4"/>
    <x v="247"/>
    <x v="0"/>
    <x v="0"/>
    <x v="0"/>
    <x v="764"/>
  </r>
  <r>
    <x v="765"/>
    <x v="88"/>
    <x v="3"/>
    <x v="1"/>
    <x v="3"/>
    <x v="1"/>
    <x v="84"/>
    <x v="311"/>
    <x v="6"/>
    <x v="117"/>
    <x v="0"/>
    <x v="0"/>
    <x v="0"/>
    <x v="765"/>
  </r>
  <r>
    <x v="766"/>
    <x v="45"/>
    <x v="2"/>
    <x v="0"/>
    <x v="0"/>
    <x v="1"/>
    <x v="315"/>
    <x v="169"/>
    <x v="3"/>
    <x v="64"/>
    <x v="1"/>
    <x v="0"/>
    <x v="0"/>
    <x v="766"/>
  </r>
  <r>
    <x v="767"/>
    <x v="40"/>
    <x v="4"/>
    <x v="1"/>
    <x v="0"/>
    <x v="7"/>
    <x v="187"/>
    <x v="86"/>
    <x v="1"/>
    <x v="97"/>
    <x v="2"/>
    <x v="0"/>
    <x v="0"/>
    <x v="767"/>
  </r>
  <r>
    <x v="768"/>
    <x v="38"/>
    <x v="4"/>
    <x v="0"/>
    <x v="1"/>
    <x v="9"/>
    <x v="189"/>
    <x v="170"/>
    <x v="8"/>
    <x v="280"/>
    <x v="3"/>
    <x v="1"/>
    <x v="1"/>
    <x v="768"/>
  </r>
  <r>
    <x v="769"/>
    <x v="67"/>
    <x v="0"/>
    <x v="1"/>
    <x v="3"/>
    <x v="21"/>
    <x v="318"/>
    <x v="232"/>
    <x v="0"/>
    <x v="173"/>
    <x v="0"/>
    <x v="0"/>
    <x v="0"/>
    <x v="769"/>
  </r>
  <r>
    <x v="770"/>
    <x v="17"/>
    <x v="4"/>
    <x v="1"/>
    <x v="2"/>
    <x v="4"/>
    <x v="232"/>
    <x v="312"/>
    <x v="1"/>
    <x v="183"/>
    <x v="2"/>
    <x v="0"/>
    <x v="0"/>
    <x v="770"/>
  </r>
  <r>
    <x v="771"/>
    <x v="2"/>
    <x v="2"/>
    <x v="0"/>
    <x v="4"/>
    <x v="17"/>
    <x v="76"/>
    <x v="57"/>
    <x v="8"/>
    <x v="222"/>
    <x v="2"/>
    <x v="0"/>
    <x v="0"/>
    <x v="771"/>
  </r>
  <r>
    <x v="772"/>
    <x v="12"/>
    <x v="0"/>
    <x v="1"/>
    <x v="0"/>
    <x v="20"/>
    <x v="57"/>
    <x v="299"/>
    <x v="13"/>
    <x v="7"/>
    <x v="0"/>
    <x v="0"/>
    <x v="0"/>
    <x v="772"/>
  </r>
  <r>
    <x v="773"/>
    <x v="76"/>
    <x v="1"/>
    <x v="0"/>
    <x v="2"/>
    <x v="17"/>
    <x v="49"/>
    <x v="175"/>
    <x v="5"/>
    <x v="51"/>
    <x v="0"/>
    <x v="0"/>
    <x v="0"/>
    <x v="773"/>
  </r>
  <r>
    <x v="774"/>
    <x v="16"/>
    <x v="3"/>
    <x v="1"/>
    <x v="3"/>
    <x v="21"/>
    <x v="7"/>
    <x v="283"/>
    <x v="11"/>
    <x v="150"/>
    <x v="0"/>
    <x v="1"/>
    <x v="1"/>
    <x v="774"/>
  </r>
  <r>
    <x v="775"/>
    <x v="61"/>
    <x v="1"/>
    <x v="0"/>
    <x v="4"/>
    <x v="15"/>
    <x v="40"/>
    <x v="14"/>
    <x v="8"/>
    <x v="78"/>
    <x v="0"/>
    <x v="0"/>
    <x v="0"/>
    <x v="775"/>
  </r>
  <r>
    <x v="776"/>
    <x v="57"/>
    <x v="2"/>
    <x v="0"/>
    <x v="2"/>
    <x v="3"/>
    <x v="244"/>
    <x v="243"/>
    <x v="11"/>
    <x v="112"/>
    <x v="3"/>
    <x v="0"/>
    <x v="0"/>
    <x v="776"/>
  </r>
  <r>
    <x v="777"/>
    <x v="29"/>
    <x v="2"/>
    <x v="1"/>
    <x v="1"/>
    <x v="8"/>
    <x v="21"/>
    <x v="53"/>
    <x v="4"/>
    <x v="197"/>
    <x v="2"/>
    <x v="0"/>
    <x v="0"/>
    <x v="777"/>
  </r>
  <r>
    <x v="778"/>
    <x v="39"/>
    <x v="4"/>
    <x v="0"/>
    <x v="3"/>
    <x v="10"/>
    <x v="67"/>
    <x v="16"/>
    <x v="12"/>
    <x v="123"/>
    <x v="0"/>
    <x v="0"/>
    <x v="0"/>
    <x v="778"/>
  </r>
  <r>
    <x v="779"/>
    <x v="48"/>
    <x v="1"/>
    <x v="1"/>
    <x v="0"/>
    <x v="9"/>
    <x v="8"/>
    <x v="1"/>
    <x v="2"/>
    <x v="36"/>
    <x v="2"/>
    <x v="0"/>
    <x v="0"/>
    <x v="779"/>
  </r>
  <r>
    <x v="780"/>
    <x v="86"/>
    <x v="2"/>
    <x v="1"/>
    <x v="0"/>
    <x v="22"/>
    <x v="319"/>
    <x v="147"/>
    <x v="5"/>
    <x v="131"/>
    <x v="1"/>
    <x v="0"/>
    <x v="0"/>
    <x v="780"/>
  </r>
  <r>
    <x v="781"/>
    <x v="76"/>
    <x v="1"/>
    <x v="0"/>
    <x v="3"/>
    <x v="10"/>
    <x v="10"/>
    <x v="9"/>
    <x v="3"/>
    <x v="2"/>
    <x v="2"/>
    <x v="1"/>
    <x v="1"/>
    <x v="781"/>
  </r>
  <r>
    <x v="782"/>
    <x v="21"/>
    <x v="1"/>
    <x v="0"/>
    <x v="0"/>
    <x v="18"/>
    <x v="150"/>
    <x v="153"/>
    <x v="4"/>
    <x v="281"/>
    <x v="0"/>
    <x v="0"/>
    <x v="0"/>
    <x v="782"/>
  </r>
  <r>
    <x v="783"/>
    <x v="8"/>
    <x v="0"/>
    <x v="0"/>
    <x v="1"/>
    <x v="17"/>
    <x v="22"/>
    <x v="308"/>
    <x v="5"/>
    <x v="127"/>
    <x v="1"/>
    <x v="0"/>
    <x v="0"/>
    <x v="783"/>
  </r>
  <r>
    <x v="784"/>
    <x v="17"/>
    <x v="4"/>
    <x v="1"/>
    <x v="2"/>
    <x v="2"/>
    <x v="245"/>
    <x v="126"/>
    <x v="10"/>
    <x v="121"/>
    <x v="3"/>
    <x v="0"/>
    <x v="0"/>
    <x v="784"/>
  </r>
  <r>
    <x v="785"/>
    <x v="21"/>
    <x v="1"/>
    <x v="0"/>
    <x v="2"/>
    <x v="23"/>
    <x v="229"/>
    <x v="303"/>
    <x v="7"/>
    <x v="24"/>
    <x v="0"/>
    <x v="0"/>
    <x v="0"/>
    <x v="785"/>
  </r>
  <r>
    <x v="786"/>
    <x v="19"/>
    <x v="2"/>
    <x v="0"/>
    <x v="3"/>
    <x v="1"/>
    <x v="194"/>
    <x v="153"/>
    <x v="11"/>
    <x v="4"/>
    <x v="0"/>
    <x v="0"/>
    <x v="0"/>
    <x v="786"/>
  </r>
  <r>
    <x v="787"/>
    <x v="36"/>
    <x v="2"/>
    <x v="1"/>
    <x v="3"/>
    <x v="22"/>
    <x v="185"/>
    <x v="128"/>
    <x v="12"/>
    <x v="281"/>
    <x v="1"/>
    <x v="1"/>
    <x v="1"/>
    <x v="787"/>
  </r>
  <r>
    <x v="788"/>
    <x v="58"/>
    <x v="1"/>
    <x v="0"/>
    <x v="2"/>
    <x v="12"/>
    <x v="292"/>
    <x v="243"/>
    <x v="10"/>
    <x v="24"/>
    <x v="3"/>
    <x v="1"/>
    <x v="1"/>
    <x v="788"/>
  </r>
  <r>
    <x v="789"/>
    <x v="22"/>
    <x v="0"/>
    <x v="0"/>
    <x v="4"/>
    <x v="8"/>
    <x v="113"/>
    <x v="73"/>
    <x v="9"/>
    <x v="175"/>
    <x v="1"/>
    <x v="0"/>
    <x v="0"/>
    <x v="789"/>
  </r>
  <r>
    <x v="790"/>
    <x v="48"/>
    <x v="1"/>
    <x v="1"/>
    <x v="0"/>
    <x v="16"/>
    <x v="216"/>
    <x v="313"/>
    <x v="1"/>
    <x v="268"/>
    <x v="0"/>
    <x v="0"/>
    <x v="0"/>
    <x v="790"/>
  </r>
  <r>
    <x v="791"/>
    <x v="3"/>
    <x v="2"/>
    <x v="0"/>
    <x v="3"/>
    <x v="16"/>
    <x v="3"/>
    <x v="314"/>
    <x v="11"/>
    <x v="8"/>
    <x v="2"/>
    <x v="0"/>
    <x v="0"/>
    <x v="791"/>
  </r>
  <r>
    <x v="792"/>
    <x v="48"/>
    <x v="1"/>
    <x v="1"/>
    <x v="1"/>
    <x v="20"/>
    <x v="310"/>
    <x v="307"/>
    <x v="4"/>
    <x v="60"/>
    <x v="1"/>
    <x v="0"/>
    <x v="0"/>
    <x v="792"/>
  </r>
  <r>
    <x v="793"/>
    <x v="67"/>
    <x v="0"/>
    <x v="0"/>
    <x v="3"/>
    <x v="14"/>
    <x v="174"/>
    <x v="41"/>
    <x v="3"/>
    <x v="282"/>
    <x v="3"/>
    <x v="0"/>
    <x v="0"/>
    <x v="793"/>
  </r>
  <r>
    <x v="794"/>
    <x v="48"/>
    <x v="1"/>
    <x v="1"/>
    <x v="4"/>
    <x v="13"/>
    <x v="58"/>
    <x v="218"/>
    <x v="7"/>
    <x v="245"/>
    <x v="3"/>
    <x v="0"/>
    <x v="0"/>
    <x v="794"/>
  </r>
  <r>
    <x v="795"/>
    <x v="21"/>
    <x v="1"/>
    <x v="1"/>
    <x v="0"/>
    <x v="23"/>
    <x v="101"/>
    <x v="203"/>
    <x v="13"/>
    <x v="95"/>
    <x v="1"/>
    <x v="0"/>
    <x v="0"/>
    <x v="795"/>
  </r>
  <r>
    <x v="796"/>
    <x v="30"/>
    <x v="2"/>
    <x v="1"/>
    <x v="3"/>
    <x v="18"/>
    <x v="278"/>
    <x v="228"/>
    <x v="3"/>
    <x v="171"/>
    <x v="2"/>
    <x v="0"/>
    <x v="0"/>
    <x v="796"/>
  </r>
  <r>
    <x v="797"/>
    <x v="84"/>
    <x v="1"/>
    <x v="0"/>
    <x v="0"/>
    <x v="6"/>
    <x v="134"/>
    <x v="182"/>
    <x v="4"/>
    <x v="210"/>
    <x v="0"/>
    <x v="0"/>
    <x v="0"/>
    <x v="797"/>
  </r>
  <r>
    <x v="798"/>
    <x v="64"/>
    <x v="1"/>
    <x v="0"/>
    <x v="3"/>
    <x v="4"/>
    <x v="224"/>
    <x v="247"/>
    <x v="10"/>
    <x v="62"/>
    <x v="0"/>
    <x v="0"/>
    <x v="0"/>
    <x v="798"/>
  </r>
  <r>
    <x v="799"/>
    <x v="27"/>
    <x v="1"/>
    <x v="0"/>
    <x v="0"/>
    <x v="22"/>
    <x v="278"/>
    <x v="315"/>
    <x v="11"/>
    <x v="195"/>
    <x v="1"/>
    <x v="1"/>
    <x v="1"/>
    <x v="799"/>
  </r>
  <r>
    <x v="800"/>
    <x v="43"/>
    <x v="0"/>
    <x v="1"/>
    <x v="2"/>
    <x v="8"/>
    <x v="299"/>
    <x v="185"/>
    <x v="8"/>
    <x v="30"/>
    <x v="3"/>
    <x v="0"/>
    <x v="0"/>
    <x v="800"/>
  </r>
  <r>
    <x v="801"/>
    <x v="49"/>
    <x v="1"/>
    <x v="0"/>
    <x v="2"/>
    <x v="3"/>
    <x v="303"/>
    <x v="35"/>
    <x v="13"/>
    <x v="25"/>
    <x v="2"/>
    <x v="0"/>
    <x v="0"/>
    <x v="801"/>
  </r>
  <r>
    <x v="802"/>
    <x v="47"/>
    <x v="3"/>
    <x v="0"/>
    <x v="3"/>
    <x v="22"/>
    <x v="314"/>
    <x v="146"/>
    <x v="6"/>
    <x v="258"/>
    <x v="0"/>
    <x v="0"/>
    <x v="0"/>
    <x v="802"/>
  </r>
  <r>
    <x v="803"/>
    <x v="57"/>
    <x v="2"/>
    <x v="1"/>
    <x v="4"/>
    <x v="12"/>
    <x v="291"/>
    <x v="44"/>
    <x v="5"/>
    <x v="28"/>
    <x v="3"/>
    <x v="0"/>
    <x v="0"/>
    <x v="803"/>
  </r>
  <r>
    <x v="804"/>
    <x v="0"/>
    <x v="0"/>
    <x v="1"/>
    <x v="4"/>
    <x v="1"/>
    <x v="69"/>
    <x v="90"/>
    <x v="6"/>
    <x v="278"/>
    <x v="3"/>
    <x v="1"/>
    <x v="1"/>
    <x v="804"/>
  </r>
  <r>
    <x v="805"/>
    <x v="70"/>
    <x v="3"/>
    <x v="0"/>
    <x v="0"/>
    <x v="19"/>
    <x v="266"/>
    <x v="159"/>
    <x v="6"/>
    <x v="241"/>
    <x v="1"/>
    <x v="0"/>
    <x v="0"/>
    <x v="805"/>
  </r>
  <r>
    <x v="806"/>
    <x v="21"/>
    <x v="1"/>
    <x v="1"/>
    <x v="1"/>
    <x v="9"/>
    <x v="281"/>
    <x v="141"/>
    <x v="2"/>
    <x v="150"/>
    <x v="1"/>
    <x v="0"/>
    <x v="0"/>
    <x v="806"/>
  </r>
  <r>
    <x v="807"/>
    <x v="27"/>
    <x v="1"/>
    <x v="1"/>
    <x v="3"/>
    <x v="3"/>
    <x v="188"/>
    <x v="316"/>
    <x v="12"/>
    <x v="0"/>
    <x v="2"/>
    <x v="0"/>
    <x v="0"/>
    <x v="807"/>
  </r>
  <r>
    <x v="808"/>
    <x v="40"/>
    <x v="4"/>
    <x v="0"/>
    <x v="3"/>
    <x v="9"/>
    <x v="320"/>
    <x v="155"/>
    <x v="14"/>
    <x v="212"/>
    <x v="0"/>
    <x v="0"/>
    <x v="0"/>
    <x v="808"/>
  </r>
  <r>
    <x v="809"/>
    <x v="77"/>
    <x v="2"/>
    <x v="1"/>
    <x v="3"/>
    <x v="4"/>
    <x v="321"/>
    <x v="317"/>
    <x v="2"/>
    <x v="93"/>
    <x v="0"/>
    <x v="0"/>
    <x v="0"/>
    <x v="809"/>
  </r>
  <r>
    <x v="810"/>
    <x v="51"/>
    <x v="2"/>
    <x v="0"/>
    <x v="2"/>
    <x v="11"/>
    <x v="172"/>
    <x v="318"/>
    <x v="7"/>
    <x v="72"/>
    <x v="1"/>
    <x v="0"/>
    <x v="0"/>
    <x v="810"/>
  </r>
  <r>
    <x v="811"/>
    <x v="76"/>
    <x v="1"/>
    <x v="1"/>
    <x v="4"/>
    <x v="24"/>
    <x v="136"/>
    <x v="319"/>
    <x v="11"/>
    <x v="107"/>
    <x v="3"/>
    <x v="0"/>
    <x v="0"/>
    <x v="811"/>
  </r>
  <r>
    <x v="812"/>
    <x v="74"/>
    <x v="1"/>
    <x v="1"/>
    <x v="1"/>
    <x v="7"/>
    <x v="322"/>
    <x v="278"/>
    <x v="12"/>
    <x v="283"/>
    <x v="1"/>
    <x v="1"/>
    <x v="1"/>
    <x v="812"/>
  </r>
  <r>
    <x v="813"/>
    <x v="15"/>
    <x v="2"/>
    <x v="1"/>
    <x v="2"/>
    <x v="0"/>
    <x v="0"/>
    <x v="265"/>
    <x v="2"/>
    <x v="45"/>
    <x v="3"/>
    <x v="0"/>
    <x v="0"/>
    <x v="813"/>
  </r>
  <r>
    <x v="814"/>
    <x v="79"/>
    <x v="4"/>
    <x v="1"/>
    <x v="4"/>
    <x v="4"/>
    <x v="90"/>
    <x v="66"/>
    <x v="4"/>
    <x v="15"/>
    <x v="3"/>
    <x v="0"/>
    <x v="0"/>
    <x v="814"/>
  </r>
  <r>
    <x v="815"/>
    <x v="67"/>
    <x v="0"/>
    <x v="0"/>
    <x v="1"/>
    <x v="2"/>
    <x v="21"/>
    <x v="226"/>
    <x v="13"/>
    <x v="72"/>
    <x v="3"/>
    <x v="1"/>
    <x v="1"/>
    <x v="815"/>
  </r>
  <r>
    <x v="816"/>
    <x v="17"/>
    <x v="4"/>
    <x v="1"/>
    <x v="4"/>
    <x v="10"/>
    <x v="1"/>
    <x v="305"/>
    <x v="14"/>
    <x v="143"/>
    <x v="1"/>
    <x v="1"/>
    <x v="1"/>
    <x v="816"/>
  </r>
  <r>
    <x v="817"/>
    <x v="59"/>
    <x v="2"/>
    <x v="0"/>
    <x v="1"/>
    <x v="2"/>
    <x v="299"/>
    <x v="68"/>
    <x v="2"/>
    <x v="106"/>
    <x v="2"/>
    <x v="1"/>
    <x v="1"/>
    <x v="817"/>
  </r>
  <r>
    <x v="818"/>
    <x v="86"/>
    <x v="2"/>
    <x v="1"/>
    <x v="4"/>
    <x v="23"/>
    <x v="169"/>
    <x v="109"/>
    <x v="1"/>
    <x v="259"/>
    <x v="0"/>
    <x v="0"/>
    <x v="0"/>
    <x v="818"/>
  </r>
  <r>
    <x v="819"/>
    <x v="18"/>
    <x v="1"/>
    <x v="1"/>
    <x v="2"/>
    <x v="12"/>
    <x v="48"/>
    <x v="28"/>
    <x v="9"/>
    <x v="79"/>
    <x v="1"/>
    <x v="1"/>
    <x v="1"/>
    <x v="819"/>
  </r>
  <r>
    <x v="820"/>
    <x v="31"/>
    <x v="3"/>
    <x v="0"/>
    <x v="4"/>
    <x v="4"/>
    <x v="265"/>
    <x v="205"/>
    <x v="4"/>
    <x v="123"/>
    <x v="3"/>
    <x v="0"/>
    <x v="0"/>
    <x v="820"/>
  </r>
  <r>
    <x v="821"/>
    <x v="37"/>
    <x v="2"/>
    <x v="1"/>
    <x v="1"/>
    <x v="19"/>
    <x v="215"/>
    <x v="320"/>
    <x v="14"/>
    <x v="229"/>
    <x v="2"/>
    <x v="0"/>
    <x v="0"/>
    <x v="821"/>
  </r>
  <r>
    <x v="822"/>
    <x v="32"/>
    <x v="1"/>
    <x v="1"/>
    <x v="1"/>
    <x v="13"/>
    <x v="290"/>
    <x v="23"/>
    <x v="4"/>
    <x v="233"/>
    <x v="1"/>
    <x v="0"/>
    <x v="0"/>
    <x v="822"/>
  </r>
  <r>
    <x v="823"/>
    <x v="54"/>
    <x v="1"/>
    <x v="1"/>
    <x v="1"/>
    <x v="7"/>
    <x v="211"/>
    <x v="281"/>
    <x v="8"/>
    <x v="88"/>
    <x v="3"/>
    <x v="1"/>
    <x v="1"/>
    <x v="823"/>
  </r>
  <r>
    <x v="824"/>
    <x v="10"/>
    <x v="3"/>
    <x v="1"/>
    <x v="0"/>
    <x v="5"/>
    <x v="198"/>
    <x v="196"/>
    <x v="0"/>
    <x v="130"/>
    <x v="3"/>
    <x v="1"/>
    <x v="1"/>
    <x v="824"/>
  </r>
  <r>
    <x v="825"/>
    <x v="28"/>
    <x v="3"/>
    <x v="1"/>
    <x v="4"/>
    <x v="3"/>
    <x v="139"/>
    <x v="75"/>
    <x v="5"/>
    <x v="86"/>
    <x v="3"/>
    <x v="0"/>
    <x v="0"/>
    <x v="825"/>
  </r>
  <r>
    <x v="826"/>
    <x v="52"/>
    <x v="2"/>
    <x v="0"/>
    <x v="0"/>
    <x v="6"/>
    <x v="88"/>
    <x v="42"/>
    <x v="1"/>
    <x v="264"/>
    <x v="2"/>
    <x v="0"/>
    <x v="0"/>
    <x v="826"/>
  </r>
  <r>
    <x v="827"/>
    <x v="13"/>
    <x v="2"/>
    <x v="1"/>
    <x v="1"/>
    <x v="8"/>
    <x v="236"/>
    <x v="177"/>
    <x v="12"/>
    <x v="281"/>
    <x v="1"/>
    <x v="1"/>
    <x v="1"/>
    <x v="827"/>
  </r>
  <r>
    <x v="828"/>
    <x v="77"/>
    <x v="2"/>
    <x v="0"/>
    <x v="2"/>
    <x v="5"/>
    <x v="62"/>
    <x v="156"/>
    <x v="2"/>
    <x v="122"/>
    <x v="0"/>
    <x v="0"/>
    <x v="0"/>
    <x v="828"/>
  </r>
  <r>
    <x v="829"/>
    <x v="83"/>
    <x v="2"/>
    <x v="0"/>
    <x v="4"/>
    <x v="6"/>
    <x v="175"/>
    <x v="7"/>
    <x v="14"/>
    <x v="239"/>
    <x v="0"/>
    <x v="0"/>
    <x v="0"/>
    <x v="829"/>
  </r>
  <r>
    <x v="830"/>
    <x v="36"/>
    <x v="2"/>
    <x v="0"/>
    <x v="4"/>
    <x v="24"/>
    <x v="269"/>
    <x v="11"/>
    <x v="11"/>
    <x v="37"/>
    <x v="0"/>
    <x v="0"/>
    <x v="0"/>
    <x v="830"/>
  </r>
  <r>
    <x v="831"/>
    <x v="61"/>
    <x v="1"/>
    <x v="0"/>
    <x v="3"/>
    <x v="24"/>
    <x v="44"/>
    <x v="301"/>
    <x v="9"/>
    <x v="180"/>
    <x v="1"/>
    <x v="1"/>
    <x v="1"/>
    <x v="831"/>
  </r>
  <r>
    <x v="832"/>
    <x v="25"/>
    <x v="2"/>
    <x v="1"/>
    <x v="0"/>
    <x v="8"/>
    <x v="39"/>
    <x v="66"/>
    <x v="0"/>
    <x v="203"/>
    <x v="1"/>
    <x v="1"/>
    <x v="1"/>
    <x v="832"/>
  </r>
  <r>
    <x v="833"/>
    <x v="50"/>
    <x v="2"/>
    <x v="0"/>
    <x v="3"/>
    <x v="17"/>
    <x v="231"/>
    <x v="321"/>
    <x v="10"/>
    <x v="9"/>
    <x v="3"/>
    <x v="0"/>
    <x v="0"/>
    <x v="833"/>
  </r>
  <r>
    <x v="834"/>
    <x v="55"/>
    <x v="2"/>
    <x v="1"/>
    <x v="0"/>
    <x v="24"/>
    <x v="126"/>
    <x v="132"/>
    <x v="12"/>
    <x v="71"/>
    <x v="2"/>
    <x v="0"/>
    <x v="0"/>
    <x v="834"/>
  </r>
  <r>
    <x v="835"/>
    <x v="70"/>
    <x v="3"/>
    <x v="0"/>
    <x v="3"/>
    <x v="21"/>
    <x v="177"/>
    <x v="136"/>
    <x v="4"/>
    <x v="66"/>
    <x v="0"/>
    <x v="1"/>
    <x v="1"/>
    <x v="835"/>
  </r>
  <r>
    <x v="836"/>
    <x v="21"/>
    <x v="1"/>
    <x v="0"/>
    <x v="3"/>
    <x v="21"/>
    <x v="323"/>
    <x v="116"/>
    <x v="9"/>
    <x v="104"/>
    <x v="0"/>
    <x v="0"/>
    <x v="0"/>
    <x v="836"/>
  </r>
  <r>
    <x v="837"/>
    <x v="57"/>
    <x v="2"/>
    <x v="1"/>
    <x v="0"/>
    <x v="3"/>
    <x v="324"/>
    <x v="254"/>
    <x v="5"/>
    <x v="152"/>
    <x v="1"/>
    <x v="0"/>
    <x v="0"/>
    <x v="837"/>
  </r>
  <r>
    <x v="838"/>
    <x v="84"/>
    <x v="1"/>
    <x v="1"/>
    <x v="3"/>
    <x v="9"/>
    <x v="240"/>
    <x v="15"/>
    <x v="9"/>
    <x v="250"/>
    <x v="3"/>
    <x v="0"/>
    <x v="0"/>
    <x v="838"/>
  </r>
  <r>
    <x v="839"/>
    <x v="11"/>
    <x v="1"/>
    <x v="1"/>
    <x v="3"/>
    <x v="16"/>
    <x v="203"/>
    <x v="157"/>
    <x v="4"/>
    <x v="63"/>
    <x v="1"/>
    <x v="0"/>
    <x v="0"/>
    <x v="839"/>
  </r>
  <r>
    <x v="840"/>
    <x v="27"/>
    <x v="1"/>
    <x v="0"/>
    <x v="3"/>
    <x v="18"/>
    <x v="54"/>
    <x v="57"/>
    <x v="7"/>
    <x v="284"/>
    <x v="0"/>
    <x v="0"/>
    <x v="0"/>
    <x v="840"/>
  </r>
  <r>
    <x v="841"/>
    <x v="19"/>
    <x v="2"/>
    <x v="0"/>
    <x v="2"/>
    <x v="24"/>
    <x v="127"/>
    <x v="114"/>
    <x v="10"/>
    <x v="216"/>
    <x v="0"/>
    <x v="0"/>
    <x v="0"/>
    <x v="841"/>
  </r>
  <r>
    <x v="842"/>
    <x v="89"/>
    <x v="0"/>
    <x v="0"/>
    <x v="1"/>
    <x v="13"/>
    <x v="288"/>
    <x v="151"/>
    <x v="2"/>
    <x v="42"/>
    <x v="2"/>
    <x v="0"/>
    <x v="0"/>
    <x v="842"/>
  </r>
  <r>
    <x v="843"/>
    <x v="28"/>
    <x v="3"/>
    <x v="1"/>
    <x v="3"/>
    <x v="2"/>
    <x v="325"/>
    <x v="190"/>
    <x v="1"/>
    <x v="43"/>
    <x v="1"/>
    <x v="0"/>
    <x v="0"/>
    <x v="843"/>
  </r>
  <r>
    <x v="844"/>
    <x v="30"/>
    <x v="2"/>
    <x v="0"/>
    <x v="2"/>
    <x v="24"/>
    <x v="158"/>
    <x v="315"/>
    <x v="7"/>
    <x v="204"/>
    <x v="0"/>
    <x v="0"/>
    <x v="0"/>
    <x v="844"/>
  </r>
  <r>
    <x v="845"/>
    <x v="19"/>
    <x v="2"/>
    <x v="0"/>
    <x v="3"/>
    <x v="5"/>
    <x v="55"/>
    <x v="170"/>
    <x v="7"/>
    <x v="184"/>
    <x v="3"/>
    <x v="0"/>
    <x v="0"/>
    <x v="845"/>
  </r>
  <r>
    <x v="846"/>
    <x v="23"/>
    <x v="3"/>
    <x v="0"/>
    <x v="3"/>
    <x v="9"/>
    <x v="211"/>
    <x v="221"/>
    <x v="10"/>
    <x v="78"/>
    <x v="1"/>
    <x v="1"/>
    <x v="1"/>
    <x v="846"/>
  </r>
  <r>
    <x v="847"/>
    <x v="11"/>
    <x v="1"/>
    <x v="1"/>
    <x v="3"/>
    <x v="10"/>
    <x v="170"/>
    <x v="322"/>
    <x v="12"/>
    <x v="228"/>
    <x v="0"/>
    <x v="0"/>
    <x v="0"/>
    <x v="847"/>
  </r>
  <r>
    <x v="848"/>
    <x v="53"/>
    <x v="1"/>
    <x v="0"/>
    <x v="0"/>
    <x v="24"/>
    <x v="60"/>
    <x v="13"/>
    <x v="0"/>
    <x v="177"/>
    <x v="2"/>
    <x v="1"/>
    <x v="1"/>
    <x v="848"/>
  </r>
  <r>
    <x v="849"/>
    <x v="20"/>
    <x v="1"/>
    <x v="1"/>
    <x v="1"/>
    <x v="10"/>
    <x v="74"/>
    <x v="68"/>
    <x v="1"/>
    <x v="220"/>
    <x v="3"/>
    <x v="1"/>
    <x v="1"/>
    <x v="849"/>
  </r>
  <r>
    <x v="850"/>
    <x v="54"/>
    <x v="1"/>
    <x v="0"/>
    <x v="4"/>
    <x v="5"/>
    <x v="61"/>
    <x v="323"/>
    <x v="12"/>
    <x v="285"/>
    <x v="0"/>
    <x v="0"/>
    <x v="0"/>
    <x v="850"/>
  </r>
  <r>
    <x v="851"/>
    <x v="31"/>
    <x v="3"/>
    <x v="1"/>
    <x v="3"/>
    <x v="11"/>
    <x v="229"/>
    <x v="303"/>
    <x v="7"/>
    <x v="234"/>
    <x v="3"/>
    <x v="0"/>
    <x v="0"/>
    <x v="851"/>
  </r>
  <r>
    <x v="852"/>
    <x v="13"/>
    <x v="2"/>
    <x v="0"/>
    <x v="2"/>
    <x v="5"/>
    <x v="161"/>
    <x v="135"/>
    <x v="2"/>
    <x v="286"/>
    <x v="2"/>
    <x v="0"/>
    <x v="0"/>
    <x v="852"/>
  </r>
  <r>
    <x v="853"/>
    <x v="74"/>
    <x v="1"/>
    <x v="0"/>
    <x v="1"/>
    <x v="22"/>
    <x v="5"/>
    <x v="324"/>
    <x v="2"/>
    <x v="148"/>
    <x v="0"/>
    <x v="0"/>
    <x v="0"/>
    <x v="853"/>
  </r>
  <r>
    <x v="854"/>
    <x v="80"/>
    <x v="3"/>
    <x v="0"/>
    <x v="3"/>
    <x v="7"/>
    <x v="244"/>
    <x v="134"/>
    <x v="1"/>
    <x v="118"/>
    <x v="3"/>
    <x v="0"/>
    <x v="0"/>
    <x v="854"/>
  </r>
  <r>
    <x v="855"/>
    <x v="56"/>
    <x v="1"/>
    <x v="0"/>
    <x v="4"/>
    <x v="9"/>
    <x v="100"/>
    <x v="187"/>
    <x v="3"/>
    <x v="196"/>
    <x v="2"/>
    <x v="0"/>
    <x v="0"/>
    <x v="855"/>
  </r>
  <r>
    <x v="856"/>
    <x v="43"/>
    <x v="0"/>
    <x v="1"/>
    <x v="1"/>
    <x v="4"/>
    <x v="166"/>
    <x v="291"/>
    <x v="5"/>
    <x v="275"/>
    <x v="2"/>
    <x v="0"/>
    <x v="0"/>
    <x v="856"/>
  </r>
  <r>
    <x v="857"/>
    <x v="35"/>
    <x v="1"/>
    <x v="1"/>
    <x v="1"/>
    <x v="20"/>
    <x v="70"/>
    <x v="91"/>
    <x v="5"/>
    <x v="100"/>
    <x v="2"/>
    <x v="1"/>
    <x v="1"/>
    <x v="857"/>
  </r>
  <r>
    <x v="858"/>
    <x v="80"/>
    <x v="3"/>
    <x v="1"/>
    <x v="3"/>
    <x v="8"/>
    <x v="168"/>
    <x v="227"/>
    <x v="0"/>
    <x v="154"/>
    <x v="0"/>
    <x v="1"/>
    <x v="1"/>
    <x v="858"/>
  </r>
  <r>
    <x v="859"/>
    <x v="52"/>
    <x v="2"/>
    <x v="0"/>
    <x v="1"/>
    <x v="23"/>
    <x v="326"/>
    <x v="180"/>
    <x v="6"/>
    <x v="225"/>
    <x v="0"/>
    <x v="1"/>
    <x v="1"/>
    <x v="859"/>
  </r>
  <r>
    <x v="860"/>
    <x v="33"/>
    <x v="1"/>
    <x v="0"/>
    <x v="1"/>
    <x v="8"/>
    <x v="198"/>
    <x v="49"/>
    <x v="2"/>
    <x v="48"/>
    <x v="3"/>
    <x v="1"/>
    <x v="1"/>
    <x v="860"/>
  </r>
  <r>
    <x v="861"/>
    <x v="43"/>
    <x v="0"/>
    <x v="0"/>
    <x v="2"/>
    <x v="23"/>
    <x v="216"/>
    <x v="151"/>
    <x v="9"/>
    <x v="19"/>
    <x v="0"/>
    <x v="0"/>
    <x v="0"/>
    <x v="861"/>
  </r>
  <r>
    <x v="862"/>
    <x v="76"/>
    <x v="1"/>
    <x v="1"/>
    <x v="3"/>
    <x v="6"/>
    <x v="237"/>
    <x v="178"/>
    <x v="14"/>
    <x v="62"/>
    <x v="3"/>
    <x v="1"/>
    <x v="1"/>
    <x v="862"/>
  </r>
  <r>
    <x v="863"/>
    <x v="88"/>
    <x v="3"/>
    <x v="0"/>
    <x v="4"/>
    <x v="1"/>
    <x v="253"/>
    <x v="144"/>
    <x v="4"/>
    <x v="52"/>
    <x v="2"/>
    <x v="0"/>
    <x v="0"/>
    <x v="863"/>
  </r>
  <r>
    <x v="864"/>
    <x v="75"/>
    <x v="4"/>
    <x v="0"/>
    <x v="3"/>
    <x v="22"/>
    <x v="126"/>
    <x v="2"/>
    <x v="7"/>
    <x v="179"/>
    <x v="3"/>
    <x v="0"/>
    <x v="0"/>
    <x v="864"/>
  </r>
  <r>
    <x v="865"/>
    <x v="56"/>
    <x v="1"/>
    <x v="1"/>
    <x v="3"/>
    <x v="24"/>
    <x v="156"/>
    <x v="52"/>
    <x v="4"/>
    <x v="75"/>
    <x v="2"/>
    <x v="0"/>
    <x v="0"/>
    <x v="865"/>
  </r>
  <r>
    <x v="866"/>
    <x v="42"/>
    <x v="2"/>
    <x v="0"/>
    <x v="4"/>
    <x v="0"/>
    <x v="67"/>
    <x v="71"/>
    <x v="0"/>
    <x v="260"/>
    <x v="0"/>
    <x v="0"/>
    <x v="0"/>
    <x v="866"/>
  </r>
  <r>
    <x v="867"/>
    <x v="58"/>
    <x v="1"/>
    <x v="1"/>
    <x v="0"/>
    <x v="10"/>
    <x v="39"/>
    <x v="325"/>
    <x v="3"/>
    <x v="20"/>
    <x v="0"/>
    <x v="0"/>
    <x v="0"/>
    <x v="867"/>
  </r>
  <r>
    <x v="868"/>
    <x v="5"/>
    <x v="2"/>
    <x v="1"/>
    <x v="2"/>
    <x v="0"/>
    <x v="103"/>
    <x v="326"/>
    <x v="10"/>
    <x v="89"/>
    <x v="1"/>
    <x v="0"/>
    <x v="0"/>
    <x v="868"/>
  </r>
  <r>
    <x v="869"/>
    <x v="85"/>
    <x v="1"/>
    <x v="0"/>
    <x v="0"/>
    <x v="7"/>
    <x v="247"/>
    <x v="327"/>
    <x v="13"/>
    <x v="282"/>
    <x v="0"/>
    <x v="0"/>
    <x v="0"/>
    <x v="869"/>
  </r>
  <r>
    <x v="870"/>
    <x v="34"/>
    <x v="4"/>
    <x v="1"/>
    <x v="2"/>
    <x v="6"/>
    <x v="137"/>
    <x v="323"/>
    <x v="5"/>
    <x v="202"/>
    <x v="0"/>
    <x v="0"/>
    <x v="0"/>
    <x v="870"/>
  </r>
  <r>
    <x v="871"/>
    <x v="28"/>
    <x v="3"/>
    <x v="0"/>
    <x v="0"/>
    <x v="3"/>
    <x v="306"/>
    <x v="11"/>
    <x v="0"/>
    <x v="199"/>
    <x v="3"/>
    <x v="1"/>
    <x v="1"/>
    <x v="871"/>
  </r>
  <r>
    <x v="872"/>
    <x v="78"/>
    <x v="1"/>
    <x v="0"/>
    <x v="4"/>
    <x v="24"/>
    <x v="101"/>
    <x v="220"/>
    <x v="8"/>
    <x v="248"/>
    <x v="2"/>
    <x v="1"/>
    <x v="1"/>
    <x v="872"/>
  </r>
  <r>
    <x v="873"/>
    <x v="76"/>
    <x v="1"/>
    <x v="0"/>
    <x v="4"/>
    <x v="10"/>
    <x v="259"/>
    <x v="328"/>
    <x v="6"/>
    <x v="7"/>
    <x v="0"/>
    <x v="0"/>
    <x v="0"/>
    <x v="873"/>
  </r>
  <r>
    <x v="874"/>
    <x v="4"/>
    <x v="1"/>
    <x v="1"/>
    <x v="0"/>
    <x v="2"/>
    <x v="46"/>
    <x v="154"/>
    <x v="3"/>
    <x v="50"/>
    <x v="3"/>
    <x v="0"/>
    <x v="0"/>
    <x v="874"/>
  </r>
  <r>
    <x v="875"/>
    <x v="51"/>
    <x v="2"/>
    <x v="0"/>
    <x v="2"/>
    <x v="12"/>
    <x v="327"/>
    <x v="43"/>
    <x v="11"/>
    <x v="107"/>
    <x v="0"/>
    <x v="1"/>
    <x v="1"/>
    <x v="875"/>
  </r>
  <r>
    <x v="876"/>
    <x v="41"/>
    <x v="1"/>
    <x v="1"/>
    <x v="1"/>
    <x v="23"/>
    <x v="277"/>
    <x v="329"/>
    <x v="2"/>
    <x v="9"/>
    <x v="3"/>
    <x v="0"/>
    <x v="0"/>
    <x v="876"/>
  </r>
  <r>
    <x v="877"/>
    <x v="67"/>
    <x v="0"/>
    <x v="1"/>
    <x v="2"/>
    <x v="11"/>
    <x v="216"/>
    <x v="22"/>
    <x v="11"/>
    <x v="219"/>
    <x v="1"/>
    <x v="1"/>
    <x v="1"/>
    <x v="877"/>
  </r>
  <r>
    <x v="878"/>
    <x v="20"/>
    <x v="1"/>
    <x v="0"/>
    <x v="4"/>
    <x v="16"/>
    <x v="155"/>
    <x v="92"/>
    <x v="2"/>
    <x v="225"/>
    <x v="1"/>
    <x v="0"/>
    <x v="0"/>
    <x v="878"/>
  </r>
  <r>
    <x v="879"/>
    <x v="78"/>
    <x v="1"/>
    <x v="1"/>
    <x v="2"/>
    <x v="6"/>
    <x v="78"/>
    <x v="123"/>
    <x v="7"/>
    <x v="45"/>
    <x v="1"/>
    <x v="1"/>
    <x v="1"/>
    <x v="879"/>
  </r>
  <r>
    <x v="880"/>
    <x v="67"/>
    <x v="0"/>
    <x v="0"/>
    <x v="3"/>
    <x v="3"/>
    <x v="66"/>
    <x v="86"/>
    <x v="0"/>
    <x v="196"/>
    <x v="1"/>
    <x v="0"/>
    <x v="0"/>
    <x v="880"/>
  </r>
  <r>
    <x v="881"/>
    <x v="45"/>
    <x v="2"/>
    <x v="0"/>
    <x v="0"/>
    <x v="19"/>
    <x v="208"/>
    <x v="62"/>
    <x v="9"/>
    <x v="149"/>
    <x v="1"/>
    <x v="0"/>
    <x v="0"/>
    <x v="881"/>
  </r>
  <r>
    <x v="882"/>
    <x v="34"/>
    <x v="4"/>
    <x v="1"/>
    <x v="4"/>
    <x v="5"/>
    <x v="1"/>
    <x v="13"/>
    <x v="9"/>
    <x v="153"/>
    <x v="1"/>
    <x v="0"/>
    <x v="0"/>
    <x v="882"/>
  </r>
  <r>
    <x v="883"/>
    <x v="19"/>
    <x v="2"/>
    <x v="0"/>
    <x v="2"/>
    <x v="3"/>
    <x v="77"/>
    <x v="251"/>
    <x v="0"/>
    <x v="129"/>
    <x v="3"/>
    <x v="0"/>
    <x v="0"/>
    <x v="883"/>
  </r>
  <r>
    <x v="884"/>
    <x v="4"/>
    <x v="1"/>
    <x v="1"/>
    <x v="4"/>
    <x v="20"/>
    <x v="148"/>
    <x v="121"/>
    <x v="10"/>
    <x v="147"/>
    <x v="2"/>
    <x v="1"/>
    <x v="1"/>
    <x v="884"/>
  </r>
  <r>
    <x v="885"/>
    <x v="59"/>
    <x v="2"/>
    <x v="1"/>
    <x v="4"/>
    <x v="1"/>
    <x v="18"/>
    <x v="180"/>
    <x v="0"/>
    <x v="90"/>
    <x v="2"/>
    <x v="1"/>
    <x v="1"/>
    <x v="885"/>
  </r>
  <r>
    <x v="886"/>
    <x v="22"/>
    <x v="0"/>
    <x v="0"/>
    <x v="0"/>
    <x v="8"/>
    <x v="54"/>
    <x v="272"/>
    <x v="0"/>
    <x v="30"/>
    <x v="3"/>
    <x v="0"/>
    <x v="0"/>
    <x v="886"/>
  </r>
  <r>
    <x v="887"/>
    <x v="86"/>
    <x v="2"/>
    <x v="0"/>
    <x v="4"/>
    <x v="14"/>
    <x v="249"/>
    <x v="330"/>
    <x v="9"/>
    <x v="131"/>
    <x v="3"/>
    <x v="1"/>
    <x v="1"/>
    <x v="887"/>
  </r>
  <r>
    <x v="888"/>
    <x v="42"/>
    <x v="2"/>
    <x v="1"/>
    <x v="0"/>
    <x v="10"/>
    <x v="328"/>
    <x v="16"/>
    <x v="2"/>
    <x v="56"/>
    <x v="3"/>
    <x v="1"/>
    <x v="1"/>
    <x v="888"/>
  </r>
  <r>
    <x v="889"/>
    <x v="64"/>
    <x v="1"/>
    <x v="1"/>
    <x v="0"/>
    <x v="1"/>
    <x v="261"/>
    <x v="61"/>
    <x v="9"/>
    <x v="59"/>
    <x v="0"/>
    <x v="0"/>
    <x v="0"/>
    <x v="889"/>
  </r>
  <r>
    <x v="890"/>
    <x v="40"/>
    <x v="4"/>
    <x v="0"/>
    <x v="1"/>
    <x v="21"/>
    <x v="304"/>
    <x v="26"/>
    <x v="14"/>
    <x v="214"/>
    <x v="1"/>
    <x v="0"/>
    <x v="0"/>
    <x v="890"/>
  </r>
  <r>
    <x v="891"/>
    <x v="44"/>
    <x v="2"/>
    <x v="0"/>
    <x v="4"/>
    <x v="20"/>
    <x v="121"/>
    <x v="90"/>
    <x v="0"/>
    <x v="91"/>
    <x v="3"/>
    <x v="0"/>
    <x v="0"/>
    <x v="891"/>
  </r>
  <r>
    <x v="892"/>
    <x v="48"/>
    <x v="1"/>
    <x v="0"/>
    <x v="1"/>
    <x v="20"/>
    <x v="112"/>
    <x v="331"/>
    <x v="13"/>
    <x v="147"/>
    <x v="2"/>
    <x v="0"/>
    <x v="0"/>
    <x v="892"/>
  </r>
  <r>
    <x v="893"/>
    <x v="40"/>
    <x v="4"/>
    <x v="0"/>
    <x v="1"/>
    <x v="11"/>
    <x v="328"/>
    <x v="169"/>
    <x v="1"/>
    <x v="277"/>
    <x v="3"/>
    <x v="0"/>
    <x v="0"/>
    <x v="893"/>
  </r>
  <r>
    <x v="894"/>
    <x v="46"/>
    <x v="2"/>
    <x v="0"/>
    <x v="3"/>
    <x v="3"/>
    <x v="225"/>
    <x v="213"/>
    <x v="14"/>
    <x v="21"/>
    <x v="2"/>
    <x v="1"/>
    <x v="1"/>
    <x v="894"/>
  </r>
  <r>
    <x v="895"/>
    <x v="47"/>
    <x v="3"/>
    <x v="0"/>
    <x v="1"/>
    <x v="6"/>
    <x v="232"/>
    <x v="101"/>
    <x v="7"/>
    <x v="218"/>
    <x v="3"/>
    <x v="0"/>
    <x v="0"/>
    <x v="895"/>
  </r>
  <r>
    <x v="896"/>
    <x v="68"/>
    <x v="0"/>
    <x v="0"/>
    <x v="4"/>
    <x v="18"/>
    <x v="329"/>
    <x v="133"/>
    <x v="9"/>
    <x v="180"/>
    <x v="2"/>
    <x v="0"/>
    <x v="0"/>
    <x v="896"/>
  </r>
  <r>
    <x v="897"/>
    <x v="45"/>
    <x v="2"/>
    <x v="1"/>
    <x v="2"/>
    <x v="9"/>
    <x v="306"/>
    <x v="251"/>
    <x v="13"/>
    <x v="39"/>
    <x v="0"/>
    <x v="0"/>
    <x v="0"/>
    <x v="897"/>
  </r>
  <r>
    <x v="898"/>
    <x v="43"/>
    <x v="0"/>
    <x v="1"/>
    <x v="2"/>
    <x v="17"/>
    <x v="84"/>
    <x v="175"/>
    <x v="14"/>
    <x v="280"/>
    <x v="1"/>
    <x v="0"/>
    <x v="0"/>
    <x v="898"/>
  </r>
  <r>
    <x v="899"/>
    <x v="33"/>
    <x v="1"/>
    <x v="0"/>
    <x v="1"/>
    <x v="15"/>
    <x v="81"/>
    <x v="242"/>
    <x v="5"/>
    <x v="168"/>
    <x v="3"/>
    <x v="0"/>
    <x v="0"/>
    <x v="899"/>
  </r>
  <r>
    <x v="900"/>
    <x v="30"/>
    <x v="2"/>
    <x v="1"/>
    <x v="3"/>
    <x v="19"/>
    <x v="168"/>
    <x v="329"/>
    <x v="3"/>
    <x v="164"/>
    <x v="1"/>
    <x v="1"/>
    <x v="1"/>
    <x v="900"/>
  </r>
  <r>
    <x v="901"/>
    <x v="17"/>
    <x v="4"/>
    <x v="1"/>
    <x v="4"/>
    <x v="24"/>
    <x v="76"/>
    <x v="19"/>
    <x v="0"/>
    <x v="207"/>
    <x v="1"/>
    <x v="0"/>
    <x v="0"/>
    <x v="901"/>
  </r>
  <r>
    <x v="902"/>
    <x v="58"/>
    <x v="1"/>
    <x v="1"/>
    <x v="1"/>
    <x v="6"/>
    <x v="184"/>
    <x v="332"/>
    <x v="11"/>
    <x v="114"/>
    <x v="2"/>
    <x v="0"/>
    <x v="0"/>
    <x v="902"/>
  </r>
  <r>
    <x v="903"/>
    <x v="77"/>
    <x v="2"/>
    <x v="1"/>
    <x v="4"/>
    <x v="24"/>
    <x v="300"/>
    <x v="333"/>
    <x v="4"/>
    <x v="80"/>
    <x v="1"/>
    <x v="0"/>
    <x v="0"/>
    <x v="903"/>
  </r>
  <r>
    <x v="904"/>
    <x v="14"/>
    <x v="3"/>
    <x v="1"/>
    <x v="2"/>
    <x v="14"/>
    <x v="115"/>
    <x v="122"/>
    <x v="1"/>
    <x v="212"/>
    <x v="3"/>
    <x v="1"/>
    <x v="1"/>
    <x v="904"/>
  </r>
  <r>
    <x v="905"/>
    <x v="25"/>
    <x v="2"/>
    <x v="0"/>
    <x v="2"/>
    <x v="22"/>
    <x v="183"/>
    <x v="95"/>
    <x v="1"/>
    <x v="143"/>
    <x v="3"/>
    <x v="0"/>
    <x v="0"/>
    <x v="905"/>
  </r>
  <r>
    <x v="906"/>
    <x v="43"/>
    <x v="0"/>
    <x v="0"/>
    <x v="2"/>
    <x v="14"/>
    <x v="287"/>
    <x v="126"/>
    <x v="6"/>
    <x v="208"/>
    <x v="2"/>
    <x v="0"/>
    <x v="0"/>
    <x v="906"/>
  </r>
  <r>
    <x v="907"/>
    <x v="19"/>
    <x v="2"/>
    <x v="1"/>
    <x v="2"/>
    <x v="4"/>
    <x v="313"/>
    <x v="60"/>
    <x v="11"/>
    <x v="97"/>
    <x v="1"/>
    <x v="0"/>
    <x v="0"/>
    <x v="907"/>
  </r>
  <r>
    <x v="908"/>
    <x v="85"/>
    <x v="1"/>
    <x v="0"/>
    <x v="1"/>
    <x v="19"/>
    <x v="174"/>
    <x v="334"/>
    <x v="11"/>
    <x v="100"/>
    <x v="1"/>
    <x v="0"/>
    <x v="0"/>
    <x v="908"/>
  </r>
  <r>
    <x v="909"/>
    <x v="53"/>
    <x v="1"/>
    <x v="0"/>
    <x v="2"/>
    <x v="5"/>
    <x v="246"/>
    <x v="202"/>
    <x v="14"/>
    <x v="58"/>
    <x v="1"/>
    <x v="0"/>
    <x v="0"/>
    <x v="909"/>
  </r>
  <r>
    <x v="910"/>
    <x v="68"/>
    <x v="0"/>
    <x v="1"/>
    <x v="2"/>
    <x v="14"/>
    <x v="208"/>
    <x v="335"/>
    <x v="4"/>
    <x v="5"/>
    <x v="1"/>
    <x v="0"/>
    <x v="0"/>
    <x v="910"/>
  </r>
  <r>
    <x v="911"/>
    <x v="62"/>
    <x v="3"/>
    <x v="0"/>
    <x v="3"/>
    <x v="4"/>
    <x v="80"/>
    <x v="214"/>
    <x v="0"/>
    <x v="1"/>
    <x v="1"/>
    <x v="0"/>
    <x v="0"/>
    <x v="911"/>
  </r>
  <r>
    <x v="912"/>
    <x v="19"/>
    <x v="2"/>
    <x v="0"/>
    <x v="0"/>
    <x v="12"/>
    <x v="39"/>
    <x v="336"/>
    <x v="13"/>
    <x v="168"/>
    <x v="1"/>
    <x v="0"/>
    <x v="0"/>
    <x v="912"/>
  </r>
  <r>
    <x v="913"/>
    <x v="43"/>
    <x v="0"/>
    <x v="1"/>
    <x v="1"/>
    <x v="6"/>
    <x v="82"/>
    <x v="135"/>
    <x v="3"/>
    <x v="17"/>
    <x v="0"/>
    <x v="0"/>
    <x v="0"/>
    <x v="913"/>
  </r>
  <r>
    <x v="914"/>
    <x v="85"/>
    <x v="1"/>
    <x v="0"/>
    <x v="3"/>
    <x v="15"/>
    <x v="219"/>
    <x v="301"/>
    <x v="11"/>
    <x v="109"/>
    <x v="0"/>
    <x v="0"/>
    <x v="0"/>
    <x v="914"/>
  </r>
  <r>
    <x v="915"/>
    <x v="40"/>
    <x v="4"/>
    <x v="0"/>
    <x v="3"/>
    <x v="6"/>
    <x v="144"/>
    <x v="104"/>
    <x v="12"/>
    <x v="204"/>
    <x v="3"/>
    <x v="0"/>
    <x v="0"/>
    <x v="915"/>
  </r>
  <r>
    <x v="916"/>
    <x v="81"/>
    <x v="1"/>
    <x v="0"/>
    <x v="0"/>
    <x v="1"/>
    <x v="93"/>
    <x v="276"/>
    <x v="0"/>
    <x v="225"/>
    <x v="2"/>
    <x v="0"/>
    <x v="0"/>
    <x v="916"/>
  </r>
  <r>
    <x v="917"/>
    <x v="82"/>
    <x v="2"/>
    <x v="1"/>
    <x v="1"/>
    <x v="6"/>
    <x v="155"/>
    <x v="59"/>
    <x v="14"/>
    <x v="76"/>
    <x v="2"/>
    <x v="0"/>
    <x v="0"/>
    <x v="917"/>
  </r>
  <r>
    <x v="918"/>
    <x v="2"/>
    <x v="2"/>
    <x v="0"/>
    <x v="2"/>
    <x v="4"/>
    <x v="79"/>
    <x v="96"/>
    <x v="1"/>
    <x v="162"/>
    <x v="2"/>
    <x v="1"/>
    <x v="1"/>
    <x v="918"/>
  </r>
  <r>
    <x v="919"/>
    <x v="87"/>
    <x v="1"/>
    <x v="0"/>
    <x v="0"/>
    <x v="15"/>
    <x v="193"/>
    <x v="192"/>
    <x v="10"/>
    <x v="119"/>
    <x v="2"/>
    <x v="0"/>
    <x v="0"/>
    <x v="919"/>
  </r>
  <r>
    <x v="920"/>
    <x v="8"/>
    <x v="0"/>
    <x v="1"/>
    <x v="4"/>
    <x v="14"/>
    <x v="330"/>
    <x v="309"/>
    <x v="2"/>
    <x v="215"/>
    <x v="1"/>
    <x v="0"/>
    <x v="0"/>
    <x v="920"/>
  </r>
  <r>
    <x v="921"/>
    <x v="58"/>
    <x v="1"/>
    <x v="0"/>
    <x v="2"/>
    <x v="1"/>
    <x v="168"/>
    <x v="262"/>
    <x v="2"/>
    <x v="213"/>
    <x v="3"/>
    <x v="0"/>
    <x v="0"/>
    <x v="921"/>
  </r>
  <r>
    <x v="922"/>
    <x v="51"/>
    <x v="2"/>
    <x v="0"/>
    <x v="1"/>
    <x v="12"/>
    <x v="331"/>
    <x v="34"/>
    <x v="5"/>
    <x v="49"/>
    <x v="3"/>
    <x v="1"/>
    <x v="1"/>
    <x v="922"/>
  </r>
  <r>
    <x v="923"/>
    <x v="68"/>
    <x v="0"/>
    <x v="1"/>
    <x v="1"/>
    <x v="5"/>
    <x v="297"/>
    <x v="241"/>
    <x v="13"/>
    <x v="181"/>
    <x v="3"/>
    <x v="0"/>
    <x v="0"/>
    <x v="923"/>
  </r>
  <r>
    <x v="924"/>
    <x v="63"/>
    <x v="2"/>
    <x v="1"/>
    <x v="2"/>
    <x v="19"/>
    <x v="190"/>
    <x v="26"/>
    <x v="6"/>
    <x v="174"/>
    <x v="3"/>
    <x v="0"/>
    <x v="0"/>
    <x v="924"/>
  </r>
  <r>
    <x v="925"/>
    <x v="63"/>
    <x v="2"/>
    <x v="0"/>
    <x v="1"/>
    <x v="18"/>
    <x v="318"/>
    <x v="142"/>
    <x v="8"/>
    <x v="101"/>
    <x v="0"/>
    <x v="1"/>
    <x v="1"/>
    <x v="925"/>
  </r>
  <r>
    <x v="926"/>
    <x v="4"/>
    <x v="1"/>
    <x v="0"/>
    <x v="4"/>
    <x v="0"/>
    <x v="212"/>
    <x v="159"/>
    <x v="10"/>
    <x v="220"/>
    <x v="3"/>
    <x v="0"/>
    <x v="0"/>
    <x v="926"/>
  </r>
  <r>
    <x v="927"/>
    <x v="63"/>
    <x v="2"/>
    <x v="1"/>
    <x v="1"/>
    <x v="2"/>
    <x v="22"/>
    <x v="308"/>
    <x v="5"/>
    <x v="31"/>
    <x v="0"/>
    <x v="1"/>
    <x v="1"/>
    <x v="927"/>
  </r>
  <r>
    <x v="928"/>
    <x v="22"/>
    <x v="0"/>
    <x v="1"/>
    <x v="3"/>
    <x v="23"/>
    <x v="41"/>
    <x v="337"/>
    <x v="0"/>
    <x v="143"/>
    <x v="2"/>
    <x v="0"/>
    <x v="0"/>
    <x v="928"/>
  </r>
  <r>
    <x v="929"/>
    <x v="49"/>
    <x v="1"/>
    <x v="0"/>
    <x v="1"/>
    <x v="21"/>
    <x v="288"/>
    <x v="141"/>
    <x v="4"/>
    <x v="8"/>
    <x v="0"/>
    <x v="0"/>
    <x v="0"/>
    <x v="929"/>
  </r>
  <r>
    <x v="930"/>
    <x v="69"/>
    <x v="1"/>
    <x v="0"/>
    <x v="0"/>
    <x v="6"/>
    <x v="8"/>
    <x v="248"/>
    <x v="0"/>
    <x v="273"/>
    <x v="3"/>
    <x v="1"/>
    <x v="1"/>
    <x v="930"/>
  </r>
  <r>
    <x v="931"/>
    <x v="69"/>
    <x v="1"/>
    <x v="1"/>
    <x v="4"/>
    <x v="18"/>
    <x v="327"/>
    <x v="75"/>
    <x v="14"/>
    <x v="105"/>
    <x v="3"/>
    <x v="0"/>
    <x v="0"/>
    <x v="931"/>
  </r>
  <r>
    <x v="932"/>
    <x v="39"/>
    <x v="4"/>
    <x v="1"/>
    <x v="2"/>
    <x v="7"/>
    <x v="234"/>
    <x v="257"/>
    <x v="0"/>
    <x v="139"/>
    <x v="2"/>
    <x v="0"/>
    <x v="0"/>
    <x v="932"/>
  </r>
  <r>
    <x v="933"/>
    <x v="82"/>
    <x v="2"/>
    <x v="0"/>
    <x v="3"/>
    <x v="3"/>
    <x v="28"/>
    <x v="49"/>
    <x v="4"/>
    <x v="103"/>
    <x v="2"/>
    <x v="0"/>
    <x v="0"/>
    <x v="933"/>
  </r>
  <r>
    <x v="934"/>
    <x v="75"/>
    <x v="4"/>
    <x v="0"/>
    <x v="2"/>
    <x v="22"/>
    <x v="135"/>
    <x v="262"/>
    <x v="1"/>
    <x v="169"/>
    <x v="1"/>
    <x v="0"/>
    <x v="0"/>
    <x v="934"/>
  </r>
  <r>
    <x v="935"/>
    <x v="9"/>
    <x v="3"/>
    <x v="1"/>
    <x v="3"/>
    <x v="20"/>
    <x v="332"/>
    <x v="338"/>
    <x v="13"/>
    <x v="223"/>
    <x v="1"/>
    <x v="0"/>
    <x v="0"/>
    <x v="935"/>
  </r>
  <r>
    <x v="936"/>
    <x v="27"/>
    <x v="1"/>
    <x v="1"/>
    <x v="1"/>
    <x v="0"/>
    <x v="296"/>
    <x v="209"/>
    <x v="10"/>
    <x v="153"/>
    <x v="0"/>
    <x v="1"/>
    <x v="1"/>
    <x v="936"/>
  </r>
  <r>
    <x v="937"/>
    <x v="7"/>
    <x v="1"/>
    <x v="1"/>
    <x v="1"/>
    <x v="23"/>
    <x v="318"/>
    <x v="280"/>
    <x v="6"/>
    <x v="86"/>
    <x v="3"/>
    <x v="1"/>
    <x v="1"/>
    <x v="937"/>
  </r>
  <r>
    <x v="938"/>
    <x v="33"/>
    <x v="1"/>
    <x v="0"/>
    <x v="2"/>
    <x v="20"/>
    <x v="333"/>
    <x v="92"/>
    <x v="3"/>
    <x v="29"/>
    <x v="1"/>
    <x v="0"/>
    <x v="0"/>
    <x v="938"/>
  </r>
  <r>
    <x v="939"/>
    <x v="68"/>
    <x v="0"/>
    <x v="0"/>
    <x v="0"/>
    <x v="19"/>
    <x v="72"/>
    <x v="63"/>
    <x v="14"/>
    <x v="144"/>
    <x v="2"/>
    <x v="1"/>
    <x v="1"/>
    <x v="939"/>
  </r>
  <r>
    <x v="940"/>
    <x v="53"/>
    <x v="1"/>
    <x v="0"/>
    <x v="3"/>
    <x v="4"/>
    <x v="52"/>
    <x v="229"/>
    <x v="6"/>
    <x v="48"/>
    <x v="2"/>
    <x v="0"/>
    <x v="0"/>
    <x v="940"/>
  </r>
  <r>
    <x v="941"/>
    <x v="82"/>
    <x v="2"/>
    <x v="1"/>
    <x v="2"/>
    <x v="21"/>
    <x v="277"/>
    <x v="328"/>
    <x v="0"/>
    <x v="97"/>
    <x v="1"/>
    <x v="1"/>
    <x v="1"/>
    <x v="941"/>
  </r>
  <r>
    <x v="942"/>
    <x v="15"/>
    <x v="2"/>
    <x v="1"/>
    <x v="1"/>
    <x v="4"/>
    <x v="86"/>
    <x v="295"/>
    <x v="10"/>
    <x v="61"/>
    <x v="1"/>
    <x v="0"/>
    <x v="0"/>
    <x v="942"/>
  </r>
  <r>
    <x v="943"/>
    <x v="31"/>
    <x v="3"/>
    <x v="0"/>
    <x v="2"/>
    <x v="0"/>
    <x v="231"/>
    <x v="336"/>
    <x v="2"/>
    <x v="14"/>
    <x v="2"/>
    <x v="0"/>
    <x v="0"/>
    <x v="943"/>
  </r>
  <r>
    <x v="944"/>
    <x v="17"/>
    <x v="4"/>
    <x v="1"/>
    <x v="0"/>
    <x v="13"/>
    <x v="231"/>
    <x v="286"/>
    <x v="14"/>
    <x v="252"/>
    <x v="1"/>
    <x v="0"/>
    <x v="0"/>
    <x v="944"/>
  </r>
  <r>
    <x v="945"/>
    <x v="44"/>
    <x v="2"/>
    <x v="0"/>
    <x v="0"/>
    <x v="10"/>
    <x v="179"/>
    <x v="64"/>
    <x v="6"/>
    <x v="41"/>
    <x v="0"/>
    <x v="0"/>
    <x v="0"/>
    <x v="945"/>
  </r>
  <r>
    <x v="946"/>
    <x v="88"/>
    <x v="3"/>
    <x v="1"/>
    <x v="2"/>
    <x v="13"/>
    <x v="102"/>
    <x v="146"/>
    <x v="13"/>
    <x v="18"/>
    <x v="1"/>
    <x v="1"/>
    <x v="1"/>
    <x v="946"/>
  </r>
  <r>
    <x v="947"/>
    <x v="68"/>
    <x v="0"/>
    <x v="1"/>
    <x v="2"/>
    <x v="20"/>
    <x v="334"/>
    <x v="193"/>
    <x v="14"/>
    <x v="35"/>
    <x v="1"/>
    <x v="0"/>
    <x v="0"/>
    <x v="947"/>
  </r>
  <r>
    <x v="948"/>
    <x v="2"/>
    <x v="2"/>
    <x v="1"/>
    <x v="2"/>
    <x v="14"/>
    <x v="306"/>
    <x v="251"/>
    <x v="13"/>
    <x v="155"/>
    <x v="2"/>
    <x v="0"/>
    <x v="0"/>
    <x v="948"/>
  </r>
  <r>
    <x v="949"/>
    <x v="8"/>
    <x v="0"/>
    <x v="1"/>
    <x v="2"/>
    <x v="13"/>
    <x v="293"/>
    <x v="101"/>
    <x v="10"/>
    <x v="152"/>
    <x v="1"/>
    <x v="1"/>
    <x v="1"/>
    <x v="949"/>
  </r>
  <r>
    <x v="950"/>
    <x v="59"/>
    <x v="2"/>
    <x v="0"/>
    <x v="2"/>
    <x v="7"/>
    <x v="61"/>
    <x v="273"/>
    <x v="8"/>
    <x v="185"/>
    <x v="3"/>
    <x v="1"/>
    <x v="1"/>
    <x v="950"/>
  </r>
  <r>
    <x v="951"/>
    <x v="7"/>
    <x v="1"/>
    <x v="1"/>
    <x v="0"/>
    <x v="0"/>
    <x v="148"/>
    <x v="167"/>
    <x v="11"/>
    <x v="206"/>
    <x v="3"/>
    <x v="0"/>
    <x v="0"/>
    <x v="951"/>
  </r>
  <r>
    <x v="952"/>
    <x v="29"/>
    <x v="2"/>
    <x v="0"/>
    <x v="2"/>
    <x v="17"/>
    <x v="257"/>
    <x v="58"/>
    <x v="4"/>
    <x v="18"/>
    <x v="1"/>
    <x v="0"/>
    <x v="0"/>
    <x v="952"/>
  </r>
  <r>
    <x v="953"/>
    <x v="55"/>
    <x v="2"/>
    <x v="0"/>
    <x v="0"/>
    <x v="14"/>
    <x v="191"/>
    <x v="19"/>
    <x v="4"/>
    <x v="135"/>
    <x v="3"/>
    <x v="0"/>
    <x v="0"/>
    <x v="953"/>
  </r>
  <r>
    <x v="954"/>
    <x v="30"/>
    <x v="2"/>
    <x v="0"/>
    <x v="4"/>
    <x v="8"/>
    <x v="132"/>
    <x v="104"/>
    <x v="7"/>
    <x v="269"/>
    <x v="1"/>
    <x v="1"/>
    <x v="1"/>
    <x v="954"/>
  </r>
  <r>
    <x v="955"/>
    <x v="5"/>
    <x v="2"/>
    <x v="0"/>
    <x v="1"/>
    <x v="16"/>
    <x v="302"/>
    <x v="304"/>
    <x v="7"/>
    <x v="234"/>
    <x v="1"/>
    <x v="0"/>
    <x v="0"/>
    <x v="713"/>
  </r>
  <r>
    <x v="956"/>
    <x v="40"/>
    <x v="4"/>
    <x v="1"/>
    <x v="4"/>
    <x v="11"/>
    <x v="241"/>
    <x v="254"/>
    <x v="0"/>
    <x v="94"/>
    <x v="2"/>
    <x v="0"/>
    <x v="0"/>
    <x v="955"/>
  </r>
  <r>
    <x v="957"/>
    <x v="65"/>
    <x v="2"/>
    <x v="0"/>
    <x v="4"/>
    <x v="4"/>
    <x v="335"/>
    <x v="131"/>
    <x v="3"/>
    <x v="96"/>
    <x v="1"/>
    <x v="0"/>
    <x v="0"/>
    <x v="956"/>
  </r>
  <r>
    <x v="958"/>
    <x v="3"/>
    <x v="2"/>
    <x v="0"/>
    <x v="3"/>
    <x v="14"/>
    <x v="33"/>
    <x v="255"/>
    <x v="5"/>
    <x v="287"/>
    <x v="3"/>
    <x v="0"/>
    <x v="0"/>
    <x v="957"/>
  </r>
  <r>
    <x v="959"/>
    <x v="28"/>
    <x v="3"/>
    <x v="0"/>
    <x v="0"/>
    <x v="10"/>
    <x v="241"/>
    <x v="156"/>
    <x v="6"/>
    <x v="288"/>
    <x v="3"/>
    <x v="1"/>
    <x v="1"/>
    <x v="958"/>
  </r>
  <r>
    <x v="960"/>
    <x v="88"/>
    <x v="3"/>
    <x v="0"/>
    <x v="3"/>
    <x v="4"/>
    <x v="191"/>
    <x v="57"/>
    <x v="3"/>
    <x v="31"/>
    <x v="3"/>
    <x v="0"/>
    <x v="0"/>
    <x v="959"/>
  </r>
  <r>
    <x v="961"/>
    <x v="75"/>
    <x v="4"/>
    <x v="0"/>
    <x v="1"/>
    <x v="8"/>
    <x v="99"/>
    <x v="274"/>
    <x v="10"/>
    <x v="272"/>
    <x v="1"/>
    <x v="0"/>
    <x v="0"/>
    <x v="960"/>
  </r>
  <r>
    <x v="962"/>
    <x v="86"/>
    <x v="2"/>
    <x v="0"/>
    <x v="4"/>
    <x v="14"/>
    <x v="305"/>
    <x v="178"/>
    <x v="12"/>
    <x v="289"/>
    <x v="0"/>
    <x v="0"/>
    <x v="0"/>
    <x v="961"/>
  </r>
  <r>
    <x v="963"/>
    <x v="4"/>
    <x v="1"/>
    <x v="0"/>
    <x v="3"/>
    <x v="4"/>
    <x v="162"/>
    <x v="339"/>
    <x v="10"/>
    <x v="235"/>
    <x v="0"/>
    <x v="1"/>
    <x v="1"/>
    <x v="962"/>
  </r>
  <r>
    <x v="964"/>
    <x v="63"/>
    <x v="2"/>
    <x v="0"/>
    <x v="4"/>
    <x v="9"/>
    <x v="163"/>
    <x v="136"/>
    <x v="0"/>
    <x v="7"/>
    <x v="0"/>
    <x v="0"/>
    <x v="0"/>
    <x v="963"/>
  </r>
  <r>
    <x v="965"/>
    <x v="21"/>
    <x v="1"/>
    <x v="1"/>
    <x v="0"/>
    <x v="4"/>
    <x v="47"/>
    <x v="211"/>
    <x v="10"/>
    <x v="5"/>
    <x v="3"/>
    <x v="0"/>
    <x v="0"/>
    <x v="964"/>
  </r>
  <r>
    <x v="966"/>
    <x v="27"/>
    <x v="1"/>
    <x v="1"/>
    <x v="3"/>
    <x v="11"/>
    <x v="336"/>
    <x v="139"/>
    <x v="4"/>
    <x v="197"/>
    <x v="0"/>
    <x v="0"/>
    <x v="0"/>
    <x v="965"/>
  </r>
  <r>
    <x v="967"/>
    <x v="70"/>
    <x v="3"/>
    <x v="1"/>
    <x v="0"/>
    <x v="15"/>
    <x v="83"/>
    <x v="1"/>
    <x v="11"/>
    <x v="29"/>
    <x v="3"/>
    <x v="0"/>
    <x v="0"/>
    <x v="966"/>
  </r>
  <r>
    <x v="968"/>
    <x v="28"/>
    <x v="3"/>
    <x v="0"/>
    <x v="3"/>
    <x v="7"/>
    <x v="213"/>
    <x v="340"/>
    <x v="8"/>
    <x v="17"/>
    <x v="2"/>
    <x v="0"/>
    <x v="0"/>
    <x v="967"/>
  </r>
  <r>
    <x v="969"/>
    <x v="11"/>
    <x v="1"/>
    <x v="0"/>
    <x v="4"/>
    <x v="4"/>
    <x v="160"/>
    <x v="266"/>
    <x v="9"/>
    <x v="162"/>
    <x v="2"/>
    <x v="1"/>
    <x v="1"/>
    <x v="968"/>
  </r>
  <r>
    <x v="970"/>
    <x v="26"/>
    <x v="2"/>
    <x v="0"/>
    <x v="2"/>
    <x v="8"/>
    <x v="10"/>
    <x v="123"/>
    <x v="10"/>
    <x v="4"/>
    <x v="3"/>
    <x v="0"/>
    <x v="0"/>
    <x v="969"/>
  </r>
  <r>
    <x v="971"/>
    <x v="78"/>
    <x v="1"/>
    <x v="0"/>
    <x v="4"/>
    <x v="7"/>
    <x v="76"/>
    <x v="172"/>
    <x v="4"/>
    <x v="188"/>
    <x v="3"/>
    <x v="0"/>
    <x v="0"/>
    <x v="970"/>
  </r>
  <r>
    <x v="972"/>
    <x v="69"/>
    <x v="1"/>
    <x v="0"/>
    <x v="3"/>
    <x v="13"/>
    <x v="48"/>
    <x v="18"/>
    <x v="8"/>
    <x v="207"/>
    <x v="0"/>
    <x v="1"/>
    <x v="1"/>
    <x v="971"/>
  </r>
  <r>
    <x v="973"/>
    <x v="70"/>
    <x v="3"/>
    <x v="0"/>
    <x v="2"/>
    <x v="20"/>
    <x v="135"/>
    <x v="235"/>
    <x v="6"/>
    <x v="139"/>
    <x v="2"/>
    <x v="1"/>
    <x v="1"/>
    <x v="972"/>
  </r>
  <r>
    <x v="974"/>
    <x v="44"/>
    <x v="2"/>
    <x v="1"/>
    <x v="1"/>
    <x v="10"/>
    <x v="32"/>
    <x v="35"/>
    <x v="0"/>
    <x v="114"/>
    <x v="3"/>
    <x v="1"/>
    <x v="1"/>
    <x v="973"/>
  </r>
  <r>
    <x v="975"/>
    <x v="87"/>
    <x v="1"/>
    <x v="1"/>
    <x v="3"/>
    <x v="19"/>
    <x v="68"/>
    <x v="222"/>
    <x v="6"/>
    <x v="122"/>
    <x v="3"/>
    <x v="1"/>
    <x v="1"/>
    <x v="974"/>
  </r>
  <r>
    <x v="976"/>
    <x v="88"/>
    <x v="3"/>
    <x v="0"/>
    <x v="1"/>
    <x v="19"/>
    <x v="10"/>
    <x v="154"/>
    <x v="5"/>
    <x v="231"/>
    <x v="0"/>
    <x v="0"/>
    <x v="0"/>
    <x v="975"/>
  </r>
  <r>
    <x v="977"/>
    <x v="81"/>
    <x v="1"/>
    <x v="0"/>
    <x v="3"/>
    <x v="9"/>
    <x v="173"/>
    <x v="330"/>
    <x v="2"/>
    <x v="234"/>
    <x v="2"/>
    <x v="1"/>
    <x v="1"/>
    <x v="976"/>
  </r>
  <r>
    <x v="978"/>
    <x v="2"/>
    <x v="2"/>
    <x v="1"/>
    <x v="0"/>
    <x v="19"/>
    <x v="209"/>
    <x v="196"/>
    <x v="5"/>
    <x v="208"/>
    <x v="2"/>
    <x v="0"/>
    <x v="0"/>
    <x v="977"/>
  </r>
  <r>
    <x v="979"/>
    <x v="66"/>
    <x v="2"/>
    <x v="1"/>
    <x v="1"/>
    <x v="12"/>
    <x v="176"/>
    <x v="35"/>
    <x v="2"/>
    <x v="273"/>
    <x v="1"/>
    <x v="0"/>
    <x v="0"/>
    <x v="978"/>
  </r>
  <r>
    <x v="980"/>
    <x v="16"/>
    <x v="3"/>
    <x v="1"/>
    <x v="2"/>
    <x v="4"/>
    <x v="337"/>
    <x v="96"/>
    <x v="8"/>
    <x v="45"/>
    <x v="0"/>
    <x v="0"/>
    <x v="0"/>
    <x v="979"/>
  </r>
  <r>
    <x v="981"/>
    <x v="55"/>
    <x v="2"/>
    <x v="1"/>
    <x v="2"/>
    <x v="19"/>
    <x v="311"/>
    <x v="120"/>
    <x v="4"/>
    <x v="290"/>
    <x v="3"/>
    <x v="0"/>
    <x v="0"/>
    <x v="980"/>
  </r>
  <r>
    <x v="982"/>
    <x v="83"/>
    <x v="2"/>
    <x v="1"/>
    <x v="1"/>
    <x v="19"/>
    <x v="153"/>
    <x v="145"/>
    <x v="14"/>
    <x v="181"/>
    <x v="0"/>
    <x v="0"/>
    <x v="0"/>
    <x v="981"/>
  </r>
  <r>
    <x v="983"/>
    <x v="6"/>
    <x v="1"/>
    <x v="1"/>
    <x v="0"/>
    <x v="21"/>
    <x v="234"/>
    <x v="233"/>
    <x v="12"/>
    <x v="227"/>
    <x v="2"/>
    <x v="0"/>
    <x v="0"/>
    <x v="982"/>
  </r>
  <r>
    <x v="984"/>
    <x v="59"/>
    <x v="2"/>
    <x v="0"/>
    <x v="2"/>
    <x v="18"/>
    <x v="264"/>
    <x v="217"/>
    <x v="0"/>
    <x v="136"/>
    <x v="2"/>
    <x v="1"/>
    <x v="1"/>
    <x v="983"/>
  </r>
  <r>
    <x v="985"/>
    <x v="16"/>
    <x v="3"/>
    <x v="1"/>
    <x v="4"/>
    <x v="23"/>
    <x v="115"/>
    <x v="337"/>
    <x v="6"/>
    <x v="75"/>
    <x v="0"/>
    <x v="1"/>
    <x v="1"/>
    <x v="984"/>
  </r>
  <r>
    <x v="986"/>
    <x v="77"/>
    <x v="2"/>
    <x v="1"/>
    <x v="3"/>
    <x v="0"/>
    <x v="182"/>
    <x v="46"/>
    <x v="1"/>
    <x v="143"/>
    <x v="1"/>
    <x v="0"/>
    <x v="0"/>
    <x v="985"/>
  </r>
  <r>
    <x v="987"/>
    <x v="16"/>
    <x v="3"/>
    <x v="0"/>
    <x v="4"/>
    <x v="2"/>
    <x v="224"/>
    <x v="57"/>
    <x v="14"/>
    <x v="131"/>
    <x v="0"/>
    <x v="0"/>
    <x v="0"/>
    <x v="986"/>
  </r>
  <r>
    <x v="988"/>
    <x v="59"/>
    <x v="2"/>
    <x v="0"/>
    <x v="0"/>
    <x v="23"/>
    <x v="164"/>
    <x v="33"/>
    <x v="10"/>
    <x v="186"/>
    <x v="1"/>
    <x v="1"/>
    <x v="1"/>
    <x v="987"/>
  </r>
  <r>
    <x v="989"/>
    <x v="74"/>
    <x v="1"/>
    <x v="0"/>
    <x v="3"/>
    <x v="10"/>
    <x v="207"/>
    <x v="171"/>
    <x v="1"/>
    <x v="99"/>
    <x v="0"/>
    <x v="0"/>
    <x v="0"/>
    <x v="988"/>
  </r>
  <r>
    <x v="990"/>
    <x v="40"/>
    <x v="4"/>
    <x v="0"/>
    <x v="0"/>
    <x v="3"/>
    <x v="100"/>
    <x v="126"/>
    <x v="13"/>
    <x v="233"/>
    <x v="2"/>
    <x v="0"/>
    <x v="0"/>
    <x v="989"/>
  </r>
  <r>
    <x v="991"/>
    <x v="61"/>
    <x v="1"/>
    <x v="0"/>
    <x v="0"/>
    <x v="24"/>
    <x v="142"/>
    <x v="150"/>
    <x v="3"/>
    <x v="240"/>
    <x v="2"/>
    <x v="0"/>
    <x v="0"/>
    <x v="990"/>
  </r>
  <r>
    <x v="992"/>
    <x v="63"/>
    <x v="2"/>
    <x v="1"/>
    <x v="4"/>
    <x v="23"/>
    <x v="82"/>
    <x v="269"/>
    <x v="7"/>
    <x v="78"/>
    <x v="3"/>
    <x v="0"/>
    <x v="0"/>
    <x v="991"/>
  </r>
  <r>
    <x v="993"/>
    <x v="63"/>
    <x v="2"/>
    <x v="0"/>
    <x v="0"/>
    <x v="4"/>
    <x v="263"/>
    <x v="108"/>
    <x v="5"/>
    <x v="24"/>
    <x v="0"/>
    <x v="0"/>
    <x v="0"/>
    <x v="992"/>
  </r>
  <r>
    <x v="994"/>
    <x v="10"/>
    <x v="3"/>
    <x v="0"/>
    <x v="2"/>
    <x v="23"/>
    <x v="58"/>
    <x v="225"/>
    <x v="2"/>
    <x v="207"/>
    <x v="3"/>
    <x v="0"/>
    <x v="0"/>
    <x v="993"/>
  </r>
  <r>
    <x v="995"/>
    <x v="88"/>
    <x v="3"/>
    <x v="1"/>
    <x v="0"/>
    <x v="4"/>
    <x v="67"/>
    <x v="71"/>
    <x v="0"/>
    <x v="196"/>
    <x v="0"/>
    <x v="0"/>
    <x v="0"/>
    <x v="994"/>
  </r>
  <r>
    <x v="996"/>
    <x v="28"/>
    <x v="3"/>
    <x v="1"/>
    <x v="2"/>
    <x v="9"/>
    <x v="338"/>
    <x v="87"/>
    <x v="5"/>
    <x v="267"/>
    <x v="3"/>
    <x v="0"/>
    <x v="0"/>
    <x v="995"/>
  </r>
  <r>
    <x v="997"/>
    <x v="29"/>
    <x v="2"/>
    <x v="1"/>
    <x v="2"/>
    <x v="0"/>
    <x v="290"/>
    <x v="98"/>
    <x v="6"/>
    <x v="76"/>
    <x v="1"/>
    <x v="1"/>
    <x v="1"/>
    <x v="996"/>
  </r>
  <r>
    <x v="998"/>
    <x v="53"/>
    <x v="1"/>
    <x v="1"/>
    <x v="4"/>
    <x v="13"/>
    <x v="160"/>
    <x v="340"/>
    <x v="4"/>
    <x v="175"/>
    <x v="2"/>
    <x v="1"/>
    <x v="1"/>
    <x v="997"/>
  </r>
  <r>
    <x v="999"/>
    <x v="49"/>
    <x v="1"/>
    <x v="0"/>
    <x v="0"/>
    <x v="8"/>
    <x v="1"/>
    <x v="13"/>
    <x v="9"/>
    <x v="291"/>
    <x v="3"/>
    <x v="1"/>
    <x v="1"/>
    <x v="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BD0481-E5D5-4260-907C-6A3611EE484B}" name="PivotTable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A3:B5" firstHeaderRow="1" firstDataRow="1" firstDataCol="1"/>
  <pivotFields count="14">
    <pivotField dataField="1" showAll="0">
      <items count="1001">
        <item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t="default"/>
      </items>
    </pivotField>
    <pivotField showAll="0">
      <items count="91">
        <item x="72"/>
        <item x="12"/>
        <item x="43"/>
        <item x="0"/>
        <item x="67"/>
        <item x="68"/>
        <item x="73"/>
        <item x="22"/>
        <item x="8"/>
        <item x="89"/>
        <item x="38"/>
        <item x="79"/>
        <item x="17"/>
        <item x="39"/>
        <item x="34"/>
        <item x="40"/>
        <item x="75"/>
        <item x="62"/>
        <item x="9"/>
        <item x="47"/>
        <item x="70"/>
        <item x="80"/>
        <item x="31"/>
        <item x="23"/>
        <item x="88"/>
        <item x="14"/>
        <item x="28"/>
        <item x="16"/>
        <item x="10"/>
        <item x="5"/>
        <item x="83"/>
        <item x="26"/>
        <item x="65"/>
        <item x="50"/>
        <item x="71"/>
        <item x="2"/>
        <item x="57"/>
        <item x="52"/>
        <item x="36"/>
        <item x="45"/>
        <item x="25"/>
        <item x="59"/>
        <item x="63"/>
        <item x="46"/>
        <item x="3"/>
        <item x="82"/>
        <item x="15"/>
        <item x="44"/>
        <item x="37"/>
        <item x="77"/>
        <item x="66"/>
        <item x="86"/>
        <item x="51"/>
        <item x="42"/>
        <item x="29"/>
        <item x="30"/>
        <item x="55"/>
        <item x="19"/>
        <item x="13"/>
        <item x="81"/>
        <item x="76"/>
        <item x="53"/>
        <item x="21"/>
        <item x="61"/>
        <item x="87"/>
        <item x="60"/>
        <item x="41"/>
        <item x="64"/>
        <item x="35"/>
        <item x="1"/>
        <item x="20"/>
        <item x="85"/>
        <item x="54"/>
        <item x="84"/>
        <item x="33"/>
        <item x="48"/>
        <item x="24"/>
        <item x="74"/>
        <item x="49"/>
        <item x="69"/>
        <item x="4"/>
        <item x="7"/>
        <item x="78"/>
        <item x="18"/>
        <item x="27"/>
        <item x="6"/>
        <item x="58"/>
        <item x="11"/>
        <item x="56"/>
        <item x="32"/>
        <item t="default"/>
      </items>
    </pivotField>
    <pivotField showAll="0">
      <items count="6">
        <item x="2"/>
        <item x="0"/>
        <item x="3"/>
        <item x="1"/>
        <item x="4"/>
        <item t="default"/>
      </items>
    </pivotField>
    <pivotField axis="axisRow" showAll="0">
      <items count="3">
        <item x="0"/>
        <item x="1"/>
        <item t="default"/>
      </items>
    </pivotField>
    <pivotField showAll="0">
      <items count="6">
        <item x="1"/>
        <item x="3"/>
        <item x="4"/>
        <item x="0"/>
        <item x="2"/>
        <item t="default"/>
      </items>
    </pivotField>
    <pivotField showAll="0">
      <items count="26">
        <item h="1" x="19"/>
        <item h="1" x="11"/>
        <item h="1" x="9"/>
        <item h="1" x="21"/>
        <item h="1" x="24"/>
        <item h="1" x="17"/>
        <item h="1" x="4"/>
        <item h="1" x="0"/>
        <item h="1" x="5"/>
        <item h="1" x="20"/>
        <item h="1" x="23"/>
        <item h="1" x="16"/>
        <item h="1" x="13"/>
        <item h="1" x="22"/>
        <item h="1" x="1"/>
        <item h="1" x="8"/>
        <item h="1" x="10"/>
        <item h="1" x="15"/>
        <item h="1" x="14"/>
        <item x="6"/>
        <item h="1" x="18"/>
        <item h="1" x="12"/>
        <item h="1" x="7"/>
        <item h="1" x="3"/>
        <item h="1" x="2"/>
        <item t="default"/>
      </items>
    </pivotField>
    <pivotField numFmtId="14" showAll="0">
      <items count="340">
        <item x="223"/>
        <item x="240"/>
        <item x="259"/>
        <item x="93"/>
        <item x="277"/>
        <item x="204"/>
        <item x="279"/>
        <item x="64"/>
        <item x="15"/>
        <item x="322"/>
        <item x="168"/>
        <item x="212"/>
        <item x="203"/>
        <item x="227"/>
        <item x="196"/>
        <item x="233"/>
        <item x="266"/>
        <item x="123"/>
        <item x="260"/>
        <item x="281"/>
        <item x="135"/>
        <item x="247"/>
        <item x="134"/>
        <item x="217"/>
        <item x="307"/>
        <item x="22"/>
        <item x="288"/>
        <item x="300"/>
        <item x="246"/>
        <item x="216"/>
        <item x="224"/>
        <item x="31"/>
        <item x="19"/>
        <item x="30"/>
        <item x="119"/>
        <item x="5"/>
        <item x="54"/>
        <item x="131"/>
        <item x="191"/>
        <item x="210"/>
        <item x="325"/>
        <item x="76"/>
        <item x="34"/>
        <item x="164"/>
        <item x="3"/>
        <item x="101"/>
        <item x="130"/>
        <item x="201"/>
        <item x="92"/>
        <item x="242"/>
        <item x="292"/>
        <item x="166"/>
        <item x="103"/>
        <item x="244"/>
        <item x="194"/>
        <item x="115"/>
        <item x="150"/>
        <item x="41"/>
        <item x="106"/>
        <item x="330"/>
        <item x="102"/>
        <item x="167"/>
        <item x="265"/>
        <item x="169"/>
        <item x="142"/>
        <item x="99"/>
        <item x="112"/>
        <item x="85"/>
        <item x="88"/>
        <item x="314"/>
        <item x="69"/>
        <item x="124"/>
        <item x="121"/>
        <item x="276"/>
        <item x="113"/>
        <item x="37"/>
        <item x="253"/>
        <item x="36"/>
        <item x="146"/>
        <item x="25"/>
        <item x="44"/>
        <item x="226"/>
        <item x="219"/>
        <item x="270"/>
        <item x="222"/>
        <item x="302"/>
        <item x="129"/>
        <item x="317"/>
        <item x="284"/>
        <item x="138"/>
        <item x="220"/>
        <item x="23"/>
        <item x="234"/>
        <item x="318"/>
        <item x="290"/>
        <item x="55"/>
        <item x="160"/>
        <item x="324"/>
        <item x="213"/>
        <item x="156"/>
        <item x="189"/>
        <item x="62"/>
        <item x="52"/>
        <item x="133"/>
        <item x="257"/>
        <item x="218"/>
        <item x="104"/>
        <item x="170"/>
        <item x="73"/>
        <item x="241"/>
        <item x="263"/>
        <item x="214"/>
        <item x="336"/>
        <item x="274"/>
        <item x="20"/>
        <item x="312"/>
        <item x="63"/>
        <item x="326"/>
        <item x="334"/>
        <item x="18"/>
        <item x="48"/>
        <item x="12"/>
        <item x="68"/>
        <item x="90"/>
        <item x="258"/>
        <item x="235"/>
        <item x="39"/>
        <item x="231"/>
        <item x="291"/>
        <item x="183"/>
        <item x="272"/>
        <item x="51"/>
        <item x="172"/>
        <item x="239"/>
        <item x="193"/>
        <item x="33"/>
        <item x="43"/>
        <item x="195"/>
        <item x="289"/>
        <item x="230"/>
        <item x="252"/>
        <item x="27"/>
        <item x="158"/>
        <item x="278"/>
        <item x="66"/>
        <item x="187"/>
        <item x="199"/>
        <item x="184"/>
        <item x="45"/>
        <item x="280"/>
        <item x="268"/>
        <item x="182"/>
        <item x="255"/>
        <item x="154"/>
        <item x="295"/>
        <item x="309"/>
        <item x="128"/>
        <item x="162"/>
        <item x="175"/>
        <item x="207"/>
        <item x="286"/>
        <item x="329"/>
        <item x="157"/>
        <item x="91"/>
        <item x="206"/>
        <item x="238"/>
        <item x="38"/>
        <item x="94"/>
        <item x="6"/>
        <item x="337"/>
        <item x="165"/>
        <item x="79"/>
        <item x="188"/>
        <item x="96"/>
        <item x="211"/>
        <item x="304"/>
        <item x="271"/>
        <item x="153"/>
        <item x="316"/>
        <item x="262"/>
        <item x="7"/>
        <item x="273"/>
        <item x="141"/>
        <item x="285"/>
        <item x="26"/>
        <item x="190"/>
        <item x="215"/>
        <item x="267"/>
        <item x="116"/>
        <item x="10"/>
        <item x="8"/>
        <item x="78"/>
        <item x="117"/>
        <item x="21"/>
        <item x="71"/>
        <item x="83"/>
        <item x="108"/>
        <item x="46"/>
        <item x="237"/>
        <item x="151"/>
        <item x="42"/>
        <item x="1"/>
        <item x="305"/>
        <item x="105"/>
        <item x="327"/>
        <item x="139"/>
        <item x="331"/>
        <item x="13"/>
        <item x="60"/>
        <item x="95"/>
        <item x="24"/>
        <item x="144"/>
        <item x="140"/>
        <item x="132"/>
        <item x="225"/>
        <item x="72"/>
        <item x="179"/>
        <item x="137"/>
        <item x="59"/>
        <item x="61"/>
        <item x="294"/>
        <item x="177"/>
        <item x="209"/>
        <item x="275"/>
        <item x="163"/>
        <item x="200"/>
        <item x="315"/>
        <item x="243"/>
        <item x="65"/>
        <item x="16"/>
        <item x="283"/>
        <item x="328"/>
        <item x="67"/>
        <item x="186"/>
        <item x="198"/>
        <item x="308"/>
        <item x="282"/>
        <item x="320"/>
        <item x="84"/>
        <item x="49"/>
        <item x="14"/>
        <item x="28"/>
        <item x="208"/>
        <item x="264"/>
        <item x="152"/>
        <item x="297"/>
        <item x="296"/>
        <item x="40"/>
        <item x="248"/>
        <item x="181"/>
        <item x="301"/>
        <item x="180"/>
        <item x="303"/>
        <item x="176"/>
        <item x="256"/>
        <item x="174"/>
        <item x="75"/>
        <item x="332"/>
        <item x="136"/>
        <item x="299"/>
        <item x="338"/>
        <item x="4"/>
        <item x="32"/>
        <item x="185"/>
        <item x="159"/>
        <item x="98"/>
        <item x="53"/>
        <item x="122"/>
        <item x="313"/>
        <item x="74"/>
        <item x="228"/>
        <item x="110"/>
        <item x="171"/>
        <item x="149"/>
        <item x="57"/>
        <item x="148"/>
        <item x="321"/>
        <item x="161"/>
        <item x="197"/>
        <item x="298"/>
        <item x="319"/>
        <item x="254"/>
        <item x="82"/>
        <item x="251"/>
        <item x="221"/>
        <item x="107"/>
        <item x="17"/>
        <item x="205"/>
        <item x="89"/>
        <item x="143"/>
        <item x="192"/>
        <item x="100"/>
        <item x="118"/>
        <item x="269"/>
        <item x="245"/>
        <item x="70"/>
        <item x="11"/>
        <item x="306"/>
        <item x="86"/>
        <item x="287"/>
        <item x="147"/>
        <item x="50"/>
        <item x="0"/>
        <item x="178"/>
        <item x="9"/>
        <item x="120"/>
        <item x="310"/>
        <item x="2"/>
        <item x="77"/>
        <item x="250"/>
        <item x="127"/>
        <item x="126"/>
        <item x="229"/>
        <item x="293"/>
        <item x="109"/>
        <item x="232"/>
        <item x="29"/>
        <item x="173"/>
        <item x="97"/>
        <item x="335"/>
        <item x="249"/>
        <item x="114"/>
        <item x="155"/>
        <item x="35"/>
        <item x="236"/>
        <item x="202"/>
        <item x="47"/>
        <item x="311"/>
        <item x="333"/>
        <item x="87"/>
        <item x="58"/>
        <item x="80"/>
        <item x="56"/>
        <item x="111"/>
        <item x="261"/>
        <item x="81"/>
        <item x="125"/>
        <item x="323"/>
        <item x="145"/>
        <item t="default"/>
      </items>
    </pivotField>
    <pivotField numFmtId="14" showAll="0">
      <items count="342">
        <item x="306"/>
        <item x="276"/>
        <item x="328"/>
        <item x="67"/>
        <item x="15"/>
        <item x="181"/>
        <item x="227"/>
        <item x="97"/>
        <item x="277"/>
        <item x="191"/>
        <item x="329"/>
        <item x="157"/>
        <item x="238"/>
        <item x="127"/>
        <item x="278"/>
        <item x="159"/>
        <item x="262"/>
        <item x="206"/>
        <item x="249"/>
        <item x="235"/>
        <item x="216"/>
        <item x="140"/>
        <item x="182"/>
        <item x="279"/>
        <item x="313"/>
        <item x="141"/>
        <item x="333"/>
        <item x="327"/>
        <item x="282"/>
        <item x="22"/>
        <item x="264"/>
        <item x="151"/>
        <item x="308"/>
        <item x="296"/>
        <item x="272"/>
        <item x="247"/>
        <item x="202"/>
        <item x="190"/>
        <item x="137"/>
        <item x="19"/>
        <item x="57"/>
        <item x="30"/>
        <item x="172"/>
        <item x="324"/>
        <item x="220"/>
        <item x="6"/>
        <item x="4"/>
        <item x="314"/>
        <item x="107"/>
        <item x="33"/>
        <item x="244"/>
        <item x="134"/>
        <item x="106"/>
        <item x="122"/>
        <item x="203"/>
        <item x="204"/>
        <item x="337"/>
        <item x="243"/>
        <item x="153"/>
        <item x="326"/>
        <item x="112"/>
        <item x="109"/>
        <item x="291"/>
        <item x="103"/>
        <item x="205"/>
        <item x="42"/>
        <item x="150"/>
        <item x="309"/>
        <item x="93"/>
        <item x="146"/>
        <item x="90"/>
        <item x="274"/>
        <item x="179"/>
        <item x="302"/>
        <item x="117"/>
        <item x="331"/>
        <item x="176"/>
        <item x="144"/>
        <item x="293"/>
        <item x="73"/>
        <item x="124"/>
        <item x="25"/>
        <item x="118"/>
        <item x="38"/>
        <item x="301"/>
        <item x="37"/>
        <item x="45"/>
        <item x="304"/>
        <item x="257"/>
        <item x="236"/>
        <item x="232"/>
        <item x="142"/>
        <item x="280"/>
        <item x="98"/>
        <item x="23"/>
        <item x="294"/>
        <item x="340"/>
        <item x="233"/>
        <item x="170"/>
        <item x="52"/>
        <item x="266"/>
        <item x="229"/>
        <item x="65"/>
        <item x="164"/>
        <item x="58"/>
        <item x="166"/>
        <item x="254"/>
        <item x="156"/>
        <item x="110"/>
        <item x="139"/>
        <item x="322"/>
        <item x="20"/>
        <item x="219"/>
        <item x="180"/>
        <item x="18"/>
        <item x="108"/>
        <item x="69"/>
        <item x="222"/>
        <item x="149"/>
        <item x="66"/>
        <item x="28"/>
        <item x="12"/>
        <item x="95"/>
        <item x="325"/>
        <item x="193"/>
        <item x="183"/>
        <item x="48"/>
        <item x="72"/>
        <item x="321"/>
        <item x="51"/>
        <item x="336"/>
        <item x="239"/>
        <item x="318"/>
        <item x="286"/>
        <item x="44"/>
        <item x="234"/>
        <item x="192"/>
        <item x="246"/>
        <item x="32"/>
        <item x="27"/>
        <item x="86"/>
        <item x="284"/>
        <item x="255"/>
        <item x="228"/>
        <item x="315"/>
        <item x="138"/>
        <item x="46"/>
        <item x="99"/>
        <item x="332"/>
        <item x="194"/>
        <item x="160"/>
        <item x="212"/>
        <item x="260"/>
        <item x="258"/>
        <item x="171"/>
        <item x="215"/>
        <item x="186"/>
        <item x="224"/>
        <item x="253"/>
        <item x="339"/>
        <item x="263"/>
        <item x="168"/>
        <item x="133"/>
        <item x="152"/>
        <item x="39"/>
        <item x="7"/>
        <item x="96"/>
        <item x="268"/>
        <item x="199"/>
        <item x="100"/>
        <item x="281"/>
        <item x="310"/>
        <item x="82"/>
        <item x="174"/>
        <item x="316"/>
        <item x="221"/>
        <item x="8"/>
        <item x="56"/>
        <item x="283"/>
        <item x="74"/>
        <item x="223"/>
        <item x="26"/>
        <item x="54"/>
        <item x="145"/>
        <item x="248"/>
        <item x="201"/>
        <item x="198"/>
        <item x="9"/>
        <item x="88"/>
        <item x="21"/>
        <item x="53"/>
        <item x="123"/>
        <item x="79"/>
        <item x="320"/>
        <item x="1"/>
        <item x="154"/>
        <item x="80"/>
        <item x="81"/>
        <item x="226"/>
        <item x="3"/>
        <item x="163"/>
        <item x="13"/>
        <item x="43"/>
        <item x="47"/>
        <item x="178"/>
        <item x="111"/>
        <item x="143"/>
        <item x="305"/>
        <item x="290"/>
        <item x="119"/>
        <item x="75"/>
        <item x="34"/>
        <item x="240"/>
        <item x="64"/>
        <item x="104"/>
        <item x="24"/>
        <item x="273"/>
        <item x="173"/>
        <item x="158"/>
        <item x="136"/>
        <item x="213"/>
        <item x="63"/>
        <item x="323"/>
        <item x="237"/>
        <item x="169"/>
        <item x="70"/>
        <item x="71"/>
        <item x="230"/>
        <item x="196"/>
        <item x="292"/>
        <item x="271"/>
        <item x="210"/>
        <item x="288"/>
        <item x="270"/>
        <item x="311"/>
        <item x="16"/>
        <item x="115"/>
        <item x="217"/>
        <item x="49"/>
        <item x="335"/>
        <item x="89"/>
        <item x="14"/>
        <item x="62"/>
        <item x="155"/>
        <item x="175"/>
        <item x="297"/>
        <item x="200"/>
        <item x="209"/>
        <item x="287"/>
        <item x="241"/>
        <item x="256"/>
        <item x="250"/>
        <item x="275"/>
        <item x="41"/>
        <item x="334"/>
        <item x="185"/>
        <item x="77"/>
        <item x="35"/>
        <item x="319"/>
        <item x="5"/>
        <item x="31"/>
        <item x="259"/>
        <item x="338"/>
        <item x="231"/>
        <item x="68"/>
        <item x="102"/>
        <item x="195"/>
        <item x="87"/>
        <item x="128"/>
        <item x="60"/>
        <item x="208"/>
        <item x="55"/>
        <item x="125"/>
        <item x="165"/>
        <item x="167"/>
        <item x="188"/>
        <item x="76"/>
        <item x="121"/>
        <item x="267"/>
        <item x="299"/>
        <item x="317"/>
        <item x="135"/>
        <item x="207"/>
        <item x="269"/>
        <item x="85"/>
        <item x="113"/>
        <item x="17"/>
        <item x="147"/>
        <item x="40"/>
        <item x="187"/>
        <item x="105"/>
        <item x="245"/>
        <item x="11"/>
        <item x="289"/>
        <item x="94"/>
        <item x="252"/>
        <item x="126"/>
        <item x="0"/>
        <item x="285"/>
        <item x="50"/>
        <item x="295"/>
        <item x="91"/>
        <item x="251"/>
        <item x="307"/>
        <item x="10"/>
        <item x="265"/>
        <item x="189"/>
        <item x="78"/>
        <item x="312"/>
        <item x="197"/>
        <item x="2"/>
        <item x="114"/>
        <item x="303"/>
        <item x="132"/>
        <item x="161"/>
        <item x="101"/>
        <item x="184"/>
        <item x="131"/>
        <item x="162"/>
        <item x="36"/>
        <item x="29"/>
        <item x="330"/>
        <item x="261"/>
        <item x="130"/>
        <item x="120"/>
        <item x="214"/>
        <item x="92"/>
        <item x="177"/>
        <item x="211"/>
        <item x="59"/>
        <item x="218"/>
        <item x="83"/>
        <item x="84"/>
        <item x="225"/>
        <item x="61"/>
        <item x="129"/>
        <item x="116"/>
        <item x="298"/>
        <item x="300"/>
        <item x="242"/>
        <item x="148"/>
        <item t="default"/>
      </items>
    </pivotField>
    <pivotField showAll="0">
      <items count="16">
        <item x="1"/>
        <item x="0"/>
        <item x="8"/>
        <item x="6"/>
        <item x="4"/>
        <item x="3"/>
        <item x="11"/>
        <item x="7"/>
        <item x="9"/>
        <item x="10"/>
        <item x="12"/>
        <item x="2"/>
        <item x="13"/>
        <item x="5"/>
        <item x="14"/>
        <item t="default"/>
      </items>
    </pivotField>
    <pivotField showAll="0">
      <items count="293">
        <item x="200"/>
        <item x="213"/>
        <item x="129"/>
        <item x="162"/>
        <item x="225"/>
        <item x="273"/>
        <item x="287"/>
        <item x="271"/>
        <item x="133"/>
        <item x="280"/>
        <item x="291"/>
        <item x="289"/>
        <item x="230"/>
        <item x="105"/>
        <item x="149"/>
        <item x="108"/>
        <item x="20"/>
        <item x="167"/>
        <item x="221"/>
        <item x="205"/>
        <item x="78"/>
        <item x="135"/>
        <item x="198"/>
        <item x="239"/>
        <item x="290"/>
        <item x="27"/>
        <item x="106"/>
        <item x="71"/>
        <item x="8"/>
        <item x="257"/>
        <item x="25"/>
        <item x="270"/>
        <item x="276"/>
        <item x="143"/>
        <item x="139"/>
        <item x="5"/>
        <item x="194"/>
        <item x="122"/>
        <item x="171"/>
        <item x="117"/>
        <item x="137"/>
        <item x="109"/>
        <item x="234"/>
        <item x="123"/>
        <item x="65"/>
        <item x="180"/>
        <item x="11"/>
        <item x="210"/>
        <item x="111"/>
        <item x="101"/>
        <item x="90"/>
        <item x="208"/>
        <item x="202"/>
        <item x="63"/>
        <item x="220"/>
        <item x="252"/>
        <item x="166"/>
        <item x="60"/>
        <item x="32"/>
        <item x="73"/>
        <item x="255"/>
        <item x="248"/>
        <item x="98"/>
        <item x="196"/>
        <item x="56"/>
        <item x="201"/>
        <item x="21"/>
        <item x="281"/>
        <item x="142"/>
        <item x="96"/>
        <item x="0"/>
        <item x="97"/>
        <item x="93"/>
        <item x="246"/>
        <item x="104"/>
        <item x="35"/>
        <item x="87"/>
        <item x="82"/>
        <item x="102"/>
        <item x="211"/>
        <item x="81"/>
        <item x="15"/>
        <item x="247"/>
        <item x="193"/>
        <item x="227"/>
        <item x="190"/>
        <item x="7"/>
        <item x="75"/>
        <item x="186"/>
        <item x="158"/>
        <item x="14"/>
        <item x="92"/>
        <item x="207"/>
        <item x="249"/>
        <item x="244"/>
        <item x="86"/>
        <item x="136"/>
        <item x="39"/>
        <item x="119"/>
        <item x="170"/>
        <item x="61"/>
        <item x="183"/>
        <item x="206"/>
        <item x="253"/>
        <item x="260"/>
        <item x="216"/>
        <item x="30"/>
        <item x="110"/>
        <item x="254"/>
        <item x="274"/>
        <item x="163"/>
        <item x="144"/>
        <item x="174"/>
        <item x="215"/>
        <item x="52"/>
        <item x="99"/>
        <item x="28"/>
        <item x="212"/>
        <item x="283"/>
        <item x="16"/>
        <item x="68"/>
        <item x="47"/>
        <item x="250"/>
        <item x="217"/>
        <item x="231"/>
        <item x="173"/>
        <item x="42"/>
        <item x="120"/>
        <item x="241"/>
        <item x="209"/>
        <item x="141"/>
        <item x="33"/>
        <item x="13"/>
        <item x="284"/>
        <item x="261"/>
        <item x="55"/>
        <item x="67"/>
        <item x="2"/>
        <item x="203"/>
        <item x="124"/>
        <item x="147"/>
        <item x="157"/>
        <item x="130"/>
        <item x="224"/>
        <item x="199"/>
        <item x="91"/>
        <item x="70"/>
        <item x="188"/>
        <item x="177"/>
        <item x="44"/>
        <item x="76"/>
        <item x="74"/>
        <item x="116"/>
        <item x="126"/>
        <item x="112"/>
        <item x="150"/>
        <item x="9"/>
        <item x="269"/>
        <item x="258"/>
        <item x="168"/>
        <item x="256"/>
        <item x="114"/>
        <item x="161"/>
        <item x="182"/>
        <item x="176"/>
        <item x="34"/>
        <item x="46"/>
        <item x="3"/>
        <item x="23"/>
        <item x="286"/>
        <item x="223"/>
        <item x="115"/>
        <item x="62"/>
        <item x="268"/>
        <item x="113"/>
        <item x="69"/>
        <item x="272"/>
        <item x="251"/>
        <item x="204"/>
        <item x="179"/>
        <item x="107"/>
        <item x="36"/>
        <item x="151"/>
        <item x="197"/>
        <item x="214"/>
        <item x="140"/>
        <item x="18"/>
        <item x="240"/>
        <item x="175"/>
        <item x="58"/>
        <item x="127"/>
        <item x="265"/>
        <item x="12"/>
        <item x="232"/>
        <item x="187"/>
        <item x="235"/>
        <item x="263"/>
        <item x="128"/>
        <item x="178"/>
        <item x="48"/>
        <item x="195"/>
        <item x="43"/>
        <item x="118"/>
        <item x="218"/>
        <item x="79"/>
        <item x="80"/>
        <item x="84"/>
        <item x="277"/>
        <item x="29"/>
        <item x="181"/>
        <item x="22"/>
        <item x="189"/>
        <item x="267"/>
        <item x="233"/>
        <item x="172"/>
        <item x="77"/>
        <item x="41"/>
        <item x="237"/>
        <item x="31"/>
        <item x="51"/>
        <item x="45"/>
        <item x="103"/>
        <item x="138"/>
        <item x="165"/>
        <item x="264"/>
        <item x="191"/>
        <item x="6"/>
        <item x="83"/>
        <item x="262"/>
        <item x="4"/>
        <item x="57"/>
        <item x="100"/>
        <item x="53"/>
        <item x="160"/>
        <item x="38"/>
        <item x="154"/>
        <item x="59"/>
        <item x="17"/>
        <item x="54"/>
        <item x="134"/>
        <item x="275"/>
        <item x="185"/>
        <item x="278"/>
        <item x="89"/>
        <item x="155"/>
        <item x="72"/>
        <item x="121"/>
        <item x="66"/>
        <item x="95"/>
        <item x="131"/>
        <item x="222"/>
        <item x="238"/>
        <item x="1"/>
        <item x="153"/>
        <item x="152"/>
        <item x="242"/>
        <item x="169"/>
        <item x="282"/>
        <item x="146"/>
        <item x="49"/>
        <item x="219"/>
        <item x="64"/>
        <item x="228"/>
        <item x="88"/>
        <item x="164"/>
        <item x="50"/>
        <item x="279"/>
        <item x="148"/>
        <item x="40"/>
        <item x="85"/>
        <item x="24"/>
        <item x="243"/>
        <item x="132"/>
        <item x="94"/>
        <item x="226"/>
        <item x="156"/>
        <item x="288"/>
        <item x="19"/>
        <item x="26"/>
        <item x="229"/>
        <item x="37"/>
        <item x="10"/>
        <item x="184"/>
        <item x="236"/>
        <item x="159"/>
        <item x="245"/>
        <item x="145"/>
        <item x="259"/>
        <item x="192"/>
        <item x="266"/>
        <item x="125"/>
        <item x="285"/>
        <item t="default"/>
      </items>
    </pivotField>
    <pivotField showAll="0">
      <items count="5">
        <item x="3"/>
        <item x="1"/>
        <item x="0"/>
        <item x="2"/>
        <item t="default"/>
      </items>
    </pivotField>
    <pivotField showAll="0">
      <items count="3">
        <item h="1" x="1"/>
        <item x="0"/>
        <item t="default"/>
      </items>
    </pivotField>
    <pivotField showAll="0">
      <items count="3">
        <item x="1"/>
        <item x="0"/>
        <item t="default"/>
      </items>
    </pivotField>
    <pivotField showAll="0">
      <items count="1000">
        <item x="908"/>
        <item h="1" x="45"/>
        <item h="1" x="26"/>
        <item h="1" x="99"/>
        <item h="1" x="84"/>
        <item h="1" x="417"/>
        <item h="1" x="923"/>
        <item h="1" x="280"/>
        <item h="1" x="582"/>
        <item h="1" x="19"/>
        <item h="1" x="407"/>
        <item h="1" x="935"/>
        <item h="1" x="564"/>
        <item h="1" x="535"/>
        <item h="1" x="516"/>
        <item h="1" x="357"/>
        <item h="1" x="687"/>
        <item h="1" x="704"/>
        <item h="1" x="504"/>
        <item h="1" x="268"/>
        <item h="1" x="765"/>
        <item h="1" x="600"/>
        <item h="1" x="423"/>
        <item h="1" x="792"/>
        <item h="1" x="793"/>
        <item h="1" x="862"/>
        <item h="1" x="988"/>
        <item h="1" x="298"/>
        <item h="1" x="991"/>
        <item h="1" x="954"/>
        <item h="1" x="89"/>
        <item h="1" x="191"/>
        <item h="1" x="839"/>
        <item h="1" x="60"/>
        <item h="1" x="770"/>
        <item h="1" x="339"/>
        <item h="1" x="356"/>
        <item h="1" x="188"/>
        <item h="1" x="963"/>
        <item h="1" x="638"/>
        <item h="1" x="700"/>
        <item h="1" x="834"/>
        <item h="1" x="489"/>
        <item h="1" x="627"/>
        <item h="1" x="703"/>
        <item h="1" x="419"/>
        <item h="1" x="583"/>
        <item h="1" x="695"/>
        <item h="1" x="173"/>
        <item h="1" x="479"/>
        <item h="1" x="768"/>
        <item h="1" x="840"/>
        <item h="1" x="470"/>
        <item h="1" x="349"/>
        <item h="1" x="985"/>
        <item h="1" x="724"/>
        <item h="1" x="386"/>
        <item h="1" x="211"/>
        <item h="1" x="214"/>
        <item h="1" x="448"/>
        <item h="1" x="342"/>
        <item h="1" x="647"/>
        <item h="1" x="740"/>
        <item h="1" x="882"/>
        <item h="1" x="183"/>
        <item h="1" x="574"/>
        <item h="1" x="401"/>
        <item h="1" x="651"/>
        <item h="1" x="35"/>
        <item h="1" x="80"/>
        <item h="1" x="828"/>
        <item h="1" x="760"/>
        <item h="1" x="457"/>
        <item h="1" x="599"/>
        <item h="1" x="947"/>
        <item h="1" x="276"/>
        <item h="1" x="714"/>
        <item h="1" x="28"/>
        <item h="1" x="313"/>
        <item h="1" x="989"/>
        <item h="1" x="665"/>
        <item h="1" x="181"/>
        <item h="1" x="707"/>
        <item h="1" x="544"/>
        <item h="1" x="968"/>
        <item h="1" x="993"/>
        <item h="1" x="131"/>
        <item h="1" x="987"/>
        <item h="1" x="608"/>
        <item h="1" x="636"/>
        <item h="1" x="327"/>
        <item h="1" x="125"/>
        <item h="1" x="68"/>
        <item h="1" x="140"/>
        <item h="1" x="541"/>
        <item h="1" x="592"/>
        <item h="1" x="147"/>
        <item h="1" x="370"/>
        <item h="1" x="358"/>
        <item h="1" x="24"/>
        <item h="1" x="285"/>
        <item h="1" x="497"/>
        <item h="1" x="540"/>
        <item h="1" x="586"/>
        <item h="1" x="4"/>
        <item h="1" x="443"/>
        <item h="1" x="185"/>
        <item h="1" x="108"/>
        <item h="1" x="246"/>
        <item h="1" x="709"/>
        <item h="1" x="279"/>
        <item h="1" x="998"/>
        <item h="1" x="73"/>
        <item h="1" x="689"/>
        <item h="1" x="822"/>
        <item h="1" x="326"/>
        <item h="1" x="385"/>
        <item h="1" x="621"/>
        <item h="1" x="355"/>
        <item h="1" x="880"/>
        <item h="1" x="629"/>
        <item h="1" x="836"/>
        <item h="1" x="849"/>
        <item h="1" x="269"/>
        <item h="1" x="654"/>
        <item h="1" x="261"/>
        <item h="1" x="771"/>
        <item h="1" x="534"/>
        <item h="1" x="365"/>
        <item h="1" x="67"/>
        <item h="1" x="341"/>
        <item h="1" x="494"/>
        <item h="1" x="694"/>
        <item h="1" x="348"/>
        <item h="1" x="715"/>
        <item h="1" x="938"/>
        <item h="1" x="393"/>
        <item h="1" x="527"/>
        <item h="1" x="573"/>
        <item h="1" x="781"/>
        <item h="1" x="66"/>
        <item h="1" x="774"/>
        <item h="1" x="572"/>
        <item h="1" x="918"/>
        <item h="1" x="232"/>
        <item h="1" x="803"/>
        <item h="1" x="850"/>
        <item h="1" x="705"/>
        <item h="1" x="481"/>
        <item h="1" x="904"/>
        <item h="1" x="43"/>
        <item h="1" x="93"/>
        <item h="1" x="682"/>
        <item h="1" x="523"/>
        <item h="1" x="120"/>
        <item h="1" x="712"/>
        <item h="1" x="624"/>
        <item h="1" x="414"/>
        <item h="1" x="757"/>
        <item h="1" x="354"/>
        <item h="1" x="843"/>
        <item h="1" x="18"/>
        <item h="1" x="175"/>
        <item h="1" x="977"/>
        <item h="1" x="767"/>
        <item h="1" x="566"/>
        <item h="1" x="102"/>
        <item h="1" x="888"/>
        <item h="1" x="418"/>
        <item h="1" x="463"/>
        <item h="1" x="824"/>
        <item h="1" x="490"/>
        <item h="1" x="486"/>
        <item h="1" x="952"/>
        <item h="1" x="286"/>
        <item h="1" x="371"/>
        <item h="1" x="763"/>
        <item h="1" x="933"/>
        <item h="1" x="874"/>
        <item h="1" x="195"/>
        <item h="1" x="976"/>
        <item h="1" x="650"/>
        <item h="1" x="831"/>
        <item h="1" x="891"/>
        <item h="1" x="416"/>
        <item h="1" x="645"/>
        <item h="1" x="693"/>
        <item h="1" x="945"/>
        <item h="1" x="126"/>
        <item h="1" x="875"/>
        <item h="1" x="218"/>
        <item h="1" x="431"/>
        <item h="1" x="557"/>
        <item h="1" x="219"/>
        <item h="1" x="81"/>
        <item h="1" x="11"/>
        <item h="1" x="961"/>
        <item h="1" x="901"/>
        <item h="1" x="764"/>
        <item h="1" x="142"/>
        <item h="1" x="595"/>
        <item h="1" x="649"/>
        <item h="1" x="194"/>
        <item h="1" x="565"/>
        <item h="1" x="818"/>
        <item h="1" x="321"/>
        <item h="1" x="36"/>
        <item h="1" x="691"/>
        <item h="1" x="166"/>
        <item h="1" x="378"/>
        <item h="1" x="759"/>
        <item h="1" x="995"/>
        <item h="1" x="973"/>
        <item h="1" x="377"/>
        <item h="1" x="106"/>
        <item h="1" x="870"/>
        <item h="1" x="151"/>
        <item h="1" x="502"/>
        <item h="1" x="149"/>
        <item h="1" x="193"/>
        <item h="1" x="360"/>
        <item h="1" x="585"/>
        <item h="1" x="741"/>
        <item h="1" x="233"/>
        <item h="1" x="115"/>
        <item h="1" x="943"/>
        <item h="1" x="786"/>
        <item h="1" x="288"/>
        <item h="1" x="692"/>
        <item h="1" x="628"/>
        <item h="1" x="735"/>
        <item h="1" x="623"/>
        <item h="1" x="344"/>
        <item h="1" x="274"/>
        <item h="1" x="78"/>
        <item h="1" x="245"/>
        <item h="1" x="559"/>
        <item h="1" x="820"/>
        <item h="1" x="254"/>
        <item h="1" x="610"/>
        <item h="1" x="852"/>
        <item h="1" x="278"/>
        <item h="1" x="671"/>
        <item h="1" x="556"/>
        <item h="1" x="462"/>
        <item h="1" x="962"/>
        <item h="1" x="508"/>
        <item h="1" x="571"/>
        <item h="1" x="27"/>
        <item h="1" x="98"/>
        <item h="1" x="855"/>
        <item h="1" x="23"/>
        <item h="1" x="47"/>
        <item h="1" x="688"/>
        <item h="1" x="941"/>
        <item h="1" x="748"/>
        <item h="1" x="200"/>
        <item h="1" x="955"/>
        <item h="1" x="879"/>
        <item h="1" x="754"/>
        <item h="1" x="169"/>
        <item h="1" x="779"/>
        <item h="1" x="648"/>
        <item h="1" x="352"/>
        <item h="1" x="736"/>
        <item h="1" x="30"/>
        <item h="1" x="472"/>
        <item h="1" x="301"/>
        <item h="1" x="964"/>
        <item h="1" x="710"/>
        <item h="1" x="58"/>
        <item h="1" x="83"/>
        <item h="1" x="258"/>
        <item h="1" x="38"/>
        <item h="1" x="702"/>
        <item h="1" x="319"/>
        <item h="1" x="390"/>
        <item h="1" x="324"/>
        <item h="1" x="225"/>
        <item h="1" x="772"/>
        <item h="1" x="809"/>
        <item h="1" x="192"/>
        <item h="1" x="643"/>
        <item h="1" x="77"/>
        <item h="1" x="942"/>
        <item h="1" x="171"/>
        <item h="1" x="529"/>
        <item h="1" x="413"/>
        <item h="1" x="133"/>
        <item h="1" x="248"/>
        <item h="1" x="273"/>
        <item h="1" x="860"/>
        <item h="1" x="368"/>
        <item h="1" x="101"/>
        <item h="1" x="251"/>
        <item h="1" x="56"/>
        <item h="1" x="791"/>
        <item h="1" x="105"/>
        <item h="1" x="526"/>
        <item h="1" x="716"/>
        <item h="1" x="235"/>
        <item h="1" x="883"/>
        <item h="1" x="25"/>
        <item h="1" x="39"/>
        <item h="1" x="459"/>
        <item h="1" x="681"/>
        <item h="1" x="990"/>
        <item h="1" x="658"/>
        <item h="1" x="726"/>
        <item h="1" x="209"/>
        <item h="1" x="291"/>
        <item h="1" x="708"/>
        <item h="1" x="71"/>
        <item h="1" x="626"/>
        <item h="1" x="250"/>
        <item h="1" x="907"/>
        <item h="1" x="898"/>
        <item h="1" x="616"/>
        <item h="1" x="560"/>
        <item h="1" x="55"/>
        <item h="1" x="64"/>
        <item h="1" x="602"/>
        <item h="1" x="239"/>
        <item h="1" x="159"/>
        <item h="1" x="723"/>
        <item h="1" x="293"/>
        <item h="1" x="980"/>
        <item h="1" x="924"/>
        <item h="1" x="536"/>
        <item h="1" x="986"/>
        <item h="1" x="161"/>
        <item h="1" x="63"/>
        <item h="1" x="537"/>
        <item h="1" x="174"/>
        <item h="1" x="584"/>
        <item h="1" x="900"/>
        <item h="1" x="474"/>
        <item h="1" x="632"/>
        <item h="1" x="62"/>
        <item h="1" x="830"/>
        <item h="1" x="351"/>
        <item h="1" x="553"/>
        <item h="1" x="432"/>
        <item h="1" x="796"/>
        <item h="1" x="217"/>
        <item h="1" x="40"/>
        <item h="1" x="950"/>
        <item h="1" x="284"/>
        <item h="1" x="532"/>
        <item h="1" x="613"/>
        <item h="1" x="542"/>
        <item h="1" x="555"/>
        <item h="1" x="34"/>
        <item h="1" x="139"/>
        <item h="1" x="797"/>
        <item h="1" x="322"/>
        <item h="1" x="112"/>
        <item h="1" x="713"/>
        <item h="1" x="335"/>
        <item h="1" x="678"/>
        <item h="1" x="138"/>
        <item h="1" x="42"/>
        <item h="1" x="916"/>
        <item h="1" x="666"/>
        <item h="1" x="832"/>
        <item h="1" x="144"/>
        <item h="1" x="231"/>
        <item h="1" x="170"/>
        <item h="1" x="314"/>
        <item h="1" x="5"/>
        <item h="1" x="476"/>
        <item h="1" x="617"/>
        <item h="1" x="13"/>
        <item h="1" x="784"/>
        <item h="1" x="467"/>
        <item h="1" x="412"/>
        <item h="1" x="383"/>
        <item h="1" x="676"/>
        <item h="1" x="848"/>
        <item h="1" x="331"/>
        <item h="1" x="410"/>
        <item h="1" x="165"/>
        <item h="1" x="311"/>
        <item h="1" x="478"/>
        <item h="1" x="59"/>
        <item h="1" x="956"/>
        <item h="1" x="252"/>
        <item h="1" x="769"/>
        <item h="1" x="783"/>
        <item h="1" x="550"/>
        <item h="1" x="48"/>
        <item h="1" x="881"/>
        <item h="1" x="739"/>
        <item h="1" x="199"/>
        <item h="1" x="906"/>
        <item h="1" x="944"/>
        <item h="1" x="186"/>
        <item h="1" x="76"/>
        <item h="1" x="811"/>
        <item h="1" x="164"/>
        <item h="1" x="114"/>
        <item h="1" x="607"/>
        <item h="1" x="812"/>
        <item h="1" x="336"/>
        <item h="1" x="162"/>
        <item h="1" x="606"/>
        <item h="1" x="134"/>
        <item h="1" x="304"/>
        <item h="1" x="851"/>
        <item h="1" x="353"/>
        <item h="1" x="8"/>
        <item h="1" x="31"/>
        <item h="1" x="810"/>
        <item h="1" x="749"/>
        <item h="1" x="375"/>
        <item h="1" x="789"/>
        <item h="1" x="343"/>
        <item h="1" x="464"/>
        <item h="1" x="921"/>
        <item h="1" x="841"/>
        <item h="1" x="706"/>
        <item h="1" x="717"/>
        <item h="1" x="965"/>
        <item h="1" x="975"/>
        <item h="1" x="345"/>
        <item h="1" x="146"/>
        <item h="1" x="838"/>
        <item h="1" x="808"/>
        <item h="1" x="442"/>
        <item h="1" x="381"/>
        <item h="1" x="100"/>
        <item h="1" x="815"/>
        <item h="1" x="697"/>
        <item h="1" x="731"/>
        <item h="1" x="685"/>
        <item h="1" x="408"/>
        <item h="1" x="981"/>
        <item h="1" x="160"/>
        <item h="1" x="184"/>
        <item h="1" x="521"/>
        <item h="1" x="958"/>
        <item h="1" x="926"/>
        <item h="1" x="379"/>
        <item h="1" x="453"/>
        <item h="1" x="721"/>
        <item h="1" x="974"/>
        <item h="1" x="320"/>
        <item h="1" x="936"/>
        <item h="1" x="743"/>
        <item h="1" x="403"/>
        <item h="1" x="244"/>
        <item h="1" x="179"/>
        <item h="1" x="224"/>
        <item h="1" x="737"/>
        <item h="1" x="91"/>
        <item h="1" x="297"/>
        <item h="1" x="223"/>
        <item h="1" x="32"/>
        <item h="1" x="635"/>
        <item h="1" x="594"/>
        <item h="1" x="180"/>
        <item h="1" x="732"/>
        <item h="1" x="496"/>
        <item h="1" x="366"/>
        <item h="1" x="773"/>
        <item h="1" x="868"/>
        <item h="1" x="835"/>
        <item h="1" x="567"/>
        <item h="1" x="127"/>
        <item h="1" x="866"/>
        <item h="1" x="492"/>
        <item h="1" x="581"/>
        <item h="1" x="538"/>
        <item h="1" x="922"/>
        <item h="1" x="189"/>
        <item h="1" x="123"/>
        <item h="1" x="940"/>
        <item h="1" x="655"/>
        <item h="1" x="593"/>
        <item h="1" x="424"/>
        <item h="1" x="168"/>
        <item h="1" x="886"/>
        <item h="1" x="6"/>
        <item h="1" x="511"/>
        <item h="1" x="528"/>
        <item h="1" x="873"/>
        <item h="1" x="719"/>
        <item h="1" x="295"/>
        <item h="1" x="959"/>
        <item h="1" x="903"/>
        <item h="1" x="406"/>
        <item h="1" x="257"/>
        <item h="1" x="531"/>
        <item h="1" x="263"/>
        <item h="1" x="3"/>
        <item h="1" x="790"/>
        <item h="1" x="929"/>
        <item h="1" x="728"/>
        <item h="1" x="469"/>
        <item h="1" x="750"/>
        <item h="1" x="172"/>
        <item h="1" x="604"/>
        <item h="1" x="612"/>
        <item h="1" x="121"/>
        <item h="1" x="966"/>
        <item h="1" x="979"/>
        <item h="1" x="652"/>
        <item h="1" x="449"/>
        <item h="1" x="382"/>
        <item h="1" x="289"/>
        <item h="1" x="813"/>
        <item h="1" x="213"/>
        <item h="1" x="615"/>
        <item h="1" x="389"/>
        <item h="1" x="778"/>
        <item h="1" x="853"/>
        <item h="1" x="145"/>
        <item h="1" x="910"/>
        <item h="1" x="895"/>
        <item h="1" x="9"/>
        <item h="1" x="951"/>
        <item h="1" x="270"/>
        <item h="1" x="957"/>
        <item h="1" x="334"/>
        <item h="1" x="842"/>
        <item h="1" x="130"/>
        <item h="1" x="877"/>
        <item h="1" x="317"/>
        <item h="1" x="520"/>
        <item h="1" x="657"/>
        <item h="1" x="806"/>
        <item h="1" x="905"/>
        <item h="1" x="825"/>
        <item h="1" x="509"/>
        <item h="1" x="347"/>
        <item h="1" x="136"/>
        <item h="1" x="609"/>
        <item h="1" x="972"/>
        <item h="1" x="722"/>
        <item h="1" x="552"/>
        <item h="1" x="885"/>
        <item h="1" x="580"/>
        <item h="1" x="266"/>
        <item h="1" x="802"/>
        <item h="1" x="554"/>
        <item h="1" x="227"/>
        <item h="1" x="970"/>
        <item h="1" x="982"/>
        <item h="1" x="859"/>
        <item h="1" x="872"/>
        <item h="1" x="296"/>
        <item h="1" x="668"/>
        <item h="1" x="960"/>
        <item h="1" x="362"/>
        <item h="1" x="141"/>
        <item h="1" x="857"/>
        <item h="1" x="845"/>
        <item h="1" x="507"/>
        <item h="1" x="953"/>
        <item h="1" x="983"/>
        <item h="1" x="485"/>
        <item h="1" x="329"/>
        <item h="1" x="785"/>
        <item h="1" x="294"/>
        <item h="1" x="287"/>
        <item h="1" x="867"/>
        <item h="1" x="107"/>
        <item h="1" x="135"/>
        <item h="1" x="589"/>
        <item h="1" x="925"/>
        <item h="1" x="422"/>
        <item h="1" x="876"/>
        <item h="1" x="664"/>
        <item h="1" x="667"/>
        <item h="1" x="856"/>
        <item h="1" x="44"/>
        <item h="1" x="434"/>
        <item h="1" x="869"/>
        <item h="1" x="95"/>
        <item h="1" x="204"/>
        <item h="1" x="978"/>
        <item h="1" x="438"/>
        <item h="1" x="997"/>
        <item h="1" x="110"/>
        <item h="1" x="928"/>
        <item h="1" x="155"/>
        <item h="1" x="167"/>
        <item h="1" x="661"/>
        <item h="1" x="468"/>
        <item h="1" x="74"/>
        <item h="1" x="684"/>
        <item h="1" x="281"/>
        <item h="1" x="894"/>
        <item h="1" x="450"/>
        <item h="1" x="484"/>
        <item h="1" x="156"/>
        <item h="1" x="733"/>
        <item h="1" x="725"/>
        <item h="1" x="663"/>
        <item h="1" x="242"/>
        <item h="1" x="620"/>
        <item h="1" x="446"/>
        <item h="1" x="124"/>
        <item h="1" x="340"/>
        <item h="1" x="51"/>
        <item h="1" x="435"/>
        <item h="1" x="302"/>
        <item h="1" x="698"/>
        <item h="1" x="912"/>
        <item h="1" x="41"/>
        <item h="1" x="359"/>
        <item h="1" x="7"/>
        <item h="1" x="821"/>
        <item h="1" x="801"/>
        <item h="1" x="727"/>
        <item h="1" x="346"/>
        <item h="1" x="930"/>
        <item h="1" x="70"/>
        <item h="1" x="634"/>
        <item h="1" x="65"/>
        <item h="1" x="260"/>
        <item h="1" x="206"/>
        <item h="1" x="690"/>
        <item h="1" x="547"/>
        <item h="1" x="847"/>
        <item h="1" x="178"/>
        <item h="1" x="948"/>
        <item h="1" x="630"/>
        <item h="1" x="333"/>
        <item h="1" x="514"/>
        <item h="1" x="674"/>
        <item h="1" x="21"/>
        <item h="1" x="75"/>
        <item h="1" x="745"/>
        <item h="1" x="405"/>
        <item h="1" x="216"/>
        <item h="1" x="396"/>
        <item h="1" x="656"/>
        <item h="1" x="897"/>
        <item h="1" x="525"/>
        <item h="1" x="551"/>
        <item h="1" x="696"/>
        <item h="1" x="238"/>
        <item h="1" x="819"/>
        <item h="1" x="562"/>
        <item h="1" x="549"/>
        <item h="1" x="116"/>
        <item h="1" x="111"/>
        <item h="1" x="307"/>
        <item h="1" x="601"/>
        <item h="1" x="787"/>
        <item h="1" x="72"/>
        <item h="1" x="15"/>
        <item h="1" x="308"/>
        <item h="1" x="122"/>
        <item h="1" x="316"/>
        <item h="1" x="306"/>
        <item h="1" x="899"/>
        <item h="1" x="633"/>
        <item h="1" x="775"/>
        <item h="1" x="917"/>
        <item h="1" x="755"/>
        <item h="1" x="230"/>
        <item h="1" x="338"/>
        <item h="1" x="444"/>
        <item h="1" x="208"/>
        <item h="1" x="744"/>
        <item h="1" x="88"/>
        <item h="1" x="158"/>
        <item h="1" x="588"/>
        <item h="1" x="421"/>
        <item h="1" x="129"/>
        <item h="1" x="212"/>
        <item h="1" x="829"/>
        <item h="1" x="798"/>
        <item h="1" x="579"/>
        <item h="1" x="132"/>
        <item h="1" x="441"/>
        <item h="1" x="267"/>
        <item h="1" x="644"/>
        <item h="1" x="97"/>
        <item h="1" x="428"/>
        <item h="1" x="844"/>
        <item h="1" x="20"/>
        <item h="1" x="182"/>
        <item h="1" x="399"/>
        <item h="1" x="409"/>
        <item h="1" x="94"/>
        <item h="1" x="220"/>
        <item h="1" x="949"/>
        <item h="1" x="90"/>
        <item h="1" x="439"/>
        <item h="1" x="738"/>
        <item h="1" x="884"/>
        <item h="1" x="392"/>
        <item h="1" x="686"/>
        <item h="1" x="241"/>
        <item h="1" x="506"/>
        <item h="1" x="82"/>
        <item h="1" x="388"/>
        <item h="1" x="890"/>
        <item h="1" x="429"/>
        <item h="1" x="400"/>
        <item h="1" x="128"/>
        <item h="1" x="680"/>
        <item h="1" x="17"/>
        <item h="1" x="332"/>
        <item h="1" x="12"/>
        <item h="1" x="415"/>
        <item h="1" x="569"/>
        <item h="1" x="577"/>
        <item h="1" x="221"/>
        <item h="1" x="701"/>
        <item h="1" x="292"/>
        <item h="1" x="475"/>
        <item h="1" x="675"/>
        <item h="1" x="210"/>
        <item h="1" x="309"/>
        <item h="1" x="471"/>
        <item h="1" x="466"/>
        <item h="1" x="310"/>
        <item h="1" x="363"/>
        <item h="1" x="86"/>
        <item h="1" x="672"/>
        <item h="1" x="597"/>
        <item h="1" x="426"/>
        <item h="1" x="590"/>
        <item h="1" x="622"/>
        <item h="1" x="513"/>
        <item h="1" x="198"/>
        <item h="1" x="196"/>
        <item h="1" x="487"/>
        <item h="1" x="460"/>
        <item h="1" x="96"/>
        <item h="1" x="776"/>
        <item h="1" x="833"/>
        <item h="1" x="117"/>
        <item h="1" x="53"/>
        <item h="1" x="222"/>
        <item h="1" x="889"/>
        <item h="1" x="591"/>
        <item h="1" x="299"/>
        <item h="1" x="788"/>
        <item h="1" x="255"/>
        <item h="1" x="367"/>
        <item h="1" x="522"/>
        <item h="1" x="240"/>
        <item h="1" x="893"/>
        <item h="1" x="275"/>
        <item h="1" x="568"/>
        <item h="1" x="29"/>
        <item h="1" x="807"/>
        <item h="1" x="896"/>
        <item h="1" x="404"/>
        <item h="1" x="794"/>
        <item h="1" x="677"/>
        <item h="1" x="148"/>
        <item h="1" x="190"/>
        <item h="1" x="742"/>
        <item h="1" x="197"/>
        <item h="1" x="539"/>
        <item h="1" x="640"/>
        <item h="1" x="137"/>
        <item h="1" x="927"/>
        <item h="1" x="157"/>
        <item h="1" x="37"/>
        <item h="1" x="826"/>
        <item h="1" x="598"/>
        <item h="1" x="10"/>
        <item h="1" x="837"/>
        <item h="1" x="934"/>
        <item h="1" x="718"/>
        <item h="1" x="451"/>
        <item h="1" x="909"/>
        <item h="1" x="858"/>
        <item h="1" x="619"/>
        <item h="1" x="303"/>
        <item h="1" x="752"/>
        <item h="1" x="967"/>
        <item h="1" x="931"/>
        <item h="1" x="919"/>
        <item h="1" x="461"/>
        <item h="1" x="150"/>
        <item h="1" x="0"/>
        <item h="1" x="753"/>
        <item h="1" x="499"/>
        <item h="1" x="679"/>
        <item h="1" x="201"/>
        <item h="1" x="61"/>
        <item h="1" x="994"/>
        <item h="1" x="87"/>
        <item h="1" x="391"/>
        <item h="1" x="305"/>
        <item h="1" x="282"/>
        <item h="1" x="364"/>
        <item h="1" x="501"/>
        <item h="1" x="937"/>
        <item h="1" x="863"/>
        <item h="1" x="816"/>
        <item h="1" x="153"/>
        <item h="1" x="445"/>
        <item h="1" x="865"/>
        <item h="1" x="113"/>
        <item h="1" x="143"/>
        <item h="1" x="625"/>
        <item h="1" x="437"/>
        <item h="1" x="510"/>
        <item h="1" x="631"/>
        <item h="1" x="337"/>
        <item h="1" x="54"/>
        <item h="1" x="215"/>
        <item h="1" x="491"/>
        <item h="1" x="505"/>
        <item h="1" x="795"/>
        <item h="1" x="187"/>
        <item h="1" x="249"/>
        <item h="1" x="207"/>
        <item h="1" x="226"/>
        <item h="1" x="328"/>
        <item h="1" x="747"/>
        <item h="1" x="545"/>
        <item h="1" x="395"/>
        <item h="1" x="854"/>
        <item h="1" x="730"/>
        <item h="1" x="119"/>
        <item h="1" x="729"/>
        <item h="1" x="734"/>
        <item h="1" x="864"/>
        <item h="1" x="670"/>
        <item h="1" x="939"/>
        <item h="1" x="323"/>
        <item h="1" x="546"/>
        <item h="1" x="641"/>
        <item h="1" x="758"/>
        <item h="1" x="761"/>
        <item h="1" x="500"/>
        <item h="1" x="548"/>
        <item h="1" x="563"/>
        <item h="1" x="587"/>
        <item h="1" x="277"/>
        <item h="1" x="911"/>
        <item h="1" x="69"/>
        <item h="1" x="996"/>
        <item h="1" x="946"/>
        <item h="1" x="272"/>
        <item h="1" x="350"/>
        <item h="1" x="932"/>
        <item h="1" x="79"/>
        <item h="1" x="109"/>
        <item h="1" x="800"/>
        <item h="1" x="384"/>
        <item h="1" x="578"/>
        <item h="1" x="575"/>
        <item h="1" x="14"/>
        <item h="1" x="374"/>
        <item h="1" x="756"/>
        <item h="1" x="817"/>
        <item h="1" x="202"/>
        <item h="1" x="203"/>
        <item h="1" x="253"/>
        <item h="1" x="163"/>
        <item h="1" x="780"/>
        <item h="1" x="805"/>
        <item h="1" x="814"/>
        <item h="1" x="662"/>
        <item h="1" x="256"/>
        <item h="1" x="804"/>
        <item h="1" x="361"/>
        <item h="1" x="861"/>
        <item h="1" x="104"/>
        <item h="1" x="229"/>
        <item h="1" x="228"/>
        <item h="1" x="495"/>
        <item h="1" x="236"/>
        <item h="1" x="271"/>
        <item h="1" x="984"/>
        <item h="1" x="394"/>
        <item h="1" x="315"/>
        <item h="1" x="52"/>
        <item h="1" x="452"/>
        <item h="1" x="447"/>
        <item h="1" x="512"/>
        <item h="1" x="477"/>
        <item h="1" x="498"/>
        <item h="1" x="427"/>
        <item h="1" x="425"/>
        <item h="1" x="92"/>
        <item h="1" x="46"/>
        <item h="1" x="440"/>
        <item h="1" x="177"/>
        <item h="1" x="372"/>
        <item h="1" x="33"/>
        <item h="1" x="493"/>
        <item h="1" x="234"/>
        <item h="1" x="518"/>
        <item h="1" x="483"/>
        <item h="1" x="799"/>
        <item h="1" x="914"/>
        <item h="1" x="482"/>
        <item h="1" x="913"/>
        <item h="1" x="50"/>
        <item h="1" x="118"/>
        <item h="1" x="823"/>
        <item h="1" x="517"/>
        <item h="1" x="777"/>
        <item h="1" x="456"/>
        <item h="1" x="846"/>
        <item h="1" x="420"/>
        <item h="1" x="920"/>
        <item h="1" x="154"/>
        <item h="1" x="402"/>
        <item h="1" x="561"/>
        <item h="1" x="683"/>
        <item h="1" x="603"/>
        <item h="1" x="762"/>
        <item h="1" x="237"/>
        <item h="1" x="530"/>
        <item h="1" x="827"/>
        <item h="1" x="992"/>
        <item h="1" x="611"/>
        <item h="1" x="614"/>
        <item h="1" x="430"/>
        <item h="1" x="887"/>
        <item h="1" x="618"/>
        <item h="1" x="330"/>
        <item h="1" x="673"/>
        <item h="1" x="458"/>
        <item h="1" x="720"/>
        <item h="1" x="376"/>
        <item h="1" x="596"/>
        <item h="1" x="659"/>
        <item h="1" x="325"/>
        <item h="1" x="259"/>
        <item h="1" x="699"/>
        <item h="1" x="436"/>
        <item h="1" x="397"/>
        <item h="1" x="387"/>
        <item h="1" x="558"/>
        <item h="1" x="915"/>
        <item h="1" x="2"/>
        <item h="1" x="971"/>
        <item h="1" x="878"/>
        <item h="1" x="533"/>
        <item h="1" x="524"/>
        <item h="1" x="85"/>
        <item h="1" x="380"/>
        <item h="1" x="57"/>
        <item h="1" x="465"/>
        <item h="1" x="290"/>
        <item h="1" x="642"/>
        <item h="1" x="766"/>
        <item h="1" x="455"/>
        <item h="1" x="454"/>
        <item h="1" x="653"/>
        <item h="1" x="902"/>
        <item h="1" x="646"/>
        <item h="1" x="1"/>
        <item h="1" x="473"/>
        <item h="1" x="369"/>
        <item h="1" x="711"/>
        <item h="1" x="176"/>
        <item h="1" x="265"/>
        <item h="1" x="669"/>
        <item h="1" x="103"/>
        <item h="1" x="243"/>
        <item h="1" x="264"/>
        <item h="1" x="503"/>
        <item h="1" x="637"/>
        <item h="1" x="515"/>
        <item h="1" x="283"/>
        <item h="1" x="519"/>
        <item h="1" x="411"/>
        <item h="1" x="152"/>
        <item h="1" x="543"/>
        <item h="1" x="751"/>
        <item h="1" x="247"/>
        <item h="1" x="398"/>
        <item h="1" x="373"/>
        <item h="1" x="22"/>
        <item h="1" x="605"/>
        <item h="1" x="318"/>
        <item h="1" x="746"/>
        <item h="1" x="16"/>
        <item h="1" x="871"/>
        <item h="1" x="488"/>
        <item h="1" x="570"/>
        <item h="1" x="205"/>
        <item h="1" x="576"/>
        <item h="1" x="49"/>
        <item h="1" x="969"/>
        <item h="1" x="300"/>
        <item h="1" x="312"/>
        <item h="1" x="782"/>
        <item h="1" x="433"/>
        <item h="1" x="660"/>
        <item h="1" x="892"/>
        <item h="1" x="262"/>
        <item h="1" x="480"/>
        <item h="1" x="639"/>
        <item t="default"/>
      </items>
    </pivotField>
  </pivotFields>
  <rowFields count="1">
    <field x="3"/>
  </rowFields>
  <rowItems count="2">
    <i>
      <x/>
    </i>
    <i>
      <x v="1"/>
    </i>
  </rowItems>
  <colItems count="1">
    <i/>
  </colItems>
  <dataFields count="1">
    <dataField name="Count of Patient_ID" fld="0" subtotal="count" showDataAs="percentOfCol" baseField="0" baseItem="0" numFmtId="10"/>
  </dataFields>
  <formats count="5">
    <format dxfId="149">
      <pivotArea type="all" dataOnly="0" outline="0" fieldPosition="0"/>
    </format>
    <format dxfId="148">
      <pivotArea outline="0" collapsedLevelsAreSubtotals="1" fieldPosition="0"/>
    </format>
    <format dxfId="147">
      <pivotArea field="3" type="button" dataOnly="0" labelOnly="1" outline="0" axis="axisRow" fieldPosition="0"/>
    </format>
    <format dxfId="146">
      <pivotArea dataOnly="0" labelOnly="1" fieldPosition="0">
        <references count="1">
          <reference field="3" count="0"/>
        </references>
      </pivotArea>
    </format>
    <format dxfId="145">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4" format="1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66C3AC-45DC-43D9-A195-49683A266543}"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8" firstHeaderRow="1" firstDataRow="1" firstDataCol="1"/>
  <pivotFields count="14">
    <pivotField dataField="1" showAll="0"/>
    <pivotField showAll="0"/>
    <pivotField showAll="0"/>
    <pivotField showAll="0"/>
    <pivotField axis="axisRow" showAll="0">
      <items count="6">
        <item x="1"/>
        <item x="3"/>
        <item x="4"/>
        <item x="0"/>
        <item x="2"/>
        <item t="default"/>
      </items>
    </pivotField>
    <pivotField showAll="0"/>
    <pivotField numFmtId="14" showAll="0"/>
    <pivotField numFmtId="14" showAll="0"/>
    <pivotField showAll="0"/>
    <pivotField showAll="0"/>
    <pivotField showAll="0"/>
    <pivotField showAll="0"/>
    <pivotField showAll="0"/>
    <pivotField showAll="0"/>
  </pivotFields>
  <rowFields count="1">
    <field x="4"/>
  </rowFields>
  <rowItems count="5">
    <i>
      <x/>
    </i>
    <i>
      <x v="1"/>
    </i>
    <i>
      <x v="2"/>
    </i>
    <i>
      <x v="3"/>
    </i>
    <i>
      <x v="4"/>
    </i>
  </rowItems>
  <colItems count="1">
    <i/>
  </colItems>
  <dataFields count="1">
    <dataField name="Count of Patient_ID" fld="0" subtotal="count" showDataAs="percentOfTotal" baseField="0" baseItem="0" numFmtId="10"/>
  </dataFields>
  <formats count="5">
    <format dxfId="144">
      <pivotArea type="all" dataOnly="0" outline="0" fieldPosition="0"/>
    </format>
    <format dxfId="143">
      <pivotArea outline="0" collapsedLevelsAreSubtotals="1" fieldPosition="0"/>
    </format>
    <format dxfId="142">
      <pivotArea field="4" type="button" dataOnly="0" labelOnly="1" outline="0" axis="axisRow" fieldPosition="0"/>
    </format>
    <format dxfId="141">
      <pivotArea dataOnly="0" labelOnly="1" fieldPosition="0">
        <references count="1">
          <reference field="4" count="0"/>
        </references>
      </pivotArea>
    </format>
    <format dxfId="14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4"/>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A129CF-2258-4DB8-AD8C-83883BF909EA}"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A3:B8" firstHeaderRow="1" firstDataRow="1" firstDataCol="1"/>
  <pivotFields count="14">
    <pivotField showAll="0"/>
    <pivotField showAll="0"/>
    <pivotField showAll="0"/>
    <pivotField showAll="0"/>
    <pivotField axis="axisRow" showAll="0">
      <items count="6">
        <item x="1"/>
        <item x="3"/>
        <item x="4"/>
        <item x="0"/>
        <item x="2"/>
        <item t="default"/>
      </items>
    </pivotField>
    <pivotField showAll="0"/>
    <pivotField numFmtId="14" showAll="0"/>
    <pivotField numFmtId="14" showAll="0"/>
    <pivotField dataField="1" showAll="0"/>
    <pivotField showAll="0"/>
    <pivotField showAll="0"/>
    <pivotField showAll="0"/>
    <pivotField showAll="0"/>
    <pivotField showAll="0"/>
  </pivotFields>
  <rowFields count="1">
    <field x="4"/>
  </rowFields>
  <rowItems count="5">
    <i>
      <x/>
    </i>
    <i>
      <x v="1"/>
    </i>
    <i>
      <x v="2"/>
    </i>
    <i>
      <x v="3"/>
    </i>
    <i>
      <x v="4"/>
    </i>
  </rowItems>
  <colItems count="1">
    <i/>
  </colItems>
  <dataFields count="1">
    <dataField name="Average of Length of Stay" fld="8" subtotal="average" showDataAs="percentOfCol" baseField="4" baseItem="0" numFmtId="10"/>
  </dataFields>
  <formats count="5">
    <format dxfId="139">
      <pivotArea type="all" dataOnly="0" outline="0" fieldPosition="0"/>
    </format>
    <format dxfId="138">
      <pivotArea outline="0" collapsedLevelsAreSubtotals="1" fieldPosition="0"/>
    </format>
    <format dxfId="137">
      <pivotArea field="4" type="button" dataOnly="0" labelOnly="1" outline="0" axis="axisRow" fieldPosition="0"/>
    </format>
    <format dxfId="136">
      <pivotArea dataOnly="0" labelOnly="1" fieldPosition="0">
        <references count="1">
          <reference field="4" count="0"/>
        </references>
      </pivotArea>
    </format>
    <format dxfId="135">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4" format="9">
      <pivotArea type="data" outline="0" fieldPosition="0">
        <references count="2">
          <reference field="4294967294" count="1" selected="0">
            <x v="0"/>
          </reference>
          <reference field="4" count="1" selected="0">
            <x v="1"/>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 chart="4" format="1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9679C1-3169-4780-95F4-D25533EBE597}"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A3:B8" firstHeaderRow="1" firstDataRow="1" firstDataCol="1"/>
  <pivotFields count="14">
    <pivotField showAll="0"/>
    <pivotField showAll="0"/>
    <pivotField showAll="0"/>
    <pivotField showAll="0"/>
    <pivotField axis="axisRow" showAll="0">
      <items count="6">
        <item x="1"/>
        <item x="3"/>
        <item x="4"/>
        <item x="0"/>
        <item x="2"/>
        <item t="default"/>
      </items>
    </pivotField>
    <pivotField showAll="0"/>
    <pivotField numFmtId="14" showAll="0"/>
    <pivotField numFmtId="14" showAll="0"/>
    <pivotField showAll="0"/>
    <pivotField showAll="0"/>
    <pivotField showAll="0"/>
    <pivotField showAll="0"/>
    <pivotField dataField="1" showAll="0"/>
    <pivotField showAll="0"/>
  </pivotFields>
  <rowFields count="1">
    <field x="4"/>
  </rowFields>
  <rowItems count="5">
    <i>
      <x/>
    </i>
    <i>
      <x v="1"/>
    </i>
    <i>
      <x v="2"/>
    </i>
    <i>
      <x v="3"/>
    </i>
    <i>
      <x v="4"/>
    </i>
  </rowItems>
  <colItems count="1">
    <i/>
  </colItems>
  <dataFields count="1">
    <dataField name="Sum of Treatment Success Rate " fld="12" showDataAs="percentOfCol" baseField="0" baseItem="0" numFmtId="10"/>
  </dataFields>
  <formats count="5">
    <format dxfId="134">
      <pivotArea type="all" dataOnly="0" outline="0" fieldPosition="0"/>
    </format>
    <format dxfId="133">
      <pivotArea outline="0" collapsedLevelsAreSubtotals="1" fieldPosition="0"/>
    </format>
    <format dxfId="132">
      <pivotArea field="4" type="button" dataOnly="0" labelOnly="1" outline="0" axis="axisRow" fieldPosition="0"/>
    </format>
    <format dxfId="131">
      <pivotArea dataOnly="0" labelOnly="1" fieldPosition="0">
        <references count="1">
          <reference field="4" count="0"/>
        </references>
      </pivotArea>
    </format>
    <format dxfId="13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0"/>
          </reference>
        </references>
      </pivotArea>
    </chartFormat>
    <chartFormat chart="3" format="14">
      <pivotArea type="data" outline="0" fieldPosition="0">
        <references count="2">
          <reference field="4294967294" count="1" selected="0">
            <x v="0"/>
          </reference>
          <reference field="4" count="1" selected="0">
            <x v="1"/>
          </reference>
        </references>
      </pivotArea>
    </chartFormat>
    <chartFormat chart="3" format="15">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3"/>
          </reference>
        </references>
      </pivotArea>
    </chartFormat>
    <chartFormat chart="3"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58019B-DCE6-4825-845B-3DC82378EECF}"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location ref="A3:B8" firstHeaderRow="1" firstDataRow="1" firstDataCol="1"/>
  <pivotFields count="14">
    <pivotField showAll="0"/>
    <pivotField showAll="0"/>
    <pivotField showAll="0"/>
    <pivotField showAll="0"/>
    <pivotField axis="axisRow" showAll="0">
      <items count="6">
        <item x="1"/>
        <item x="3"/>
        <item x="4"/>
        <item x="0"/>
        <item x="2"/>
        <item t="default"/>
      </items>
    </pivotField>
    <pivotField showAll="0"/>
    <pivotField numFmtId="14" showAll="0"/>
    <pivotField numFmtId="14" showAll="0"/>
    <pivotField showAll="0"/>
    <pivotField showAll="0"/>
    <pivotField showAll="0"/>
    <pivotField showAll="0"/>
    <pivotField showAll="0"/>
    <pivotField dataField="1" showAll="0"/>
  </pivotFields>
  <rowFields count="1">
    <field x="4"/>
  </rowFields>
  <rowItems count="5">
    <i>
      <x/>
    </i>
    <i>
      <x v="1"/>
    </i>
    <i>
      <x v="2"/>
    </i>
    <i>
      <x v="3"/>
    </i>
    <i>
      <x v="4"/>
    </i>
  </rowItems>
  <colItems count="1">
    <i/>
  </colItems>
  <dataFields count="1">
    <dataField name="Sum of Billing_Amount" fld="13" showDataAs="percentOfCol" baseField="4" baseItem="0" numFmtId="10"/>
  </dataFields>
  <formats count="5">
    <format dxfId="129">
      <pivotArea type="all" dataOnly="0" outline="0" fieldPosition="0"/>
    </format>
    <format dxfId="128">
      <pivotArea outline="0" collapsedLevelsAreSubtotals="1" fieldPosition="0"/>
    </format>
    <format dxfId="127">
      <pivotArea field="4" type="button" dataOnly="0" labelOnly="1" outline="0" axis="axisRow" fieldPosition="0"/>
    </format>
    <format dxfId="126">
      <pivotArea dataOnly="0" labelOnly="1" fieldPosition="0">
        <references count="1">
          <reference field="4" count="0"/>
        </references>
      </pivotArea>
    </format>
    <format dxfId="125">
      <pivotArea dataOnly="0" labelOnly="1" outline="0" axis="axisValues" fieldPosition="0"/>
    </format>
  </formats>
  <chartFormats count="9">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4"/>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4"/>
          </reference>
        </references>
      </pivotArea>
    </chartFormat>
    <chartFormat chart="4" format="9">
      <pivotArea type="data" outline="0" fieldPosition="0">
        <references count="2">
          <reference field="4294967294" count="1" selected="0">
            <x v="0"/>
          </reference>
          <reference field="4" count="1" selected="0">
            <x v="3"/>
          </reference>
        </references>
      </pivotArea>
    </chartFormat>
    <chartFormat chart="4" format="10">
      <pivotArea type="data" outline="0" fieldPosition="0">
        <references count="2">
          <reference field="4294967294" count="1" selected="0">
            <x v="0"/>
          </reference>
          <reference field="4" count="1" selected="0">
            <x v="2"/>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D76A76-500A-4502-95D6-9840E65880D8}"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location ref="A3:B7" firstHeaderRow="1" firstDataRow="1" firstDataCol="1"/>
  <pivotFields count="14">
    <pivotField showAll="0"/>
    <pivotField showAll="0"/>
    <pivotField showAll="0"/>
    <pivotField showAll="0"/>
    <pivotField showAll="0">
      <items count="6">
        <item x="1"/>
        <item x="3"/>
        <item x="4"/>
        <item x="0"/>
        <item x="2"/>
        <item t="default"/>
      </items>
    </pivotField>
    <pivotField showAll="0"/>
    <pivotField numFmtId="14" showAll="0"/>
    <pivotField numFmtId="14" showAll="0"/>
    <pivotField showAll="0"/>
    <pivotField showAll="0"/>
    <pivotField axis="axisRow" showAll="0">
      <items count="5">
        <item x="3"/>
        <item x="1"/>
        <item x="0"/>
        <item x="2"/>
        <item t="default"/>
      </items>
    </pivotField>
    <pivotField showAll="0"/>
    <pivotField showAll="0"/>
    <pivotField dataField="1" showAll="0"/>
  </pivotFields>
  <rowFields count="1">
    <field x="10"/>
  </rowFields>
  <rowItems count="4">
    <i>
      <x/>
    </i>
    <i>
      <x v="1"/>
    </i>
    <i>
      <x v="2"/>
    </i>
    <i>
      <x v="3"/>
    </i>
  </rowItems>
  <colItems count="1">
    <i/>
  </colItems>
  <dataFields count="1">
    <dataField name="Sum of Billing_Amount" fld="13" showDataAs="percentOfCol" baseField="0" baseItem="0" numFmtId="10"/>
  </dataFields>
  <formats count="5">
    <format dxfId="124">
      <pivotArea type="all" dataOnly="0" outline="0" fieldPosition="0"/>
    </format>
    <format dxfId="123">
      <pivotArea outline="0" collapsedLevelsAreSubtotals="1" fieldPosition="0"/>
    </format>
    <format dxfId="122">
      <pivotArea field="10" type="button" dataOnly="0" labelOnly="1" outline="0" axis="axisRow" fieldPosition="0"/>
    </format>
    <format dxfId="121">
      <pivotArea dataOnly="0" labelOnly="1" fieldPosition="0">
        <references count="1">
          <reference field="10" count="0"/>
        </references>
      </pivotArea>
    </format>
    <format dxfId="120">
      <pivotArea dataOnly="0" labelOnly="1" outline="0" axis="axisValues"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2"/>
          </reference>
        </references>
      </pivotArea>
    </chartFormat>
    <chartFormat chart="2" format="2">
      <pivotArea type="data" outline="0" fieldPosition="0">
        <references count="2">
          <reference field="4294967294" count="1" selected="0">
            <x v="0"/>
          </reference>
          <reference field="10" count="1" selected="0">
            <x v="3"/>
          </reference>
        </references>
      </pivotArea>
    </chartFormat>
    <chartFormat chart="2" format="3">
      <pivotArea type="data" outline="0" fieldPosition="0">
        <references count="2">
          <reference field="4294967294" count="1" selected="0">
            <x v="0"/>
          </reference>
          <reference field="10" count="1" selected="0">
            <x v="0"/>
          </reference>
        </references>
      </pivotArea>
    </chartFormat>
    <chartFormat chart="2" format="4">
      <pivotArea type="data" outline="0" fieldPosition="0">
        <references count="2">
          <reference field="4294967294" count="1" selected="0">
            <x v="0"/>
          </reference>
          <reference field="10"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0" count="1" selected="0">
            <x v="0"/>
          </reference>
        </references>
      </pivotArea>
    </chartFormat>
    <chartFormat chart="5" format="12">
      <pivotArea type="data" outline="0" fieldPosition="0">
        <references count="2">
          <reference field="4294967294" count="1" selected="0">
            <x v="0"/>
          </reference>
          <reference field="10" count="1" selected="0">
            <x v="1"/>
          </reference>
        </references>
      </pivotArea>
    </chartFormat>
    <chartFormat chart="5" format="13">
      <pivotArea type="data" outline="0" fieldPosition="0">
        <references count="2">
          <reference field="4294967294" count="1" selected="0">
            <x v="0"/>
          </reference>
          <reference field="10" count="1" selected="0">
            <x v="2"/>
          </reference>
        </references>
      </pivotArea>
    </chartFormat>
    <chartFormat chart="5" format="1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553CA96-9767-40CC-AC6F-D7909869578A}" sourceName="Age group">
  <pivotTables>
    <pivotTable tabId="5" name="PivotTable1"/>
  </pivotTables>
  <data>
    <tabular pivotCacheId="1917477988">
      <items count="5">
        <i x="2" s="1"/>
        <i x="0" s="1"/>
        <i x="3"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73286F7-729B-4F96-AFEF-4C10435E5225}" sourceName="Gender">
  <pivotTables>
    <pivotTable tabId="5" name="PivotTable1"/>
  </pivotTables>
  <data>
    <tabular pivotCacheId="191747798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86E9E6D-3D75-4704-B97F-41E2294D86AC}" sourceName="Department">
  <pivotTables>
    <pivotTable tabId="5" name="PivotTable1"/>
    <pivotTable tabId="12" name="PivotTable5"/>
    <pivotTable tabId="6" name="PivotTable2"/>
    <pivotTable tabId="8" name="PivotTable3"/>
    <pivotTable tabId="13" name="PivotTable6"/>
    <pivotTable tabId="10" name="PivotTable4"/>
  </pivotTables>
  <data>
    <tabular pivotCacheId="1917477988">
      <items count="5">
        <i x="1" s="1"/>
        <i x="3" s="1"/>
        <i x="4"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ID" xr10:uid="{B9118873-0578-41A5-8445-C61EEE883793}" sourceName="Doctor_ID">
  <pivotTables>
    <pivotTable tabId="5" name="PivotTable1"/>
  </pivotTables>
  <data>
    <tabular pivotCacheId="1917477988">
      <items count="25">
        <i x="19"/>
        <i x="11"/>
        <i x="9"/>
        <i x="21"/>
        <i x="24"/>
        <i x="17"/>
        <i x="4"/>
        <i x="0"/>
        <i x="5"/>
        <i x="20"/>
        <i x="23"/>
        <i x="16"/>
        <i x="13"/>
        <i x="22"/>
        <i x="1"/>
        <i x="8"/>
        <i x="10"/>
        <i x="15"/>
        <i x="14"/>
        <i x="6" s="1"/>
        <i x="18"/>
        <i x="12"/>
        <i x="7"/>
        <i x="3"/>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Success" xr10:uid="{E6EED767-9455-4F44-A56E-BDC851503DF1}" sourceName="Treatment_Success">
  <pivotTables>
    <pivotTable tabId="5" name="PivotTable1"/>
  </pivotTables>
  <data>
    <tabular pivotCacheId="1917477988">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E965AD6E-B787-47C7-AC67-1F13411D95B2}" cache="Slicer_Age_group" caption="Age group" style="SlicerStyleLight1 2 7" rowHeight="241300"/>
  <slicer name="Gender" xr10:uid="{221BF965-C39F-45C3-AC5D-D3E11C0A8181}" cache="Slicer_Gender" caption="Gender" style="SlicerStyleLight1 2 7" rowHeight="241300"/>
  <slicer name="Department" xr10:uid="{E1048B84-CF26-43A6-97F9-3874FBC00442}" cache="Slicer_Department" caption="Department" style="SlicerStyleLight1 2 7" rowHeight="241300"/>
  <slicer name="Doctor_ID" xr10:uid="{2FD19261-802A-4E78-BACE-180694D59FF1}" cache="Slicer_Doctor_ID" caption="Doctor_ID" startItem="15" style="SlicerStyleLight1 2 7" rowHeight="241300"/>
  <slicer name="Treatment_Success" xr10:uid="{227B97DF-549E-4681-86F7-88EDB4B2ECF4}" cache="Slicer_Treatment_Success" caption="Treatment_Success" style="SlicerStyleLight1 2 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001" totalsRowShown="0">
  <tableColumns count="11">
    <tableColumn id="1" xr3:uid="{00000000-0010-0000-0000-000001000000}" name="Patient_ID"/>
    <tableColumn id="2" xr3:uid="{00000000-0010-0000-0000-000002000000}" name="Age"/>
    <tableColumn id="3" xr3:uid="{00000000-0010-0000-0000-000003000000}" name="Gender"/>
    <tableColumn id="4" xr3:uid="{00000000-0010-0000-0000-000004000000}" name="Department"/>
    <tableColumn id="5" xr3:uid="{00000000-0010-0000-0000-000005000000}" name="Doctor_ID"/>
    <tableColumn id="6" xr3:uid="{00000000-0010-0000-0000-000006000000}" name="Admission_Date" dataDxfId="156"/>
    <tableColumn id="7" xr3:uid="{00000000-0010-0000-0000-000007000000}" name="Discharge_Date" dataDxfId="155"/>
    <tableColumn id="8" xr3:uid="{00000000-0010-0000-0000-000008000000}" name="Bed_ID"/>
    <tableColumn id="9" xr3:uid="{00000000-0010-0000-0000-000009000000}" name="Procedure"/>
    <tableColumn id="10" xr3:uid="{00000000-0010-0000-0000-00000A000000}" name="Treatment_Success"/>
    <tableColumn id="11" xr3:uid="{00000000-0010-0000-0000-00000B000000}" name="Billing_Amount"/>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E45FD5-6D44-492B-A920-8A62774892E2}" name="Table3" displayName="Table3" ref="A1:N1001" totalsRowShown="0">
  <autoFilter ref="A1:N1001" xr:uid="{EFF41A88-01B5-490B-9F2F-62966829C742}"/>
  <sortState ref="A2:N1001">
    <sortCondition ref="A1:A1001"/>
  </sortState>
  <tableColumns count="14">
    <tableColumn id="1" xr3:uid="{2C5F59A5-A6BB-46AC-82FB-7F87341E20A9}" name="Patient_ID"/>
    <tableColumn id="2" xr3:uid="{F69B84A8-A1ED-48B8-AB66-32AD5EFDC97E}" name="Age"/>
    <tableColumn id="12" xr3:uid="{8D37BB08-FC52-4D7F-8223-351E1E075F76}" name="Age Group" dataDxfId="154">
      <calculatedColumnFormula>_xlfn.IFS(Table3[[#This Row],[Age]]&lt;=10, "Child",Table3[[#This Row],[Age]]&lt;18, "Teenger", Table3[[#This Row],[Age]]&lt;30, "Middle Age", Table3[[#This Row],[Age]]&lt; 60,"Adult",Table3[[#This Row],[Age]],"Senior Citizen")</calculatedColumnFormula>
    </tableColumn>
    <tableColumn id="3" xr3:uid="{3BC87F56-DEC6-4460-A09E-5F940FC37C70}" name="Gender"/>
    <tableColumn id="4" xr3:uid="{525D67C4-3AA0-4CE1-81BC-A2EEFF435760}" name="Department"/>
    <tableColumn id="5" xr3:uid="{0683E52C-2CEE-4805-8A86-1D6978062836}" name="Doctor_ID"/>
    <tableColumn id="6" xr3:uid="{569616C5-55C1-4C1C-8B56-C19104D92FC5}" name="Admission_Date" dataDxfId="153"/>
    <tableColumn id="7" xr3:uid="{0AD89789-CBA2-42EF-93B5-6B41107E83D6}" name="Discharge_Date" dataDxfId="152"/>
    <tableColumn id="14" xr3:uid="{CF44AEBF-CADC-4714-84D2-154CE7754C57}" name="Length of Stay" dataDxfId="151">
      <calculatedColumnFormula>Table3[[#This Row],[Discharge_Date]]-Table3[[#This Row],[Admission_Date]]</calculatedColumnFormula>
    </tableColumn>
    <tableColumn id="8" xr3:uid="{BF16FA6D-74C0-498F-A2A2-0CF202268474}" name="Bed_ID"/>
    <tableColumn id="9" xr3:uid="{5FC09995-5DE0-4AED-9ADF-D0C12E5071D9}" name="Procedure"/>
    <tableColumn id="10" xr3:uid="{89866A1E-60A9-478A-A291-EC2556496DB3}" name="Treatment_Success"/>
    <tableColumn id="13" xr3:uid="{93EB0685-17C4-479B-B2C9-AA8A8E9ACA81}" name="Treatment Success Rate " dataDxfId="150">
      <calculatedColumnFormula>IF(Table3[[#This Row],[Treatment_Success]]="Yes",1,0)</calculatedColumnFormula>
    </tableColumn>
    <tableColumn id="11" xr3:uid="{5124BA92-489E-42A8-8108-333306397EA4}" name="Billing_Amount"/>
  </tableColumns>
  <tableStyleInfo name="TableStyleMedium2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554B6-CAAA-46B4-9946-5A583D86B428}">
  <dimension ref="B1:AB78"/>
  <sheetViews>
    <sheetView showGridLines="0" tabSelected="1" zoomScale="40" zoomScaleNormal="40" workbookViewId="0">
      <selection activeCell="I106" sqref="I106"/>
    </sheetView>
  </sheetViews>
  <sheetFormatPr defaultRowHeight="14.5" x14ac:dyDescent="0.35"/>
  <cols>
    <col min="1" max="1" width="101.7265625" customWidth="1"/>
  </cols>
  <sheetData>
    <row r="1" spans="2:28" ht="83" customHeight="1" thickBot="1" x14ac:dyDescent="0.4">
      <c r="B1" s="47" t="str">
        <f>UPPER("Healthcare Performance Analysis Dashboard using Excel")</f>
        <v>HEALTHCARE PERFORMANCE ANALYSIS DASHBOARD USING EXCEL</v>
      </c>
      <c r="C1" s="48"/>
      <c r="D1" s="48"/>
      <c r="E1" s="48"/>
      <c r="F1" s="48"/>
      <c r="G1" s="48"/>
      <c r="H1" s="48"/>
      <c r="I1" s="48"/>
      <c r="J1" s="48"/>
      <c r="K1" s="48"/>
      <c r="L1" s="48"/>
      <c r="M1" s="48"/>
      <c r="N1" s="48"/>
      <c r="O1" s="48"/>
      <c r="P1" s="48"/>
      <c r="Q1" s="48"/>
      <c r="R1" s="48"/>
      <c r="S1" s="48"/>
      <c r="T1" s="48"/>
      <c r="U1" s="48"/>
      <c r="V1" s="48"/>
      <c r="W1" s="48"/>
      <c r="X1" s="48"/>
      <c r="Y1" s="48"/>
      <c r="Z1" s="48"/>
      <c r="AA1" s="48"/>
      <c r="AB1" s="49"/>
    </row>
    <row r="2" spans="2:28" ht="83" customHeight="1" x14ac:dyDescent="0.35">
      <c r="B2" s="6"/>
      <c r="C2" s="4"/>
      <c r="D2" s="4"/>
      <c r="E2" s="4"/>
      <c r="F2" s="4"/>
      <c r="G2" s="4"/>
      <c r="H2" s="4"/>
      <c r="I2" s="4"/>
      <c r="J2" s="4"/>
      <c r="K2" s="4"/>
      <c r="L2" s="4"/>
      <c r="M2" s="4"/>
      <c r="N2" s="4"/>
      <c r="O2" s="4"/>
      <c r="P2" s="4"/>
      <c r="Q2" s="4"/>
      <c r="R2" s="4"/>
      <c r="S2" s="4"/>
      <c r="T2" s="4"/>
      <c r="U2" s="4"/>
      <c r="V2" s="4"/>
      <c r="W2" s="4"/>
      <c r="X2" s="4"/>
      <c r="Y2" s="4"/>
      <c r="Z2" s="4"/>
      <c r="AA2" s="4"/>
      <c r="AB2" s="5"/>
    </row>
    <row r="3" spans="2:28" ht="36" x14ac:dyDescent="0.35">
      <c r="B3" s="16" t="s">
        <v>1080</v>
      </c>
      <c r="C3" s="17"/>
      <c r="D3" s="17"/>
      <c r="E3" s="17"/>
      <c r="F3" s="17"/>
      <c r="G3" s="17"/>
      <c r="H3" s="17"/>
      <c r="I3" s="17"/>
      <c r="J3" s="17"/>
      <c r="K3" s="17"/>
      <c r="L3" s="17"/>
      <c r="M3" s="17"/>
      <c r="N3" s="17"/>
      <c r="O3" s="17"/>
      <c r="P3" s="17"/>
      <c r="Q3" s="17"/>
      <c r="R3" s="17"/>
      <c r="S3" s="17"/>
      <c r="T3" s="17"/>
      <c r="U3" s="17"/>
      <c r="V3" s="17"/>
      <c r="W3" s="17"/>
      <c r="X3" s="17"/>
      <c r="Y3" s="17"/>
      <c r="Z3" s="17"/>
      <c r="AA3" s="17"/>
      <c r="AB3" s="18"/>
    </row>
    <row r="4" spans="2:28" ht="36" x14ac:dyDescent="0.8">
      <c r="B4" s="10"/>
      <c r="C4" s="11"/>
      <c r="D4" s="11"/>
      <c r="E4" s="11"/>
      <c r="F4" s="11"/>
      <c r="G4" s="11"/>
      <c r="H4" s="11"/>
      <c r="I4" s="11"/>
      <c r="J4" s="11"/>
      <c r="K4" s="11"/>
      <c r="L4" s="11"/>
      <c r="M4" s="11"/>
      <c r="N4" s="11"/>
      <c r="O4" s="11"/>
      <c r="P4" s="11"/>
      <c r="Q4" s="11"/>
      <c r="R4" s="11"/>
      <c r="S4" s="11"/>
      <c r="T4" s="11"/>
      <c r="U4" s="11"/>
      <c r="V4" s="11"/>
      <c r="W4" s="12"/>
      <c r="X4" s="4"/>
      <c r="Y4" s="4"/>
      <c r="Z4" s="4"/>
      <c r="AA4" s="4"/>
      <c r="AB4" s="5"/>
    </row>
    <row r="5" spans="2:28" ht="116.5" customHeight="1" x14ac:dyDescent="0.35">
      <c r="B5" s="50" t="s">
        <v>1081</v>
      </c>
      <c r="C5" s="51"/>
      <c r="D5" s="51"/>
      <c r="E5" s="51"/>
      <c r="F5" s="51"/>
      <c r="G5" s="51"/>
      <c r="H5" s="51"/>
      <c r="I5" s="51"/>
      <c r="J5" s="51"/>
      <c r="K5" s="51"/>
      <c r="L5" s="51"/>
      <c r="M5" s="51"/>
      <c r="N5" s="51"/>
      <c r="O5" s="51"/>
      <c r="P5" s="51"/>
      <c r="Q5" s="51"/>
      <c r="R5" s="51"/>
      <c r="S5" s="51"/>
      <c r="T5" s="51"/>
      <c r="U5" s="51"/>
      <c r="V5" s="51"/>
      <c r="W5" s="51"/>
      <c r="X5" s="51"/>
      <c r="Y5" s="51"/>
      <c r="Z5" s="51"/>
      <c r="AA5" s="51"/>
      <c r="AB5" s="52"/>
    </row>
    <row r="6" spans="2:28" ht="36" x14ac:dyDescent="0.8">
      <c r="B6" s="13"/>
      <c r="C6" s="14"/>
      <c r="D6" s="14"/>
      <c r="E6" s="14"/>
      <c r="F6" s="14"/>
      <c r="G6" s="14"/>
      <c r="H6" s="14"/>
      <c r="I6" s="14"/>
      <c r="J6" s="14"/>
      <c r="K6" s="14"/>
      <c r="L6" s="14"/>
      <c r="M6" s="14"/>
      <c r="N6" s="14"/>
      <c r="O6" s="14"/>
      <c r="P6" s="14"/>
      <c r="Q6" s="14"/>
      <c r="R6" s="14"/>
      <c r="S6" s="14"/>
      <c r="T6" s="14"/>
      <c r="U6" s="14"/>
      <c r="V6" s="14"/>
      <c r="W6" s="12"/>
      <c r="X6" s="4"/>
      <c r="Y6" s="4"/>
      <c r="Z6" s="4"/>
      <c r="AA6" s="4"/>
      <c r="AB6" s="5"/>
    </row>
    <row r="7" spans="2:28" ht="36" x14ac:dyDescent="0.8">
      <c r="B7" s="10"/>
      <c r="C7" s="11"/>
      <c r="D7" s="11"/>
      <c r="E7" s="11"/>
      <c r="F7" s="11"/>
      <c r="G7" s="11"/>
      <c r="H7" s="11"/>
      <c r="I7" s="11"/>
      <c r="J7" s="11"/>
      <c r="K7" s="11"/>
      <c r="L7" s="11"/>
      <c r="M7" s="11"/>
      <c r="N7" s="11"/>
      <c r="O7" s="11"/>
      <c r="P7" s="11"/>
      <c r="Q7" s="11"/>
      <c r="R7" s="11"/>
      <c r="S7" s="11"/>
      <c r="T7" s="11"/>
      <c r="U7" s="11"/>
      <c r="V7" s="11"/>
      <c r="W7" s="12"/>
      <c r="X7" s="4"/>
      <c r="Y7" s="4"/>
      <c r="Z7" s="4"/>
      <c r="AA7" s="4"/>
      <c r="AB7" s="5"/>
    </row>
    <row r="8" spans="2:28" ht="36" x14ac:dyDescent="0.8">
      <c r="B8" s="10"/>
      <c r="C8" s="11"/>
      <c r="D8" s="11"/>
      <c r="E8" s="11"/>
      <c r="F8" s="11"/>
      <c r="G8" s="11"/>
      <c r="H8" s="11"/>
      <c r="I8" s="11"/>
      <c r="J8" s="11"/>
      <c r="K8" s="11"/>
      <c r="L8" s="11"/>
      <c r="M8" s="11"/>
      <c r="N8" s="11"/>
      <c r="O8" s="11"/>
      <c r="P8" s="11"/>
      <c r="Q8" s="11"/>
      <c r="R8" s="11"/>
      <c r="S8" s="11"/>
      <c r="T8" s="11"/>
      <c r="U8" s="11"/>
      <c r="V8" s="11"/>
      <c r="W8" s="12"/>
      <c r="X8" s="4"/>
      <c r="Y8" s="4"/>
      <c r="Z8" s="4"/>
      <c r="AA8" s="4"/>
      <c r="AB8" s="5"/>
    </row>
    <row r="9" spans="2:28" ht="36" x14ac:dyDescent="0.35">
      <c r="B9" s="53" t="s">
        <v>1082</v>
      </c>
      <c r="C9" s="54"/>
      <c r="D9" s="54"/>
      <c r="E9" s="54"/>
      <c r="F9" s="54"/>
      <c r="G9" s="54"/>
      <c r="H9" s="54"/>
      <c r="I9" s="54"/>
      <c r="J9" s="54"/>
      <c r="K9" s="54"/>
      <c r="L9" s="54"/>
      <c r="M9" s="54"/>
      <c r="N9" s="54"/>
      <c r="O9" s="54"/>
      <c r="P9" s="54"/>
      <c r="Q9" s="54"/>
      <c r="R9" s="54"/>
      <c r="S9" s="54"/>
      <c r="T9" s="54"/>
      <c r="U9" s="54"/>
      <c r="V9" s="54"/>
      <c r="W9" s="54"/>
      <c r="X9" s="54"/>
      <c r="Y9" s="54"/>
      <c r="Z9" s="54"/>
      <c r="AA9" s="54"/>
      <c r="AB9" s="55"/>
    </row>
    <row r="10" spans="2:28" ht="36" x14ac:dyDescent="0.8">
      <c r="B10" s="10"/>
      <c r="C10" s="11"/>
      <c r="D10" s="11"/>
      <c r="E10" s="11"/>
      <c r="F10" s="11"/>
      <c r="G10" s="11"/>
      <c r="H10" s="11"/>
      <c r="I10" s="11"/>
      <c r="J10" s="11"/>
      <c r="K10" s="11"/>
      <c r="L10" s="11"/>
      <c r="M10" s="11"/>
      <c r="N10" s="11"/>
      <c r="O10" s="11"/>
      <c r="P10" s="11"/>
      <c r="Q10" s="11"/>
      <c r="R10" s="11"/>
      <c r="S10" s="11"/>
      <c r="T10" s="11"/>
      <c r="U10" s="11"/>
      <c r="V10" s="11"/>
      <c r="W10" s="12"/>
      <c r="X10" s="4"/>
      <c r="Y10" s="4"/>
      <c r="Z10" s="4"/>
      <c r="AA10" s="4"/>
      <c r="AB10" s="5"/>
    </row>
    <row r="11" spans="2:28" ht="36" x14ac:dyDescent="0.8">
      <c r="B11" s="10" t="s">
        <v>1092</v>
      </c>
      <c r="C11" s="11"/>
      <c r="D11" s="11"/>
      <c r="E11" s="11"/>
      <c r="F11" s="11"/>
      <c r="G11" s="11"/>
      <c r="H11" s="11"/>
      <c r="I11" s="11"/>
      <c r="J11" s="11"/>
      <c r="K11" s="11"/>
      <c r="L11" s="11"/>
      <c r="M11" s="11"/>
      <c r="N11" s="11"/>
      <c r="O11" s="11"/>
      <c r="P11" s="11"/>
      <c r="Q11" s="11"/>
      <c r="R11" s="11"/>
      <c r="S11" s="11"/>
      <c r="T11" s="11"/>
      <c r="U11" s="11"/>
      <c r="V11" s="11"/>
      <c r="W11" s="12"/>
      <c r="X11" s="4"/>
      <c r="Y11" s="4"/>
      <c r="Z11" s="4"/>
      <c r="AA11" s="4"/>
      <c r="AB11" s="5"/>
    </row>
    <row r="12" spans="2:28" ht="36" x14ac:dyDescent="0.8">
      <c r="B12" s="10"/>
      <c r="C12" s="11"/>
      <c r="D12" s="11"/>
      <c r="E12" s="11"/>
      <c r="F12" s="11"/>
      <c r="G12" s="11"/>
      <c r="H12" s="11"/>
      <c r="I12" s="11"/>
      <c r="J12" s="11"/>
      <c r="K12" s="11"/>
      <c r="L12" s="11"/>
      <c r="M12" s="11"/>
      <c r="N12" s="11"/>
      <c r="O12" s="11"/>
      <c r="P12" s="11"/>
      <c r="Q12" s="11"/>
      <c r="R12" s="11"/>
      <c r="S12" s="11"/>
      <c r="T12" s="11"/>
      <c r="U12" s="11"/>
      <c r="V12" s="11"/>
      <c r="W12" s="12"/>
      <c r="X12" s="4"/>
      <c r="Y12" s="4"/>
      <c r="Z12" s="4"/>
      <c r="AA12" s="4"/>
      <c r="AB12" s="5"/>
    </row>
    <row r="13" spans="2:28" ht="36" x14ac:dyDescent="0.8">
      <c r="B13" s="10" t="s">
        <v>1093</v>
      </c>
      <c r="C13" s="11"/>
      <c r="D13" s="11"/>
      <c r="E13" s="11"/>
      <c r="F13" s="11"/>
      <c r="G13" s="11"/>
      <c r="H13" s="11"/>
      <c r="I13" s="11"/>
      <c r="J13" s="11"/>
      <c r="K13" s="11"/>
      <c r="L13" s="11"/>
      <c r="M13" s="11"/>
      <c r="N13" s="11"/>
      <c r="O13" s="11"/>
      <c r="P13" s="11"/>
      <c r="Q13" s="11"/>
      <c r="R13" s="11"/>
      <c r="S13" s="11"/>
      <c r="T13" s="11"/>
      <c r="U13" s="11"/>
      <c r="V13" s="11"/>
      <c r="W13" s="12"/>
      <c r="X13" s="4"/>
      <c r="Y13" s="4"/>
      <c r="Z13" s="4"/>
      <c r="AA13" s="4"/>
      <c r="AB13" s="5"/>
    </row>
    <row r="14" spans="2:28" ht="36" x14ac:dyDescent="0.8">
      <c r="B14" s="10"/>
      <c r="C14" s="11"/>
      <c r="D14" s="11"/>
      <c r="E14" s="11"/>
      <c r="F14" s="11"/>
      <c r="G14" s="11"/>
      <c r="H14" s="11"/>
      <c r="I14" s="11"/>
      <c r="J14" s="11"/>
      <c r="K14" s="11"/>
      <c r="L14" s="11"/>
      <c r="M14" s="11"/>
      <c r="N14" s="11"/>
      <c r="O14" s="11"/>
      <c r="P14" s="11"/>
      <c r="Q14" s="11"/>
      <c r="R14" s="11"/>
      <c r="S14" s="11"/>
      <c r="T14" s="11"/>
      <c r="U14" s="11"/>
      <c r="V14" s="11"/>
      <c r="W14" s="12"/>
      <c r="X14" s="4"/>
      <c r="Y14" s="4"/>
      <c r="Z14" s="4"/>
      <c r="AA14" s="4"/>
      <c r="AB14" s="5"/>
    </row>
    <row r="15" spans="2:28" ht="36" x14ac:dyDescent="0.8">
      <c r="B15" s="10" t="s">
        <v>1094</v>
      </c>
      <c r="C15" s="11"/>
      <c r="D15" s="11"/>
      <c r="E15" s="11"/>
      <c r="F15" s="11"/>
      <c r="G15" s="11"/>
      <c r="H15" s="11"/>
      <c r="I15" s="11"/>
      <c r="J15" s="11"/>
      <c r="K15" s="11"/>
      <c r="L15" s="11"/>
      <c r="M15" s="11"/>
      <c r="N15" s="11"/>
      <c r="O15" s="11"/>
      <c r="P15" s="11"/>
      <c r="Q15" s="11"/>
      <c r="R15" s="11"/>
      <c r="S15" s="11"/>
      <c r="T15" s="11"/>
      <c r="U15" s="11"/>
      <c r="V15" s="11"/>
      <c r="W15" s="12"/>
      <c r="X15" s="4"/>
      <c r="Y15" s="4"/>
      <c r="Z15" s="4"/>
      <c r="AA15" s="4"/>
      <c r="AB15" s="5"/>
    </row>
    <row r="16" spans="2:28" ht="36" x14ac:dyDescent="0.8">
      <c r="B16" s="10"/>
      <c r="C16" s="11"/>
      <c r="D16" s="11"/>
      <c r="E16" s="11"/>
      <c r="F16" s="11"/>
      <c r="G16" s="11"/>
      <c r="H16" s="11"/>
      <c r="I16" s="11"/>
      <c r="J16" s="11"/>
      <c r="K16" s="11"/>
      <c r="L16" s="11"/>
      <c r="M16" s="11"/>
      <c r="N16" s="11"/>
      <c r="O16" s="11"/>
      <c r="P16" s="11"/>
      <c r="Q16" s="11"/>
      <c r="R16" s="11"/>
      <c r="S16" s="11"/>
      <c r="T16" s="11"/>
      <c r="U16" s="11"/>
      <c r="V16" s="11"/>
      <c r="W16" s="12"/>
      <c r="X16" s="4"/>
      <c r="Y16" s="4"/>
      <c r="Z16" s="4"/>
      <c r="AA16" s="4"/>
      <c r="AB16" s="5"/>
    </row>
    <row r="17" spans="2:28" ht="36" x14ac:dyDescent="0.8">
      <c r="B17" s="10" t="s">
        <v>1095</v>
      </c>
      <c r="C17" s="11"/>
      <c r="D17" s="11"/>
      <c r="E17" s="11"/>
      <c r="F17" s="11"/>
      <c r="G17" s="11"/>
      <c r="H17" s="11"/>
      <c r="I17" s="11"/>
      <c r="J17" s="11"/>
      <c r="K17" s="11"/>
      <c r="L17" s="11"/>
      <c r="M17" s="11"/>
      <c r="N17" s="11"/>
      <c r="O17" s="11"/>
      <c r="P17" s="11"/>
      <c r="Q17" s="11"/>
      <c r="R17" s="11"/>
      <c r="S17" s="11"/>
      <c r="T17" s="11"/>
      <c r="U17" s="11"/>
      <c r="V17" s="11"/>
      <c r="W17" s="12"/>
      <c r="X17" s="4"/>
      <c r="Y17" s="4"/>
      <c r="Z17" s="4"/>
      <c r="AA17" s="4"/>
      <c r="AB17" s="5"/>
    </row>
    <row r="18" spans="2:28" ht="36" x14ac:dyDescent="0.8">
      <c r="B18" s="10"/>
      <c r="C18" s="11"/>
      <c r="D18" s="11"/>
      <c r="E18" s="11"/>
      <c r="F18" s="11"/>
      <c r="G18" s="11"/>
      <c r="H18" s="11"/>
      <c r="I18" s="11"/>
      <c r="J18" s="11"/>
      <c r="K18" s="11"/>
      <c r="L18" s="11"/>
      <c r="M18" s="11"/>
      <c r="N18" s="11"/>
      <c r="O18" s="11"/>
      <c r="P18" s="11"/>
      <c r="Q18" s="11"/>
      <c r="R18" s="11"/>
      <c r="S18" s="11"/>
      <c r="T18" s="11"/>
      <c r="U18" s="11"/>
      <c r="V18" s="11"/>
      <c r="W18" s="12"/>
      <c r="X18" s="4"/>
      <c r="Y18" s="4"/>
      <c r="Z18" s="4"/>
      <c r="AA18" s="4"/>
      <c r="AB18" s="5"/>
    </row>
    <row r="19" spans="2:28" ht="36" x14ac:dyDescent="0.8">
      <c r="B19" s="10" t="s">
        <v>1096</v>
      </c>
      <c r="C19" s="11"/>
      <c r="D19" s="11"/>
      <c r="E19" s="11"/>
      <c r="F19" s="11"/>
      <c r="G19" s="11"/>
      <c r="H19" s="11"/>
      <c r="I19" s="11"/>
      <c r="J19" s="11"/>
      <c r="K19" s="11"/>
      <c r="L19" s="11"/>
      <c r="M19" s="11"/>
      <c r="N19" s="11"/>
      <c r="O19" s="11"/>
      <c r="P19" s="11"/>
      <c r="Q19" s="11"/>
      <c r="R19" s="11"/>
      <c r="S19" s="11"/>
      <c r="T19" s="11"/>
      <c r="U19" s="11"/>
      <c r="V19" s="11"/>
      <c r="W19" s="12"/>
      <c r="X19" s="4"/>
      <c r="Y19" s="4"/>
      <c r="Z19" s="4"/>
      <c r="AA19" s="4"/>
      <c r="AB19" s="5"/>
    </row>
    <row r="20" spans="2:28" ht="36" x14ac:dyDescent="0.8">
      <c r="B20" s="10"/>
      <c r="C20" s="11"/>
      <c r="D20" s="11"/>
      <c r="E20" s="11"/>
      <c r="F20" s="11"/>
      <c r="G20" s="11"/>
      <c r="H20" s="11"/>
      <c r="I20" s="11"/>
      <c r="J20" s="11"/>
      <c r="K20" s="11"/>
      <c r="L20" s="11"/>
      <c r="M20" s="11"/>
      <c r="N20" s="11"/>
      <c r="O20" s="11"/>
      <c r="P20" s="11"/>
      <c r="Q20" s="11"/>
      <c r="R20" s="11"/>
      <c r="S20" s="11"/>
      <c r="T20" s="11"/>
      <c r="U20" s="11"/>
      <c r="V20" s="11"/>
      <c r="W20" s="12"/>
      <c r="X20" s="4"/>
      <c r="Y20" s="4"/>
      <c r="Z20" s="4"/>
      <c r="AA20" s="4"/>
      <c r="AB20" s="5"/>
    </row>
    <row r="21" spans="2:28" ht="36" x14ac:dyDescent="0.8">
      <c r="B21" s="10"/>
      <c r="C21" s="11"/>
      <c r="D21" s="11"/>
      <c r="E21" s="11"/>
      <c r="F21" s="11"/>
      <c r="G21" s="11"/>
      <c r="H21" s="11"/>
      <c r="I21" s="11"/>
      <c r="J21" s="11"/>
      <c r="K21" s="11"/>
      <c r="L21" s="11"/>
      <c r="M21" s="11"/>
      <c r="N21" s="11"/>
      <c r="O21" s="11"/>
      <c r="P21" s="11"/>
      <c r="Q21" s="11"/>
      <c r="R21" s="11"/>
      <c r="S21" s="11"/>
      <c r="T21" s="11"/>
      <c r="U21" s="11"/>
      <c r="V21" s="11"/>
      <c r="W21" s="12"/>
      <c r="X21" s="4"/>
      <c r="Y21" s="4"/>
      <c r="Z21" s="4"/>
      <c r="AA21" s="4"/>
      <c r="AB21" s="5"/>
    </row>
    <row r="22" spans="2:28" ht="36" x14ac:dyDescent="0.8">
      <c r="B22" s="10"/>
      <c r="C22" s="11"/>
      <c r="D22" s="11"/>
      <c r="E22" s="11"/>
      <c r="F22" s="11"/>
      <c r="G22" s="11"/>
      <c r="H22" s="11"/>
      <c r="I22" s="11"/>
      <c r="J22" s="11"/>
      <c r="K22" s="11"/>
      <c r="L22" s="11"/>
      <c r="M22" s="11"/>
      <c r="N22" s="11"/>
      <c r="O22" s="11"/>
      <c r="P22" s="11"/>
      <c r="Q22" s="11"/>
      <c r="R22" s="11"/>
      <c r="S22" s="11"/>
      <c r="T22" s="11"/>
      <c r="U22" s="11"/>
      <c r="V22" s="11"/>
      <c r="W22" s="12"/>
      <c r="X22" s="4"/>
      <c r="Y22" s="4"/>
      <c r="Z22" s="4"/>
      <c r="AA22" s="4"/>
      <c r="AB22" s="5"/>
    </row>
    <row r="23" spans="2:28" ht="36" x14ac:dyDescent="0.35">
      <c r="B23" s="53" t="s">
        <v>1083</v>
      </c>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5"/>
    </row>
    <row r="24" spans="2:28" ht="36" x14ac:dyDescent="0.8">
      <c r="B24" s="10"/>
      <c r="C24" s="11"/>
      <c r="D24" s="11"/>
      <c r="E24" s="11"/>
      <c r="F24" s="11"/>
      <c r="G24" s="11"/>
      <c r="H24" s="11"/>
      <c r="I24" s="11"/>
      <c r="J24" s="11"/>
      <c r="K24" s="11"/>
      <c r="L24" s="11"/>
      <c r="M24" s="11"/>
      <c r="N24" s="11"/>
      <c r="O24" s="11"/>
      <c r="P24" s="11"/>
      <c r="Q24" s="11"/>
      <c r="R24" s="11"/>
      <c r="S24" s="11"/>
      <c r="T24" s="11"/>
      <c r="U24" s="11"/>
      <c r="V24" s="11"/>
      <c r="W24" s="12"/>
      <c r="X24" s="4"/>
      <c r="Y24" s="4"/>
      <c r="Z24" s="4"/>
      <c r="AA24" s="4"/>
      <c r="AB24" s="5"/>
    </row>
    <row r="25" spans="2:28" ht="110" customHeight="1" x14ac:dyDescent="0.35">
      <c r="B25" s="50" t="s">
        <v>1084</v>
      </c>
      <c r="C25" s="51"/>
      <c r="D25" s="51"/>
      <c r="E25" s="51"/>
      <c r="F25" s="51"/>
      <c r="G25" s="51"/>
      <c r="H25" s="51"/>
      <c r="I25" s="51"/>
      <c r="J25" s="51"/>
      <c r="K25" s="51"/>
      <c r="L25" s="51"/>
      <c r="M25" s="51"/>
      <c r="N25" s="51"/>
      <c r="O25" s="51"/>
      <c r="P25" s="51"/>
      <c r="Q25" s="51"/>
      <c r="R25" s="51"/>
      <c r="S25" s="51"/>
      <c r="T25" s="51"/>
      <c r="U25" s="51"/>
      <c r="V25" s="51"/>
      <c r="W25" s="51"/>
      <c r="X25" s="51"/>
      <c r="Y25" s="51"/>
      <c r="Z25" s="51"/>
      <c r="AA25" s="51"/>
      <c r="AB25" s="52"/>
    </row>
    <row r="26" spans="2:28" ht="36" x14ac:dyDescent="0.8">
      <c r="B26" s="10"/>
      <c r="C26" s="11"/>
      <c r="D26" s="11"/>
      <c r="E26" s="11"/>
      <c r="F26" s="11"/>
      <c r="G26" s="11"/>
      <c r="H26" s="11"/>
      <c r="I26" s="11"/>
      <c r="J26" s="11"/>
      <c r="K26" s="11"/>
      <c r="L26" s="11"/>
      <c r="M26" s="11"/>
      <c r="N26" s="11"/>
      <c r="O26" s="11"/>
      <c r="P26" s="11"/>
      <c r="Q26" s="11"/>
      <c r="R26" s="11"/>
      <c r="S26" s="11"/>
      <c r="T26" s="11"/>
      <c r="U26" s="11"/>
      <c r="V26" s="11"/>
      <c r="W26" s="12"/>
      <c r="X26" s="4"/>
      <c r="Y26" s="4"/>
      <c r="Z26" s="4"/>
      <c r="AA26" s="4"/>
      <c r="AB26" s="5"/>
    </row>
    <row r="27" spans="2:28" ht="36" x14ac:dyDescent="0.8">
      <c r="B27" s="10"/>
      <c r="C27" s="11"/>
      <c r="D27" s="11"/>
      <c r="E27" s="11"/>
      <c r="F27" s="11"/>
      <c r="G27" s="11"/>
      <c r="H27" s="11"/>
      <c r="I27" s="11"/>
      <c r="J27" s="11"/>
      <c r="K27" s="11"/>
      <c r="L27" s="11"/>
      <c r="M27" s="11"/>
      <c r="N27" s="11"/>
      <c r="O27" s="11"/>
      <c r="P27" s="11"/>
      <c r="Q27" s="11"/>
      <c r="R27" s="11"/>
      <c r="S27" s="11"/>
      <c r="T27" s="11"/>
      <c r="U27" s="11"/>
      <c r="V27" s="11"/>
      <c r="W27" s="12"/>
      <c r="X27" s="4"/>
      <c r="Y27" s="4"/>
      <c r="Z27" s="4"/>
      <c r="AA27" s="4"/>
      <c r="AB27" s="5"/>
    </row>
    <row r="28" spans="2:28" ht="36" x14ac:dyDescent="0.8">
      <c r="B28" s="10"/>
      <c r="C28" s="11"/>
      <c r="D28" s="11"/>
      <c r="E28" s="11"/>
      <c r="F28" s="11"/>
      <c r="G28" s="11"/>
      <c r="H28" s="11"/>
      <c r="I28" s="11"/>
      <c r="J28" s="11"/>
      <c r="K28" s="11"/>
      <c r="L28" s="11"/>
      <c r="M28" s="11"/>
      <c r="N28" s="11"/>
      <c r="O28" s="11"/>
      <c r="P28" s="11"/>
      <c r="Q28" s="11"/>
      <c r="R28" s="11"/>
      <c r="S28" s="11"/>
      <c r="T28" s="11"/>
      <c r="U28" s="11"/>
      <c r="V28" s="11"/>
      <c r="W28" s="12"/>
      <c r="X28" s="4"/>
      <c r="Y28" s="4"/>
      <c r="Z28" s="4"/>
      <c r="AA28" s="4"/>
      <c r="AB28" s="5"/>
    </row>
    <row r="29" spans="2:28" ht="36" x14ac:dyDescent="0.35">
      <c r="B29" s="53" t="s">
        <v>1085</v>
      </c>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5"/>
    </row>
    <row r="30" spans="2:28" ht="36" x14ac:dyDescent="0.8">
      <c r="B30" s="10"/>
      <c r="C30" s="11"/>
      <c r="D30" s="11"/>
      <c r="E30" s="11"/>
      <c r="F30" s="11"/>
      <c r="G30" s="11"/>
      <c r="H30" s="11"/>
      <c r="I30" s="11"/>
      <c r="J30" s="11"/>
      <c r="K30" s="11"/>
      <c r="L30" s="11"/>
      <c r="M30" s="11"/>
      <c r="N30" s="11"/>
      <c r="O30" s="11"/>
      <c r="P30" s="11"/>
      <c r="Q30" s="11"/>
      <c r="R30" s="11"/>
      <c r="S30" s="11"/>
      <c r="T30" s="11"/>
      <c r="U30" s="11"/>
      <c r="V30" s="11"/>
      <c r="W30" s="12"/>
      <c r="X30" s="4"/>
      <c r="Y30" s="4"/>
      <c r="Z30" s="4"/>
      <c r="AA30" s="4"/>
      <c r="AB30" s="5"/>
    </row>
    <row r="31" spans="2:28" ht="36" x14ac:dyDescent="0.8">
      <c r="B31" s="10" t="s">
        <v>1097</v>
      </c>
      <c r="C31" s="11"/>
      <c r="D31" s="11"/>
      <c r="E31" s="11"/>
      <c r="F31" s="11"/>
      <c r="G31" s="11"/>
      <c r="H31" s="11"/>
      <c r="I31" s="11"/>
      <c r="J31" s="11"/>
      <c r="K31" s="11"/>
      <c r="L31" s="11"/>
      <c r="M31" s="11"/>
      <c r="N31" s="11"/>
      <c r="O31" s="11"/>
      <c r="P31" s="11"/>
      <c r="Q31" s="11"/>
      <c r="R31" s="11"/>
      <c r="S31" s="11"/>
      <c r="T31" s="11"/>
      <c r="U31" s="11"/>
      <c r="V31" s="11"/>
      <c r="W31" s="12"/>
      <c r="X31" s="4"/>
      <c r="Y31" s="4"/>
      <c r="Z31" s="4"/>
      <c r="AA31" s="4"/>
      <c r="AB31" s="5"/>
    </row>
    <row r="32" spans="2:28" ht="36" x14ac:dyDescent="0.8">
      <c r="B32" s="10"/>
      <c r="C32" s="11"/>
      <c r="D32" s="11"/>
      <c r="E32" s="11"/>
      <c r="F32" s="11"/>
      <c r="G32" s="11"/>
      <c r="H32" s="11"/>
      <c r="I32" s="11"/>
      <c r="J32" s="11"/>
      <c r="K32" s="11"/>
      <c r="L32" s="11"/>
      <c r="M32" s="11"/>
      <c r="N32" s="11"/>
      <c r="O32" s="11"/>
      <c r="P32" s="11"/>
      <c r="Q32" s="11"/>
      <c r="R32" s="11"/>
      <c r="S32" s="11"/>
      <c r="T32" s="11"/>
      <c r="U32" s="11"/>
      <c r="V32" s="11"/>
      <c r="W32" s="12"/>
      <c r="X32" s="4"/>
      <c r="Y32" s="4"/>
      <c r="Z32" s="4"/>
      <c r="AA32" s="4"/>
      <c r="AB32" s="5"/>
    </row>
    <row r="33" spans="2:28" ht="36" x14ac:dyDescent="0.8">
      <c r="B33" s="10" t="s">
        <v>1098</v>
      </c>
      <c r="C33" s="11"/>
      <c r="D33" s="11"/>
      <c r="E33" s="11"/>
      <c r="F33" s="11"/>
      <c r="G33" s="11"/>
      <c r="H33" s="11"/>
      <c r="I33" s="11"/>
      <c r="J33" s="11"/>
      <c r="K33" s="11"/>
      <c r="L33" s="11"/>
      <c r="M33" s="11"/>
      <c r="N33" s="11"/>
      <c r="O33" s="11"/>
      <c r="P33" s="11"/>
      <c r="Q33" s="11"/>
      <c r="R33" s="11"/>
      <c r="S33" s="11"/>
      <c r="T33" s="11"/>
      <c r="U33" s="11"/>
      <c r="V33" s="11"/>
      <c r="W33" s="12"/>
      <c r="X33" s="4"/>
      <c r="Y33" s="4"/>
      <c r="Z33" s="4"/>
      <c r="AA33" s="4"/>
      <c r="AB33" s="5"/>
    </row>
    <row r="34" spans="2:28" ht="36" x14ac:dyDescent="0.8">
      <c r="B34" s="10"/>
      <c r="C34" s="11"/>
      <c r="D34" s="11"/>
      <c r="E34" s="11"/>
      <c r="F34" s="11"/>
      <c r="G34" s="11"/>
      <c r="H34" s="11"/>
      <c r="I34" s="11"/>
      <c r="J34" s="11"/>
      <c r="K34" s="11"/>
      <c r="L34" s="11"/>
      <c r="M34" s="11"/>
      <c r="N34" s="11"/>
      <c r="O34" s="11"/>
      <c r="P34" s="11"/>
      <c r="Q34" s="11"/>
      <c r="R34" s="11"/>
      <c r="S34" s="11"/>
      <c r="T34" s="11"/>
      <c r="U34" s="11"/>
      <c r="V34" s="11"/>
      <c r="W34" s="12"/>
      <c r="X34" s="4"/>
      <c r="Y34" s="4"/>
      <c r="Z34" s="4"/>
      <c r="AA34" s="4"/>
      <c r="AB34" s="5"/>
    </row>
    <row r="35" spans="2:28" ht="36" x14ac:dyDescent="0.8">
      <c r="B35" s="10" t="s">
        <v>1099</v>
      </c>
      <c r="C35" s="11"/>
      <c r="D35" s="11"/>
      <c r="E35" s="11"/>
      <c r="F35" s="11"/>
      <c r="G35" s="11"/>
      <c r="H35" s="11"/>
      <c r="I35" s="11"/>
      <c r="J35" s="11"/>
      <c r="K35" s="11"/>
      <c r="L35" s="11"/>
      <c r="M35" s="11"/>
      <c r="N35" s="11"/>
      <c r="O35" s="11"/>
      <c r="P35" s="11"/>
      <c r="Q35" s="11"/>
      <c r="R35" s="11"/>
      <c r="S35" s="11"/>
      <c r="T35" s="11"/>
      <c r="U35" s="11"/>
      <c r="V35" s="11"/>
      <c r="W35" s="12"/>
      <c r="X35" s="4"/>
      <c r="Y35" s="4"/>
      <c r="Z35" s="4"/>
      <c r="AA35" s="4"/>
      <c r="AB35" s="5"/>
    </row>
    <row r="36" spans="2:28" ht="36" x14ac:dyDescent="0.8">
      <c r="B36" s="10"/>
      <c r="C36" s="11"/>
      <c r="D36" s="11"/>
      <c r="E36" s="11"/>
      <c r="F36" s="11"/>
      <c r="G36" s="11"/>
      <c r="H36" s="11"/>
      <c r="I36" s="11"/>
      <c r="J36" s="11"/>
      <c r="K36" s="11"/>
      <c r="L36" s="11"/>
      <c r="M36" s="11"/>
      <c r="N36" s="11"/>
      <c r="O36" s="11"/>
      <c r="P36" s="11"/>
      <c r="Q36" s="11"/>
      <c r="R36" s="15"/>
      <c r="S36" s="11"/>
      <c r="T36" s="11"/>
      <c r="U36" s="11"/>
      <c r="V36" s="11"/>
      <c r="W36" s="12"/>
      <c r="X36" s="4"/>
      <c r="Y36" s="4"/>
      <c r="Z36" s="4"/>
      <c r="AA36" s="4"/>
      <c r="AB36" s="5"/>
    </row>
    <row r="37" spans="2:28" ht="36" x14ac:dyDescent="0.8">
      <c r="B37" s="10" t="s">
        <v>1100</v>
      </c>
      <c r="C37" s="11"/>
      <c r="D37" s="11"/>
      <c r="E37" s="11"/>
      <c r="F37" s="11"/>
      <c r="G37" s="11"/>
      <c r="H37" s="11"/>
      <c r="I37" s="11"/>
      <c r="J37" s="11"/>
      <c r="K37" s="11"/>
      <c r="L37" s="11"/>
      <c r="M37" s="11"/>
      <c r="N37" s="11"/>
      <c r="O37" s="11"/>
      <c r="P37" s="11"/>
      <c r="Q37" s="11"/>
      <c r="R37" s="11"/>
      <c r="S37" s="11"/>
      <c r="T37" s="11"/>
      <c r="U37" s="11"/>
      <c r="V37" s="11"/>
      <c r="W37" s="12"/>
      <c r="X37" s="4"/>
      <c r="Y37" s="4"/>
      <c r="Z37" s="4"/>
      <c r="AA37" s="4"/>
      <c r="AB37" s="5"/>
    </row>
    <row r="38" spans="2:28" ht="36" x14ac:dyDescent="0.8">
      <c r="B38" s="10"/>
      <c r="C38" s="11"/>
      <c r="D38" s="11"/>
      <c r="E38" s="11"/>
      <c r="F38" s="11"/>
      <c r="G38" s="11"/>
      <c r="H38" s="11"/>
      <c r="I38" s="11"/>
      <c r="J38" s="11"/>
      <c r="K38" s="11"/>
      <c r="L38" s="11"/>
      <c r="M38" s="11"/>
      <c r="N38" s="11"/>
      <c r="O38" s="11"/>
      <c r="P38" s="11"/>
      <c r="Q38" s="11"/>
      <c r="R38" s="11"/>
      <c r="S38" s="11"/>
      <c r="T38" s="11"/>
      <c r="U38" s="11"/>
      <c r="V38" s="11"/>
      <c r="W38" s="12"/>
      <c r="X38" s="4"/>
      <c r="Y38" s="4"/>
      <c r="Z38" s="4"/>
      <c r="AA38" s="4"/>
      <c r="AB38" s="5"/>
    </row>
    <row r="39" spans="2:28" ht="36" x14ac:dyDescent="0.8">
      <c r="B39" s="10" t="s">
        <v>1111</v>
      </c>
      <c r="C39" s="11"/>
      <c r="D39" s="11"/>
      <c r="E39" s="11"/>
      <c r="F39" s="11"/>
      <c r="G39" s="11"/>
      <c r="H39" s="11"/>
      <c r="I39" s="11"/>
      <c r="J39" s="11"/>
      <c r="K39" s="11"/>
      <c r="L39" s="11"/>
      <c r="M39" s="11"/>
      <c r="N39" s="11"/>
      <c r="O39" s="11"/>
      <c r="P39" s="11"/>
      <c r="Q39" s="11"/>
      <c r="R39" s="11"/>
      <c r="S39" s="11"/>
      <c r="T39" s="11"/>
      <c r="U39" s="11"/>
      <c r="V39" s="11"/>
      <c r="W39" s="12"/>
      <c r="X39" s="4"/>
      <c r="Y39" s="4"/>
      <c r="Z39" s="4"/>
      <c r="AA39" s="4"/>
      <c r="AB39" s="5"/>
    </row>
    <row r="40" spans="2:28" ht="36" x14ac:dyDescent="0.8">
      <c r="B40" s="10"/>
      <c r="C40" s="11"/>
      <c r="D40" s="11"/>
      <c r="E40" s="11"/>
      <c r="F40" s="11"/>
      <c r="G40" s="11"/>
      <c r="H40" s="11"/>
      <c r="I40" s="11"/>
      <c r="J40" s="11"/>
      <c r="K40" s="11"/>
      <c r="L40" s="11"/>
      <c r="M40" s="11"/>
      <c r="N40" s="11"/>
      <c r="O40" s="11"/>
      <c r="P40" s="11"/>
      <c r="Q40" s="11"/>
      <c r="R40" s="11"/>
      <c r="S40" s="11"/>
      <c r="T40" s="11"/>
      <c r="U40" s="11"/>
      <c r="V40" s="11"/>
      <c r="W40" s="12"/>
      <c r="X40" s="4"/>
      <c r="Y40" s="4"/>
      <c r="Z40" s="4"/>
      <c r="AA40" s="4"/>
      <c r="AB40" s="5"/>
    </row>
    <row r="41" spans="2:28" ht="36" x14ac:dyDescent="0.35">
      <c r="B41" s="53" t="s">
        <v>1086</v>
      </c>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5"/>
    </row>
    <row r="42" spans="2:28" ht="36" x14ac:dyDescent="0.8">
      <c r="B42" s="10"/>
      <c r="C42" s="11"/>
      <c r="D42" s="11"/>
      <c r="E42" s="11"/>
      <c r="F42" s="11"/>
      <c r="G42" s="11"/>
      <c r="H42" s="11"/>
      <c r="I42" s="11"/>
      <c r="J42" s="11"/>
      <c r="K42" s="11"/>
      <c r="L42" s="11"/>
      <c r="M42" s="11"/>
      <c r="N42" s="11"/>
      <c r="O42" s="11"/>
      <c r="P42" s="11"/>
      <c r="Q42" s="11"/>
      <c r="R42" s="11"/>
      <c r="S42" s="11"/>
      <c r="T42" s="11"/>
      <c r="U42" s="11"/>
      <c r="V42" s="11"/>
      <c r="W42" s="12"/>
      <c r="X42" s="4"/>
      <c r="Y42" s="4"/>
      <c r="Z42" s="4"/>
      <c r="AA42" s="4"/>
      <c r="AB42" s="5"/>
    </row>
    <row r="43" spans="2:28" ht="98" customHeight="1" x14ac:dyDescent="0.35">
      <c r="B43" s="50" t="s">
        <v>1087</v>
      </c>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2"/>
    </row>
    <row r="44" spans="2:28" ht="36" x14ac:dyDescent="0.8">
      <c r="B44" s="10"/>
      <c r="C44" s="11"/>
      <c r="D44" s="11"/>
      <c r="E44" s="11"/>
      <c r="F44" s="11"/>
      <c r="G44" s="11"/>
      <c r="H44" s="11"/>
      <c r="I44" s="11"/>
      <c r="J44" s="11"/>
      <c r="K44" s="11"/>
      <c r="L44" s="11"/>
      <c r="M44" s="11"/>
      <c r="N44" s="11"/>
      <c r="O44" s="11"/>
      <c r="P44" s="11"/>
      <c r="Q44" s="11"/>
      <c r="R44" s="11"/>
      <c r="S44" s="11"/>
      <c r="T44" s="11"/>
      <c r="U44" s="11"/>
      <c r="V44" s="11"/>
      <c r="W44" s="12"/>
      <c r="X44" s="4"/>
      <c r="Y44" s="4"/>
      <c r="Z44" s="4"/>
      <c r="AA44" s="4"/>
      <c r="AB44" s="5"/>
    </row>
    <row r="45" spans="2:28" ht="36" x14ac:dyDescent="0.8">
      <c r="B45" s="10"/>
      <c r="C45" s="11"/>
      <c r="D45" s="11"/>
      <c r="E45" s="11"/>
      <c r="F45" s="11"/>
      <c r="G45" s="11"/>
      <c r="H45" s="11"/>
      <c r="I45" s="11"/>
      <c r="J45" s="11"/>
      <c r="K45" s="11"/>
      <c r="L45" s="11"/>
      <c r="M45" s="11"/>
      <c r="N45" s="11"/>
      <c r="O45" s="11"/>
      <c r="P45" s="11"/>
      <c r="Q45" s="11"/>
      <c r="R45" s="11"/>
      <c r="S45" s="11"/>
      <c r="T45" s="11"/>
      <c r="U45" s="11"/>
      <c r="V45" s="11"/>
      <c r="W45" s="12"/>
      <c r="X45" s="4"/>
      <c r="Y45" s="4"/>
      <c r="Z45" s="4"/>
      <c r="AA45" s="4"/>
      <c r="AB45" s="5"/>
    </row>
    <row r="46" spans="2:28" ht="36" x14ac:dyDescent="0.8">
      <c r="B46" s="10"/>
      <c r="C46" s="11"/>
      <c r="D46" s="11"/>
      <c r="E46" s="11"/>
      <c r="F46" s="11"/>
      <c r="G46" s="11"/>
      <c r="H46" s="11"/>
      <c r="I46" s="11"/>
      <c r="J46" s="11"/>
      <c r="K46" s="11"/>
      <c r="L46" s="11"/>
      <c r="M46" s="11"/>
      <c r="N46" s="11"/>
      <c r="O46" s="11"/>
      <c r="P46" s="11"/>
      <c r="Q46" s="11"/>
      <c r="R46" s="11"/>
      <c r="S46" s="11"/>
      <c r="T46" s="11"/>
      <c r="U46" s="11"/>
      <c r="V46" s="11"/>
      <c r="W46" s="12"/>
      <c r="X46" s="4"/>
      <c r="Y46" s="4"/>
      <c r="Z46" s="4"/>
      <c r="AA46" s="4"/>
      <c r="AB46" s="5"/>
    </row>
    <row r="47" spans="2:28" ht="36" x14ac:dyDescent="0.35">
      <c r="B47" s="53" t="s">
        <v>1088</v>
      </c>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5"/>
    </row>
    <row r="48" spans="2:28" ht="36" x14ac:dyDescent="0.8">
      <c r="B48" s="10"/>
      <c r="C48" s="11"/>
      <c r="D48" s="11"/>
      <c r="E48" s="11"/>
      <c r="F48" s="11"/>
      <c r="G48" s="11"/>
      <c r="H48" s="11"/>
      <c r="I48" s="11"/>
      <c r="J48" s="11"/>
      <c r="K48" s="11"/>
      <c r="L48" s="11"/>
      <c r="M48" s="11"/>
      <c r="N48" s="11"/>
      <c r="O48" s="11"/>
      <c r="P48" s="11"/>
      <c r="Q48" s="11"/>
      <c r="R48" s="11"/>
      <c r="S48" s="11"/>
      <c r="T48" s="11"/>
      <c r="U48" s="11"/>
      <c r="V48" s="11"/>
      <c r="W48" s="12"/>
      <c r="X48" s="4"/>
      <c r="Y48" s="4"/>
      <c r="Z48" s="4"/>
      <c r="AA48" s="4"/>
      <c r="AB48" s="5"/>
    </row>
    <row r="49" spans="2:28" ht="36" x14ac:dyDescent="0.8">
      <c r="B49" s="10" t="s">
        <v>1101</v>
      </c>
      <c r="C49" s="11"/>
      <c r="D49" s="11"/>
      <c r="E49" s="11"/>
      <c r="F49" s="11"/>
      <c r="G49" s="11"/>
      <c r="H49" s="11"/>
      <c r="I49" s="11"/>
      <c r="J49" s="11"/>
      <c r="K49" s="11"/>
      <c r="L49" s="11"/>
      <c r="M49" s="11"/>
      <c r="N49" s="11"/>
      <c r="O49" s="11"/>
      <c r="P49" s="11"/>
      <c r="Q49" s="11"/>
      <c r="R49" s="11"/>
      <c r="S49" s="11"/>
      <c r="T49" s="11"/>
      <c r="U49" s="11"/>
      <c r="V49" s="11"/>
      <c r="W49" s="12"/>
      <c r="X49" s="4"/>
      <c r="Y49" s="4"/>
      <c r="Z49" s="4"/>
      <c r="AA49" s="4"/>
      <c r="AB49" s="5"/>
    </row>
    <row r="50" spans="2:28" ht="36" x14ac:dyDescent="0.8">
      <c r="B50" s="10"/>
      <c r="C50" s="11"/>
      <c r="D50" s="11"/>
      <c r="E50" s="11"/>
      <c r="F50" s="11"/>
      <c r="G50" s="11"/>
      <c r="H50" s="11"/>
      <c r="I50" s="11"/>
      <c r="J50" s="11"/>
      <c r="K50" s="11"/>
      <c r="L50" s="11"/>
      <c r="M50" s="11"/>
      <c r="N50" s="11"/>
      <c r="O50" s="11"/>
      <c r="P50" s="11"/>
      <c r="Q50" s="11"/>
      <c r="R50" s="11"/>
      <c r="S50" s="11"/>
      <c r="T50" s="11"/>
      <c r="U50" s="11"/>
      <c r="V50" s="11"/>
      <c r="W50" s="12"/>
      <c r="X50" s="4"/>
      <c r="Y50" s="4"/>
      <c r="Z50" s="4"/>
      <c r="AA50" s="4"/>
      <c r="AB50" s="5"/>
    </row>
    <row r="51" spans="2:28" ht="36" x14ac:dyDescent="0.8">
      <c r="B51" s="10" t="s">
        <v>1102</v>
      </c>
      <c r="C51" s="11"/>
      <c r="D51" s="11"/>
      <c r="E51" s="11"/>
      <c r="F51" s="11"/>
      <c r="G51" s="11"/>
      <c r="H51" s="11"/>
      <c r="I51" s="11"/>
      <c r="J51" s="11"/>
      <c r="K51" s="11"/>
      <c r="L51" s="11"/>
      <c r="M51" s="11"/>
      <c r="N51" s="11"/>
      <c r="O51" s="11"/>
      <c r="P51" s="11"/>
      <c r="Q51" s="11"/>
      <c r="R51" s="11"/>
      <c r="S51" s="11"/>
      <c r="T51" s="11"/>
      <c r="U51" s="11"/>
      <c r="V51" s="11"/>
      <c r="W51" s="12"/>
      <c r="X51" s="4"/>
      <c r="Y51" s="4"/>
      <c r="Z51" s="4"/>
      <c r="AA51" s="4"/>
      <c r="AB51" s="5"/>
    </row>
    <row r="52" spans="2:28" ht="36" x14ac:dyDescent="0.8">
      <c r="B52" s="10"/>
      <c r="C52" s="11"/>
      <c r="D52" s="11"/>
      <c r="E52" s="11"/>
      <c r="F52" s="11"/>
      <c r="G52" s="11"/>
      <c r="H52" s="11"/>
      <c r="I52" s="11"/>
      <c r="J52" s="11"/>
      <c r="K52" s="11"/>
      <c r="L52" s="11"/>
      <c r="M52" s="11"/>
      <c r="N52" s="11"/>
      <c r="O52" s="11"/>
      <c r="P52" s="11"/>
      <c r="Q52" s="11"/>
      <c r="R52" s="11"/>
      <c r="S52" s="11"/>
      <c r="T52" s="11"/>
      <c r="U52" s="11"/>
      <c r="V52" s="11"/>
      <c r="W52" s="12"/>
      <c r="X52" s="4"/>
      <c r="Y52" s="4"/>
      <c r="Z52" s="4"/>
      <c r="AA52" s="4"/>
      <c r="AB52" s="5"/>
    </row>
    <row r="53" spans="2:28" ht="36" x14ac:dyDescent="0.8">
      <c r="B53" s="10" t="s">
        <v>1103</v>
      </c>
      <c r="C53" s="11"/>
      <c r="D53" s="11"/>
      <c r="E53" s="11"/>
      <c r="F53" s="11"/>
      <c r="G53" s="11"/>
      <c r="H53" s="11"/>
      <c r="I53" s="11"/>
      <c r="J53" s="11"/>
      <c r="K53" s="11"/>
      <c r="L53" s="11"/>
      <c r="M53" s="11"/>
      <c r="N53" s="11"/>
      <c r="O53" s="11"/>
      <c r="P53" s="11"/>
      <c r="Q53" s="11"/>
      <c r="R53" s="11"/>
      <c r="S53" s="11"/>
      <c r="T53" s="11"/>
      <c r="U53" s="11"/>
      <c r="V53" s="11"/>
      <c r="W53" s="12"/>
      <c r="X53" s="4"/>
      <c r="Y53" s="4"/>
      <c r="Z53" s="4"/>
      <c r="AA53" s="4"/>
      <c r="AB53" s="5"/>
    </row>
    <row r="54" spans="2:28" ht="36" x14ac:dyDescent="0.8">
      <c r="B54" s="10"/>
      <c r="C54" s="11"/>
      <c r="D54" s="11"/>
      <c r="E54" s="11"/>
      <c r="F54" s="11"/>
      <c r="G54" s="11"/>
      <c r="H54" s="11"/>
      <c r="I54" s="11"/>
      <c r="J54" s="11"/>
      <c r="K54" s="11"/>
      <c r="L54" s="11"/>
      <c r="M54" s="11"/>
      <c r="N54" s="11"/>
      <c r="O54" s="11"/>
      <c r="P54" s="11"/>
      <c r="Q54" s="11"/>
      <c r="R54" s="11"/>
      <c r="S54" s="11"/>
      <c r="T54" s="11"/>
      <c r="U54" s="11"/>
      <c r="V54" s="11"/>
      <c r="W54" s="12"/>
      <c r="X54" s="4"/>
      <c r="Y54" s="4"/>
      <c r="Z54" s="4"/>
      <c r="AA54" s="4"/>
      <c r="AB54" s="5"/>
    </row>
    <row r="55" spans="2:28" ht="36" x14ac:dyDescent="0.8">
      <c r="B55" s="10" t="s">
        <v>1104</v>
      </c>
      <c r="C55" s="11"/>
      <c r="D55" s="11"/>
      <c r="E55" s="11"/>
      <c r="F55" s="11"/>
      <c r="G55" s="11"/>
      <c r="H55" s="11"/>
      <c r="I55" s="11"/>
      <c r="J55" s="11"/>
      <c r="K55" s="11"/>
      <c r="L55" s="11"/>
      <c r="M55" s="11"/>
      <c r="N55" s="11"/>
      <c r="O55" s="11"/>
      <c r="P55" s="11"/>
      <c r="Q55" s="11"/>
      <c r="R55" s="11"/>
      <c r="S55" s="11"/>
      <c r="T55" s="11"/>
      <c r="U55" s="11"/>
      <c r="V55" s="11"/>
      <c r="W55" s="12"/>
      <c r="X55" s="4"/>
      <c r="Y55" s="4"/>
      <c r="Z55" s="4"/>
      <c r="AA55" s="4"/>
      <c r="AB55" s="5"/>
    </row>
    <row r="56" spans="2:28" ht="36" x14ac:dyDescent="0.8">
      <c r="B56" s="10"/>
      <c r="C56" s="11"/>
      <c r="D56" s="11"/>
      <c r="E56" s="11"/>
      <c r="F56" s="11"/>
      <c r="G56" s="11"/>
      <c r="H56" s="11"/>
      <c r="I56" s="11"/>
      <c r="J56" s="11"/>
      <c r="K56" s="11"/>
      <c r="L56" s="11"/>
      <c r="M56" s="11"/>
      <c r="N56" s="11"/>
      <c r="O56" s="11"/>
      <c r="P56" s="11"/>
      <c r="Q56" s="11"/>
      <c r="R56" s="11"/>
      <c r="S56" s="11"/>
      <c r="T56" s="11"/>
      <c r="U56" s="11"/>
      <c r="V56" s="11"/>
      <c r="W56" s="12"/>
      <c r="X56" s="4"/>
      <c r="Y56" s="4"/>
      <c r="Z56" s="4"/>
      <c r="AA56" s="4"/>
      <c r="AB56" s="5"/>
    </row>
    <row r="57" spans="2:28" ht="36" x14ac:dyDescent="0.8">
      <c r="B57" s="10"/>
      <c r="C57" s="11"/>
      <c r="D57" s="11"/>
      <c r="E57" s="11"/>
      <c r="F57" s="11"/>
      <c r="G57" s="11"/>
      <c r="H57" s="11"/>
      <c r="I57" s="11"/>
      <c r="J57" s="11"/>
      <c r="K57" s="11"/>
      <c r="L57" s="11"/>
      <c r="M57" s="11"/>
      <c r="N57" s="11"/>
      <c r="O57" s="11"/>
      <c r="P57" s="11"/>
      <c r="Q57" s="11"/>
      <c r="R57" s="11"/>
      <c r="S57" s="11"/>
      <c r="T57" s="11"/>
      <c r="U57" s="11"/>
      <c r="V57" s="11"/>
      <c r="W57" s="12"/>
      <c r="X57" s="4"/>
      <c r="Y57" s="4"/>
      <c r="Z57" s="4"/>
      <c r="AA57" s="4"/>
      <c r="AB57" s="5"/>
    </row>
    <row r="58" spans="2:28" ht="36" x14ac:dyDescent="0.8">
      <c r="B58" s="10"/>
      <c r="C58" s="11"/>
      <c r="D58" s="11"/>
      <c r="E58" s="11"/>
      <c r="F58" s="11"/>
      <c r="G58" s="11"/>
      <c r="H58" s="11"/>
      <c r="I58" s="11"/>
      <c r="J58" s="11"/>
      <c r="K58" s="11"/>
      <c r="L58" s="11"/>
      <c r="M58" s="11"/>
      <c r="N58" s="11"/>
      <c r="O58" s="11"/>
      <c r="P58" s="11"/>
      <c r="Q58" s="11"/>
      <c r="R58" s="11"/>
      <c r="S58" s="11"/>
      <c r="T58" s="11"/>
      <c r="U58" s="11"/>
      <c r="V58" s="11"/>
      <c r="W58" s="12"/>
      <c r="X58" s="4"/>
      <c r="Y58" s="4"/>
      <c r="Z58" s="4"/>
      <c r="AA58" s="4"/>
      <c r="AB58" s="5"/>
    </row>
    <row r="59" spans="2:28" ht="36" x14ac:dyDescent="0.35">
      <c r="B59" s="53" t="s">
        <v>1089</v>
      </c>
      <c r="C59" s="54"/>
      <c r="D59" s="54"/>
      <c r="E59" s="54"/>
      <c r="F59" s="54"/>
      <c r="G59" s="54"/>
      <c r="H59" s="54"/>
      <c r="I59" s="54"/>
      <c r="J59" s="54"/>
      <c r="K59" s="54"/>
      <c r="L59" s="54"/>
      <c r="M59" s="54"/>
      <c r="N59" s="54"/>
      <c r="O59" s="54"/>
      <c r="P59" s="54"/>
      <c r="Q59" s="54"/>
      <c r="R59" s="54"/>
      <c r="S59" s="54"/>
      <c r="T59" s="54"/>
      <c r="U59" s="54"/>
      <c r="V59" s="54"/>
      <c r="W59" s="54"/>
      <c r="X59" s="54"/>
      <c r="Y59" s="54"/>
      <c r="Z59" s="54"/>
      <c r="AA59" s="54"/>
      <c r="AB59" s="55"/>
    </row>
    <row r="60" spans="2:28" ht="36" x14ac:dyDescent="0.8">
      <c r="B60" s="10"/>
      <c r="C60" s="11"/>
      <c r="D60" s="11"/>
      <c r="E60" s="11"/>
      <c r="F60" s="11"/>
      <c r="G60" s="11"/>
      <c r="H60" s="11"/>
      <c r="I60" s="11"/>
      <c r="J60" s="11"/>
      <c r="K60" s="11"/>
      <c r="L60" s="11"/>
      <c r="M60" s="11"/>
      <c r="N60" s="11"/>
      <c r="O60" s="11"/>
      <c r="P60" s="11"/>
      <c r="Q60" s="11"/>
      <c r="R60" s="11"/>
      <c r="S60" s="11"/>
      <c r="T60" s="11"/>
      <c r="U60" s="11"/>
      <c r="V60" s="11"/>
      <c r="W60" s="12"/>
      <c r="X60" s="4"/>
      <c r="Y60" s="4"/>
      <c r="Z60" s="4"/>
      <c r="AA60" s="4"/>
      <c r="AB60" s="5"/>
    </row>
    <row r="61" spans="2:28" ht="36" x14ac:dyDescent="0.8">
      <c r="B61" s="10" t="s">
        <v>1105</v>
      </c>
      <c r="C61" s="11"/>
      <c r="D61" s="11"/>
      <c r="E61" s="11"/>
      <c r="F61" s="11"/>
      <c r="G61" s="11"/>
      <c r="H61" s="11"/>
      <c r="I61" s="11"/>
      <c r="J61" s="11"/>
      <c r="K61" s="11"/>
      <c r="L61" s="11"/>
      <c r="M61" s="11"/>
      <c r="N61" s="11"/>
      <c r="O61" s="11"/>
      <c r="P61" s="11"/>
      <c r="Q61" s="11"/>
      <c r="R61" s="11"/>
      <c r="S61" s="11"/>
      <c r="T61" s="11"/>
      <c r="U61" s="11"/>
      <c r="V61" s="11"/>
      <c r="W61" s="12"/>
      <c r="X61" s="4"/>
      <c r="Y61" s="4"/>
      <c r="Z61" s="4"/>
      <c r="AA61" s="4"/>
      <c r="AB61" s="5"/>
    </row>
    <row r="62" spans="2:28" ht="36" x14ac:dyDescent="0.8">
      <c r="B62" s="10"/>
      <c r="C62" s="11"/>
      <c r="D62" s="11"/>
      <c r="E62" s="11"/>
      <c r="F62" s="11"/>
      <c r="G62" s="11"/>
      <c r="H62" s="11"/>
      <c r="I62" s="11"/>
      <c r="J62" s="11"/>
      <c r="K62" s="11"/>
      <c r="L62" s="11"/>
      <c r="M62" s="11"/>
      <c r="N62" s="11"/>
      <c r="O62" s="11"/>
      <c r="P62" s="11"/>
      <c r="Q62" s="11"/>
      <c r="R62" s="11"/>
      <c r="S62" s="11"/>
      <c r="T62" s="11"/>
      <c r="U62" s="11"/>
      <c r="V62" s="11"/>
      <c r="W62" s="12"/>
      <c r="X62" s="4"/>
      <c r="Y62" s="4"/>
      <c r="Z62" s="4"/>
      <c r="AA62" s="4"/>
      <c r="AB62" s="5"/>
    </row>
    <row r="63" spans="2:28" ht="36" x14ac:dyDescent="0.8">
      <c r="B63" s="10" t="s">
        <v>1106</v>
      </c>
      <c r="C63" s="11"/>
      <c r="D63" s="11"/>
      <c r="E63" s="11"/>
      <c r="F63" s="11"/>
      <c r="G63" s="11"/>
      <c r="H63" s="11"/>
      <c r="I63" s="11"/>
      <c r="J63" s="11"/>
      <c r="K63" s="11"/>
      <c r="L63" s="11"/>
      <c r="M63" s="11"/>
      <c r="N63" s="11"/>
      <c r="O63" s="11"/>
      <c r="P63" s="11"/>
      <c r="Q63" s="11"/>
      <c r="R63" s="11"/>
      <c r="S63" s="11"/>
      <c r="T63" s="11"/>
      <c r="U63" s="11"/>
      <c r="V63" s="11"/>
      <c r="W63" s="12"/>
      <c r="X63" s="4"/>
      <c r="Y63" s="4"/>
      <c r="Z63" s="4"/>
      <c r="AA63" s="4"/>
      <c r="AB63" s="5"/>
    </row>
    <row r="64" spans="2:28" ht="36" x14ac:dyDescent="0.8">
      <c r="B64" s="10"/>
      <c r="C64" s="11"/>
      <c r="D64" s="11"/>
      <c r="E64" s="11"/>
      <c r="F64" s="11"/>
      <c r="G64" s="11"/>
      <c r="H64" s="11"/>
      <c r="I64" s="11"/>
      <c r="J64" s="11"/>
      <c r="K64" s="11"/>
      <c r="L64" s="11"/>
      <c r="M64" s="11"/>
      <c r="N64" s="11"/>
      <c r="O64" s="11"/>
      <c r="P64" s="11"/>
      <c r="Q64" s="11"/>
      <c r="R64" s="11"/>
      <c r="S64" s="11"/>
      <c r="T64" s="11"/>
      <c r="U64" s="11"/>
      <c r="V64" s="11"/>
      <c r="W64" s="12"/>
      <c r="X64" s="4"/>
      <c r="Y64" s="4"/>
      <c r="Z64" s="4"/>
      <c r="AA64" s="4"/>
      <c r="AB64" s="5"/>
    </row>
    <row r="65" spans="2:28" ht="36" x14ac:dyDescent="0.8">
      <c r="B65" s="10" t="s">
        <v>1107</v>
      </c>
      <c r="C65" s="11"/>
      <c r="D65" s="11"/>
      <c r="E65" s="11"/>
      <c r="F65" s="11"/>
      <c r="G65" s="11"/>
      <c r="H65" s="11"/>
      <c r="I65" s="11"/>
      <c r="J65" s="11"/>
      <c r="K65" s="11"/>
      <c r="L65" s="11"/>
      <c r="M65" s="11"/>
      <c r="N65" s="11"/>
      <c r="O65" s="11"/>
      <c r="P65" s="11"/>
      <c r="Q65" s="11"/>
      <c r="R65" s="11"/>
      <c r="S65" s="11"/>
      <c r="T65" s="11"/>
      <c r="U65" s="11"/>
      <c r="V65" s="11"/>
      <c r="W65" s="12"/>
      <c r="X65" s="4"/>
      <c r="Y65" s="4"/>
      <c r="Z65" s="4"/>
      <c r="AA65" s="4"/>
      <c r="AB65" s="5"/>
    </row>
    <row r="66" spans="2:28" ht="36" x14ac:dyDescent="0.8">
      <c r="B66" s="10"/>
      <c r="C66" s="11"/>
      <c r="D66" s="11"/>
      <c r="E66" s="11"/>
      <c r="F66" s="11"/>
      <c r="G66" s="11"/>
      <c r="H66" s="11"/>
      <c r="I66" s="11"/>
      <c r="J66" s="11"/>
      <c r="K66" s="11"/>
      <c r="L66" s="11"/>
      <c r="M66" s="11"/>
      <c r="N66" s="11"/>
      <c r="O66" s="11"/>
      <c r="P66" s="11"/>
      <c r="Q66" s="11"/>
      <c r="R66" s="11"/>
      <c r="S66" s="11"/>
      <c r="T66" s="11"/>
      <c r="U66" s="11"/>
      <c r="V66" s="11"/>
      <c r="W66" s="12"/>
      <c r="X66" s="4"/>
      <c r="Y66" s="4"/>
      <c r="Z66" s="4"/>
      <c r="AA66" s="4"/>
      <c r="AB66" s="5"/>
    </row>
    <row r="67" spans="2:28" ht="36" x14ac:dyDescent="0.8">
      <c r="B67" s="10" t="s">
        <v>1108</v>
      </c>
      <c r="C67" s="11"/>
      <c r="D67" s="11"/>
      <c r="E67" s="11"/>
      <c r="F67" s="11"/>
      <c r="G67" s="11"/>
      <c r="H67" s="11"/>
      <c r="I67" s="11"/>
      <c r="J67" s="11"/>
      <c r="K67" s="11"/>
      <c r="L67" s="11"/>
      <c r="M67" s="11"/>
      <c r="N67" s="11"/>
      <c r="O67" s="11"/>
      <c r="P67" s="11"/>
      <c r="Q67" s="11"/>
      <c r="R67" s="11"/>
      <c r="S67" s="11"/>
      <c r="T67" s="11"/>
      <c r="U67" s="11"/>
      <c r="V67" s="11"/>
      <c r="W67" s="12"/>
      <c r="X67" s="4"/>
      <c r="Y67" s="4"/>
      <c r="Z67" s="4"/>
      <c r="AA67" s="4"/>
      <c r="AB67" s="5"/>
    </row>
    <row r="68" spans="2:28" ht="36" x14ac:dyDescent="0.8">
      <c r="B68" s="10"/>
      <c r="C68" s="11"/>
      <c r="D68" s="11"/>
      <c r="E68" s="11"/>
      <c r="F68" s="11"/>
      <c r="G68" s="11"/>
      <c r="H68" s="11"/>
      <c r="I68" s="11"/>
      <c r="J68" s="11"/>
      <c r="K68" s="11"/>
      <c r="L68" s="11"/>
      <c r="M68" s="11"/>
      <c r="N68" s="11"/>
      <c r="O68" s="11"/>
      <c r="P68" s="11"/>
      <c r="Q68" s="11"/>
      <c r="R68" s="11"/>
      <c r="S68" s="11"/>
      <c r="T68" s="11"/>
      <c r="U68" s="11"/>
      <c r="V68" s="11"/>
      <c r="W68" s="12"/>
      <c r="X68" s="4"/>
      <c r="Y68" s="4"/>
      <c r="Z68" s="4"/>
      <c r="AA68" s="4"/>
      <c r="AB68" s="5"/>
    </row>
    <row r="69" spans="2:28" ht="36" x14ac:dyDescent="0.8">
      <c r="B69" s="10"/>
      <c r="C69" s="11"/>
      <c r="D69" s="11"/>
      <c r="E69" s="11"/>
      <c r="F69" s="11"/>
      <c r="G69" s="11"/>
      <c r="H69" s="11"/>
      <c r="I69" s="11"/>
      <c r="J69" s="11"/>
      <c r="K69" s="11"/>
      <c r="L69" s="11"/>
      <c r="M69" s="11"/>
      <c r="N69" s="11"/>
      <c r="O69" s="11"/>
      <c r="P69" s="11"/>
      <c r="Q69" s="11"/>
      <c r="R69" s="11"/>
      <c r="S69" s="11"/>
      <c r="T69" s="11"/>
      <c r="U69" s="11"/>
      <c r="V69" s="11"/>
      <c r="W69" s="12"/>
      <c r="X69" s="4"/>
      <c r="Y69" s="4"/>
      <c r="Z69" s="4"/>
      <c r="AA69" s="4"/>
      <c r="AB69" s="5"/>
    </row>
    <row r="70" spans="2:28" ht="36" x14ac:dyDescent="0.8">
      <c r="B70" s="10"/>
      <c r="C70" s="11"/>
      <c r="D70" s="11"/>
      <c r="E70" s="11"/>
      <c r="F70" s="11"/>
      <c r="G70" s="11"/>
      <c r="H70" s="11"/>
      <c r="I70" s="11"/>
      <c r="J70" s="11"/>
      <c r="K70" s="11"/>
      <c r="L70" s="11"/>
      <c r="M70" s="11"/>
      <c r="N70" s="11"/>
      <c r="O70" s="11"/>
      <c r="P70" s="11"/>
      <c r="Q70" s="11"/>
      <c r="R70" s="11"/>
      <c r="S70" s="11"/>
      <c r="T70" s="11"/>
      <c r="U70" s="11"/>
      <c r="V70" s="11"/>
      <c r="W70" s="12"/>
      <c r="X70" s="4"/>
      <c r="Y70" s="4"/>
      <c r="Z70" s="4"/>
      <c r="AA70" s="4"/>
      <c r="AB70" s="5"/>
    </row>
    <row r="71" spans="2:28" ht="36" x14ac:dyDescent="0.35">
      <c r="B71" s="53" t="s">
        <v>1090</v>
      </c>
      <c r="C71" s="54"/>
      <c r="D71" s="54"/>
      <c r="E71" s="54"/>
      <c r="F71" s="54"/>
      <c r="G71" s="54"/>
      <c r="H71" s="54"/>
      <c r="I71" s="54"/>
      <c r="J71" s="54"/>
      <c r="K71" s="54"/>
      <c r="L71" s="54"/>
      <c r="M71" s="54"/>
      <c r="N71" s="54"/>
      <c r="O71" s="54"/>
      <c r="P71" s="54"/>
      <c r="Q71" s="54"/>
      <c r="R71" s="54"/>
      <c r="S71" s="54"/>
      <c r="T71" s="54"/>
      <c r="U71" s="54"/>
      <c r="V71" s="54"/>
      <c r="W71" s="54"/>
      <c r="X71" s="54"/>
      <c r="Y71" s="54"/>
      <c r="Z71" s="54"/>
      <c r="AA71" s="54"/>
      <c r="AB71" s="55"/>
    </row>
    <row r="72" spans="2:28" ht="36" x14ac:dyDescent="0.8">
      <c r="B72" s="10"/>
      <c r="C72" s="11"/>
      <c r="D72" s="11"/>
      <c r="E72" s="11"/>
      <c r="F72" s="11"/>
      <c r="G72" s="11"/>
      <c r="H72" s="11"/>
      <c r="I72" s="11"/>
      <c r="J72" s="11"/>
      <c r="K72" s="11"/>
      <c r="L72" s="11"/>
      <c r="M72" s="11"/>
      <c r="N72" s="11"/>
      <c r="O72" s="11"/>
      <c r="P72" s="11"/>
      <c r="Q72" s="11"/>
      <c r="R72" s="11"/>
      <c r="S72" s="11"/>
      <c r="T72" s="11"/>
      <c r="U72" s="11"/>
      <c r="V72" s="11"/>
      <c r="W72" s="12"/>
      <c r="X72" s="4"/>
      <c r="Y72" s="4"/>
      <c r="Z72" s="4"/>
      <c r="AA72" s="4"/>
      <c r="AB72" s="5"/>
    </row>
    <row r="73" spans="2:28" ht="140" customHeight="1" x14ac:dyDescent="0.35">
      <c r="B73" s="50" t="s">
        <v>1091</v>
      </c>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2"/>
    </row>
    <row r="74" spans="2:28" ht="36" x14ac:dyDescent="0.8">
      <c r="B74" s="10"/>
      <c r="C74" s="11"/>
      <c r="D74" s="11"/>
      <c r="E74" s="11"/>
      <c r="F74" s="11"/>
      <c r="G74" s="11"/>
      <c r="H74" s="11"/>
      <c r="I74" s="11"/>
      <c r="J74" s="11"/>
      <c r="K74" s="11"/>
      <c r="L74" s="11"/>
      <c r="M74" s="11"/>
      <c r="N74" s="11"/>
      <c r="O74" s="11"/>
      <c r="P74" s="11"/>
      <c r="Q74" s="11"/>
      <c r="R74" s="11"/>
      <c r="S74" s="11"/>
      <c r="T74" s="11"/>
      <c r="U74" s="11"/>
      <c r="V74" s="11"/>
      <c r="W74" s="12"/>
      <c r="X74" s="4"/>
      <c r="Y74" s="4"/>
      <c r="Z74" s="4"/>
      <c r="AA74" s="4"/>
      <c r="AB74" s="5"/>
    </row>
    <row r="75" spans="2:28" x14ac:dyDescent="0.35">
      <c r="B75" s="6"/>
      <c r="C75" s="4"/>
      <c r="D75" s="4"/>
      <c r="E75" s="4"/>
      <c r="F75" s="4"/>
      <c r="G75" s="4"/>
      <c r="H75" s="4"/>
      <c r="I75" s="4"/>
      <c r="J75" s="4"/>
      <c r="K75" s="4"/>
      <c r="L75" s="4"/>
      <c r="M75" s="4"/>
      <c r="N75" s="4"/>
      <c r="O75" s="4"/>
      <c r="P75" s="4"/>
      <c r="Q75" s="4"/>
      <c r="R75" s="4"/>
      <c r="S75" s="4"/>
      <c r="T75" s="4"/>
      <c r="U75" s="4"/>
      <c r="V75" s="4"/>
      <c r="W75" s="4"/>
      <c r="X75" s="4"/>
      <c r="Y75" s="4"/>
      <c r="Z75" s="4"/>
      <c r="AA75" s="4"/>
      <c r="AB75" s="5"/>
    </row>
    <row r="76" spans="2:28" x14ac:dyDescent="0.35">
      <c r="B76" s="6"/>
      <c r="C76" s="4"/>
      <c r="D76" s="4"/>
      <c r="E76" s="4"/>
      <c r="F76" s="4"/>
      <c r="G76" s="4"/>
      <c r="H76" s="4"/>
      <c r="I76" s="4"/>
      <c r="J76" s="4"/>
      <c r="K76" s="4"/>
      <c r="L76" s="4"/>
      <c r="M76" s="4"/>
      <c r="N76" s="4"/>
      <c r="O76" s="4"/>
      <c r="P76" s="4"/>
      <c r="Q76" s="4"/>
      <c r="R76" s="4"/>
      <c r="S76" s="4"/>
      <c r="T76" s="4"/>
      <c r="U76" s="4"/>
      <c r="V76" s="4"/>
      <c r="W76" s="4"/>
      <c r="X76" s="4"/>
      <c r="Y76" s="4"/>
      <c r="Z76" s="4"/>
      <c r="AA76" s="4"/>
      <c r="AB76" s="5"/>
    </row>
    <row r="77" spans="2:28" x14ac:dyDescent="0.35">
      <c r="B77" s="6"/>
      <c r="C77" s="4"/>
      <c r="D77" s="4"/>
      <c r="E77" s="4"/>
      <c r="F77" s="4"/>
      <c r="G77" s="4"/>
      <c r="H77" s="4"/>
      <c r="I77" s="4"/>
      <c r="J77" s="4"/>
      <c r="K77" s="4"/>
      <c r="L77" s="4"/>
      <c r="M77" s="4"/>
      <c r="N77" s="4"/>
      <c r="O77" s="4"/>
      <c r="P77" s="4"/>
      <c r="Q77" s="4"/>
      <c r="R77" s="4"/>
      <c r="S77" s="4"/>
      <c r="T77" s="4"/>
      <c r="U77" s="4"/>
      <c r="V77" s="4"/>
      <c r="W77" s="4"/>
      <c r="X77" s="4"/>
      <c r="Y77" s="4"/>
      <c r="Z77" s="4"/>
      <c r="AA77" s="4"/>
      <c r="AB77" s="5"/>
    </row>
    <row r="78" spans="2:28" ht="15" thickBot="1" x14ac:dyDescent="0.4">
      <c r="B78" s="7"/>
      <c r="C78" s="8"/>
      <c r="D78" s="8"/>
      <c r="E78" s="8"/>
      <c r="F78" s="8"/>
      <c r="G78" s="8"/>
      <c r="H78" s="8"/>
      <c r="I78" s="8"/>
      <c r="J78" s="8"/>
      <c r="K78" s="8"/>
      <c r="L78" s="8"/>
      <c r="M78" s="8"/>
      <c r="N78" s="8"/>
      <c r="O78" s="8"/>
      <c r="P78" s="8"/>
      <c r="Q78" s="8"/>
      <c r="R78" s="8"/>
      <c r="S78" s="8"/>
      <c r="T78" s="8"/>
      <c r="U78" s="8"/>
      <c r="V78" s="8"/>
      <c r="W78" s="8"/>
      <c r="X78" s="8"/>
      <c r="Y78" s="8"/>
      <c r="Z78" s="8"/>
      <c r="AA78" s="8"/>
      <c r="AB78" s="9"/>
    </row>
  </sheetData>
  <mergeCells count="12">
    <mergeCell ref="B1:AB1"/>
    <mergeCell ref="B5:AB5"/>
    <mergeCell ref="B73:AB73"/>
    <mergeCell ref="B9:AB9"/>
    <mergeCell ref="B23:AB23"/>
    <mergeCell ref="B25:AB25"/>
    <mergeCell ref="B29:AB29"/>
    <mergeCell ref="B59:AB59"/>
    <mergeCell ref="B71:AB71"/>
    <mergeCell ref="B47:AB47"/>
    <mergeCell ref="B41:AB41"/>
    <mergeCell ref="B43:AB4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1"/>
  <sheetViews>
    <sheetView workbookViewId="0">
      <pane ySplit="1" topLeftCell="A29" activePane="bottomLeft" state="frozen"/>
      <selection pane="bottomLeft" activeCell="D22" sqref="D22"/>
    </sheetView>
  </sheetViews>
  <sheetFormatPr defaultRowHeight="14.5" x14ac:dyDescent="0.35"/>
  <cols>
    <col min="1" max="1" width="13.08984375" customWidth="1"/>
    <col min="2" max="2" width="10.81640625" customWidth="1"/>
    <col min="3" max="3" width="14.36328125" customWidth="1"/>
    <col min="4" max="4" width="16.08984375" customWidth="1"/>
    <col min="5" max="5" width="11.6328125" customWidth="1"/>
    <col min="6" max="6" width="17" customWidth="1"/>
    <col min="7" max="7" width="16.6328125" customWidth="1"/>
    <col min="8" max="8" width="9.08984375" customWidth="1"/>
    <col min="9" max="9" width="11.90625" customWidth="1"/>
    <col min="10" max="10" width="20" customWidth="1"/>
    <col min="11" max="11" width="16.1796875"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v>4</v>
      </c>
      <c r="C2" t="s">
        <v>12</v>
      </c>
      <c r="D2" t="s">
        <v>13</v>
      </c>
      <c r="E2" t="s">
        <v>14</v>
      </c>
      <c r="F2" s="1">
        <v>45619</v>
      </c>
      <c r="G2" s="1">
        <v>45621</v>
      </c>
      <c r="H2">
        <v>72</v>
      </c>
      <c r="I2" t="s">
        <v>15</v>
      </c>
      <c r="J2" t="s">
        <v>16</v>
      </c>
      <c r="K2">
        <v>159794</v>
      </c>
    </row>
    <row r="3" spans="1:11" x14ac:dyDescent="0.35">
      <c r="A3" t="s">
        <v>17</v>
      </c>
      <c r="B3">
        <v>4</v>
      </c>
      <c r="C3" t="s">
        <v>18</v>
      </c>
      <c r="D3" t="s">
        <v>13</v>
      </c>
      <c r="E3" t="s">
        <v>14</v>
      </c>
      <c r="F3" s="1">
        <v>45508</v>
      </c>
      <c r="G3" s="1">
        <v>45509</v>
      </c>
      <c r="H3">
        <v>259</v>
      </c>
      <c r="I3" t="s">
        <v>15</v>
      </c>
      <c r="J3" t="s">
        <v>16</v>
      </c>
      <c r="K3">
        <v>192700</v>
      </c>
    </row>
    <row r="4" spans="1:11" x14ac:dyDescent="0.35">
      <c r="A4" t="s">
        <v>19</v>
      </c>
      <c r="B4">
        <v>70</v>
      </c>
      <c r="C4" t="s">
        <v>12</v>
      </c>
      <c r="D4" t="s">
        <v>13</v>
      </c>
      <c r="E4" t="s">
        <v>20</v>
      </c>
      <c r="F4" s="1">
        <v>45624</v>
      </c>
      <c r="G4" s="1">
        <v>45636</v>
      </c>
      <c r="H4">
        <v>143</v>
      </c>
      <c r="I4" t="s">
        <v>15</v>
      </c>
      <c r="J4" t="s">
        <v>16</v>
      </c>
      <c r="K4">
        <v>188013</v>
      </c>
    </row>
    <row r="5" spans="1:11" x14ac:dyDescent="0.35">
      <c r="A5" t="s">
        <v>21</v>
      </c>
      <c r="B5">
        <v>36</v>
      </c>
      <c r="C5" t="s">
        <v>18</v>
      </c>
      <c r="D5" t="s">
        <v>13</v>
      </c>
      <c r="E5" t="s">
        <v>22</v>
      </c>
      <c r="F5" s="1">
        <v>45508</v>
      </c>
      <c r="G5" s="1">
        <v>45514</v>
      </c>
      <c r="H5">
        <v>173</v>
      </c>
      <c r="I5" t="s">
        <v>15</v>
      </c>
      <c r="J5" t="s">
        <v>16</v>
      </c>
      <c r="K5">
        <v>104595</v>
      </c>
    </row>
    <row r="6" spans="1:11" x14ac:dyDescent="0.35">
      <c r="A6" t="s">
        <v>23</v>
      </c>
      <c r="B6">
        <v>45</v>
      </c>
      <c r="C6" t="s">
        <v>12</v>
      </c>
      <c r="D6" t="s">
        <v>24</v>
      </c>
      <c r="E6" t="s">
        <v>25</v>
      </c>
      <c r="F6" s="1">
        <v>45341</v>
      </c>
      <c r="G6" s="1">
        <v>45347</v>
      </c>
      <c r="H6">
        <v>236</v>
      </c>
      <c r="I6" t="s">
        <v>15</v>
      </c>
      <c r="J6" t="s">
        <v>26</v>
      </c>
      <c r="K6">
        <v>25656</v>
      </c>
    </row>
    <row r="7" spans="1:11" x14ac:dyDescent="0.35">
      <c r="A7" t="s">
        <v>27</v>
      </c>
      <c r="B7">
        <v>81</v>
      </c>
      <c r="C7" t="s">
        <v>12</v>
      </c>
      <c r="D7" t="s">
        <v>28</v>
      </c>
      <c r="E7" t="s">
        <v>29</v>
      </c>
      <c r="F7" s="1">
        <v>45574</v>
      </c>
      <c r="G7" s="1">
        <v>45579</v>
      </c>
      <c r="H7">
        <v>36</v>
      </c>
      <c r="I7" t="s">
        <v>15</v>
      </c>
      <c r="J7" t="s">
        <v>16</v>
      </c>
      <c r="K7">
        <v>80861</v>
      </c>
    </row>
    <row r="8" spans="1:11" x14ac:dyDescent="0.35">
      <c r="A8" t="s">
        <v>30</v>
      </c>
      <c r="B8">
        <v>30</v>
      </c>
      <c r="C8" t="s">
        <v>18</v>
      </c>
      <c r="D8" t="s">
        <v>31</v>
      </c>
      <c r="E8" t="s">
        <v>32</v>
      </c>
      <c r="F8" s="1">
        <v>45332</v>
      </c>
      <c r="G8" s="1">
        <v>45346</v>
      </c>
      <c r="H8">
        <v>233</v>
      </c>
      <c r="I8" t="s">
        <v>33</v>
      </c>
      <c r="J8" t="s">
        <v>16</v>
      </c>
      <c r="K8">
        <v>102040</v>
      </c>
    </row>
    <row r="9" spans="1:11" x14ac:dyDescent="0.35">
      <c r="A9" t="s">
        <v>34</v>
      </c>
      <c r="B9">
        <v>86</v>
      </c>
      <c r="C9" t="s">
        <v>12</v>
      </c>
      <c r="D9" t="s">
        <v>24</v>
      </c>
      <c r="E9" t="s">
        <v>35</v>
      </c>
      <c r="F9" s="1">
        <v>45473</v>
      </c>
      <c r="G9" s="1">
        <v>45477</v>
      </c>
      <c r="H9">
        <v>88</v>
      </c>
      <c r="I9" t="s">
        <v>36</v>
      </c>
      <c r="J9" t="s">
        <v>16</v>
      </c>
      <c r="K9">
        <v>126178</v>
      </c>
    </row>
    <row r="10" spans="1:11" x14ac:dyDescent="0.35">
      <c r="A10" t="s">
        <v>37</v>
      </c>
      <c r="B10">
        <v>82</v>
      </c>
      <c r="C10" t="s">
        <v>18</v>
      </c>
      <c r="D10" t="s">
        <v>38</v>
      </c>
      <c r="E10" t="s">
        <v>22</v>
      </c>
      <c r="F10" s="1">
        <v>45486</v>
      </c>
      <c r="G10" s="1">
        <v>45491</v>
      </c>
      <c r="H10">
        <v>29</v>
      </c>
      <c r="I10" t="s">
        <v>36</v>
      </c>
      <c r="J10" t="s">
        <v>16</v>
      </c>
      <c r="K10">
        <v>87694</v>
      </c>
    </row>
    <row r="11" spans="1:11" x14ac:dyDescent="0.35">
      <c r="A11" t="s">
        <v>39</v>
      </c>
      <c r="B11">
        <v>9</v>
      </c>
      <c r="C11" t="s">
        <v>18</v>
      </c>
      <c r="D11" t="s">
        <v>28</v>
      </c>
      <c r="E11" t="s">
        <v>40</v>
      </c>
      <c r="F11" s="1">
        <v>45497</v>
      </c>
      <c r="G11" s="1">
        <v>45502</v>
      </c>
      <c r="H11">
        <v>162</v>
      </c>
      <c r="I11" t="s">
        <v>36</v>
      </c>
      <c r="J11" t="s">
        <v>26</v>
      </c>
      <c r="K11">
        <v>108712</v>
      </c>
    </row>
    <row r="12" spans="1:11" x14ac:dyDescent="0.35">
      <c r="A12" t="s">
        <v>41</v>
      </c>
      <c r="B12">
        <v>19</v>
      </c>
      <c r="C12" t="s">
        <v>12</v>
      </c>
      <c r="D12" t="s">
        <v>13</v>
      </c>
      <c r="E12" t="s">
        <v>14</v>
      </c>
      <c r="F12" s="1">
        <v>45621</v>
      </c>
      <c r="G12" s="1">
        <v>45629</v>
      </c>
      <c r="H12">
        <v>288</v>
      </c>
      <c r="I12" t="s">
        <v>33</v>
      </c>
      <c r="J12" t="s">
        <v>26</v>
      </c>
      <c r="K12">
        <v>157969</v>
      </c>
    </row>
    <row r="13" spans="1:11" x14ac:dyDescent="0.35">
      <c r="A13" t="s">
        <v>42</v>
      </c>
      <c r="B13">
        <v>29</v>
      </c>
      <c r="C13" t="s">
        <v>18</v>
      </c>
      <c r="D13" t="s">
        <v>28</v>
      </c>
      <c r="E13" t="s">
        <v>43</v>
      </c>
      <c r="F13" s="1">
        <v>45496</v>
      </c>
      <c r="G13" s="1">
        <v>45502</v>
      </c>
      <c r="H13">
        <v>47</v>
      </c>
      <c r="I13" t="s">
        <v>15</v>
      </c>
      <c r="J13" t="s">
        <v>16</v>
      </c>
      <c r="K13">
        <v>45066</v>
      </c>
    </row>
    <row r="14" spans="1:11" x14ac:dyDescent="0.35">
      <c r="A14" t="s">
        <v>44</v>
      </c>
      <c r="B14">
        <v>88</v>
      </c>
      <c r="C14" t="s">
        <v>12</v>
      </c>
      <c r="D14" t="s">
        <v>28</v>
      </c>
      <c r="E14" t="s">
        <v>45</v>
      </c>
      <c r="F14" s="1">
        <v>45613</v>
      </c>
      <c r="G14" s="1">
        <v>45616</v>
      </c>
      <c r="H14">
        <v>198</v>
      </c>
      <c r="I14" t="s">
        <v>46</v>
      </c>
      <c r="J14" t="s">
        <v>26</v>
      </c>
      <c r="K14">
        <v>143704</v>
      </c>
    </row>
    <row r="15" spans="1:11" x14ac:dyDescent="0.35">
      <c r="A15" t="s">
        <v>47</v>
      </c>
      <c r="B15">
        <v>2</v>
      </c>
      <c r="C15" t="s">
        <v>18</v>
      </c>
      <c r="D15" t="s">
        <v>28</v>
      </c>
      <c r="E15" t="s">
        <v>22</v>
      </c>
      <c r="F15" s="1">
        <v>45420</v>
      </c>
      <c r="G15" s="1">
        <v>45429</v>
      </c>
      <c r="H15">
        <v>137</v>
      </c>
      <c r="I15" t="s">
        <v>33</v>
      </c>
      <c r="J15" t="s">
        <v>16</v>
      </c>
      <c r="K15">
        <v>81939</v>
      </c>
    </row>
    <row r="16" spans="1:11" x14ac:dyDescent="0.35">
      <c r="A16" t="s">
        <v>48</v>
      </c>
      <c r="B16">
        <v>59</v>
      </c>
      <c r="C16" t="s">
        <v>18</v>
      </c>
      <c r="D16" t="s">
        <v>38</v>
      </c>
      <c r="E16" t="s">
        <v>49</v>
      </c>
      <c r="F16" s="1">
        <v>45514</v>
      </c>
      <c r="G16" s="1">
        <v>45517</v>
      </c>
      <c r="H16">
        <v>92</v>
      </c>
      <c r="I16" t="s">
        <v>15</v>
      </c>
      <c r="J16" t="s">
        <v>16</v>
      </c>
      <c r="K16">
        <v>172496</v>
      </c>
    </row>
    <row r="17" spans="1:11" x14ac:dyDescent="0.35">
      <c r="A17" t="s">
        <v>50</v>
      </c>
      <c r="B17">
        <v>26</v>
      </c>
      <c r="C17" t="s">
        <v>18</v>
      </c>
      <c r="D17" t="s">
        <v>38</v>
      </c>
      <c r="E17" t="s">
        <v>22</v>
      </c>
      <c r="F17" s="1">
        <v>45551</v>
      </c>
      <c r="G17" s="1">
        <v>45561</v>
      </c>
      <c r="H17">
        <v>83</v>
      </c>
      <c r="I17" t="s">
        <v>15</v>
      </c>
      <c r="J17" t="s">
        <v>16</v>
      </c>
      <c r="K17">
        <v>133085</v>
      </c>
    </row>
    <row r="18" spans="1:11" x14ac:dyDescent="0.35">
      <c r="A18" t="s">
        <v>51</v>
      </c>
      <c r="B18">
        <v>47</v>
      </c>
      <c r="C18" t="s">
        <v>12</v>
      </c>
      <c r="D18" t="s">
        <v>13</v>
      </c>
      <c r="E18" t="s">
        <v>52</v>
      </c>
      <c r="F18" s="1">
        <v>45301</v>
      </c>
      <c r="G18" s="1">
        <v>45303</v>
      </c>
      <c r="H18">
        <v>124</v>
      </c>
      <c r="I18" t="s">
        <v>15</v>
      </c>
      <c r="J18" t="s">
        <v>16</v>
      </c>
      <c r="K18">
        <v>196865</v>
      </c>
    </row>
    <row r="19" spans="1:11" x14ac:dyDescent="0.35">
      <c r="A19" t="s">
        <v>53</v>
      </c>
      <c r="B19">
        <v>9</v>
      </c>
      <c r="C19" t="s">
        <v>18</v>
      </c>
      <c r="D19" t="s">
        <v>13</v>
      </c>
      <c r="E19" t="s">
        <v>54</v>
      </c>
      <c r="F19" s="1">
        <v>45540</v>
      </c>
      <c r="G19" s="1">
        <v>45554</v>
      </c>
      <c r="H19">
        <v>244</v>
      </c>
      <c r="I19" t="s">
        <v>36</v>
      </c>
      <c r="J19" t="s">
        <v>16</v>
      </c>
      <c r="K19">
        <v>143326</v>
      </c>
    </row>
    <row r="20" spans="1:11" x14ac:dyDescent="0.35">
      <c r="A20" t="s">
        <v>55</v>
      </c>
      <c r="B20">
        <v>28</v>
      </c>
      <c r="C20" t="s">
        <v>18</v>
      </c>
      <c r="D20" t="s">
        <v>38</v>
      </c>
      <c r="E20" t="s">
        <v>56</v>
      </c>
      <c r="F20" s="1">
        <v>45602</v>
      </c>
      <c r="G20" s="1">
        <v>45609</v>
      </c>
      <c r="H20">
        <v>192</v>
      </c>
      <c r="I20" t="s">
        <v>46</v>
      </c>
      <c r="J20" t="s">
        <v>26</v>
      </c>
      <c r="K20">
        <v>36720</v>
      </c>
    </row>
    <row r="21" spans="1:11" x14ac:dyDescent="0.35">
      <c r="A21" t="s">
        <v>57</v>
      </c>
      <c r="B21">
        <v>9</v>
      </c>
      <c r="C21" t="s">
        <v>12</v>
      </c>
      <c r="D21" t="s">
        <v>24</v>
      </c>
      <c r="E21" t="s">
        <v>58</v>
      </c>
      <c r="F21" s="1">
        <v>45418</v>
      </c>
      <c r="G21" s="1">
        <v>45422</v>
      </c>
      <c r="H21">
        <v>284</v>
      </c>
      <c r="I21" t="s">
        <v>36</v>
      </c>
      <c r="J21" t="s">
        <v>16</v>
      </c>
      <c r="K21">
        <v>6885</v>
      </c>
    </row>
    <row r="22" spans="1:11" x14ac:dyDescent="0.35">
      <c r="A22" t="s">
        <v>59</v>
      </c>
      <c r="B22">
        <v>81</v>
      </c>
      <c r="C22" t="s">
        <v>18</v>
      </c>
      <c r="D22" t="s">
        <v>13</v>
      </c>
      <c r="E22" t="s">
        <v>45</v>
      </c>
      <c r="F22" s="1">
        <v>45328</v>
      </c>
      <c r="G22" s="1">
        <v>45340</v>
      </c>
      <c r="H22">
        <v>17</v>
      </c>
      <c r="I22" t="s">
        <v>33</v>
      </c>
      <c r="J22" t="s">
        <v>16</v>
      </c>
      <c r="K22">
        <v>139782</v>
      </c>
    </row>
    <row r="23" spans="1:11" x14ac:dyDescent="0.35">
      <c r="A23" t="s">
        <v>60</v>
      </c>
      <c r="B23">
        <v>86</v>
      </c>
      <c r="C23" t="s">
        <v>12</v>
      </c>
      <c r="D23" t="s">
        <v>13</v>
      </c>
      <c r="E23" t="s">
        <v>61</v>
      </c>
      <c r="F23" s="1">
        <v>45413</v>
      </c>
      <c r="G23" s="1">
        <v>45418</v>
      </c>
      <c r="H23">
        <v>68</v>
      </c>
      <c r="I23" t="s">
        <v>46</v>
      </c>
      <c r="J23" t="s">
        <v>16</v>
      </c>
      <c r="K23">
        <v>128987</v>
      </c>
    </row>
    <row r="24" spans="1:11" x14ac:dyDescent="0.35">
      <c r="A24" t="s">
        <v>62</v>
      </c>
      <c r="B24">
        <v>13</v>
      </c>
      <c r="C24" t="s">
        <v>18</v>
      </c>
      <c r="D24" t="s">
        <v>31</v>
      </c>
      <c r="E24" t="s">
        <v>63</v>
      </c>
      <c r="F24" s="1">
        <v>45500</v>
      </c>
      <c r="G24" s="1">
        <v>45504</v>
      </c>
      <c r="H24">
        <v>217</v>
      </c>
      <c r="I24" t="s">
        <v>46</v>
      </c>
      <c r="J24" t="s">
        <v>26</v>
      </c>
      <c r="K24">
        <v>196122</v>
      </c>
    </row>
    <row r="25" spans="1:11" x14ac:dyDescent="0.35">
      <c r="A25" t="s">
        <v>64</v>
      </c>
      <c r="B25">
        <v>84</v>
      </c>
      <c r="C25" t="s">
        <v>18</v>
      </c>
      <c r="D25" t="s">
        <v>24</v>
      </c>
      <c r="E25" t="s">
        <v>56</v>
      </c>
      <c r="F25" s="1">
        <v>45319</v>
      </c>
      <c r="G25" s="1">
        <v>45330</v>
      </c>
      <c r="H25">
        <v>174</v>
      </c>
      <c r="I25" t="s">
        <v>15</v>
      </c>
      <c r="J25" t="s">
        <v>16</v>
      </c>
      <c r="K25">
        <v>55224</v>
      </c>
    </row>
    <row r="26" spans="1:11" x14ac:dyDescent="0.35">
      <c r="A26" t="s">
        <v>65</v>
      </c>
      <c r="B26">
        <v>58</v>
      </c>
      <c r="C26" t="s">
        <v>18</v>
      </c>
      <c r="D26" t="s">
        <v>31</v>
      </c>
      <c r="E26" t="s">
        <v>66</v>
      </c>
      <c r="F26" s="1">
        <v>45389</v>
      </c>
      <c r="G26" s="1">
        <v>45398</v>
      </c>
      <c r="H26">
        <v>143</v>
      </c>
      <c r="I26" t="s">
        <v>46</v>
      </c>
      <c r="J26" t="s">
        <v>16</v>
      </c>
      <c r="K26">
        <v>24761</v>
      </c>
    </row>
    <row r="27" spans="1:11" x14ac:dyDescent="0.35">
      <c r="A27" t="s">
        <v>67</v>
      </c>
      <c r="B27">
        <v>71</v>
      </c>
      <c r="C27" t="s">
        <v>18</v>
      </c>
      <c r="D27" t="s">
        <v>24</v>
      </c>
      <c r="E27" t="s">
        <v>68</v>
      </c>
      <c r="F27" s="1">
        <v>45518</v>
      </c>
      <c r="G27" s="1">
        <v>45531</v>
      </c>
      <c r="H27">
        <v>277</v>
      </c>
      <c r="I27" t="s">
        <v>15</v>
      </c>
      <c r="J27" t="s">
        <v>16</v>
      </c>
      <c r="K27">
        <v>66965</v>
      </c>
    </row>
    <row r="28" spans="1:11" x14ac:dyDescent="0.35">
      <c r="A28" t="s">
        <v>69</v>
      </c>
      <c r="B28">
        <v>63</v>
      </c>
      <c r="C28" t="s">
        <v>12</v>
      </c>
      <c r="D28" t="s">
        <v>13</v>
      </c>
      <c r="E28" t="s">
        <v>56</v>
      </c>
      <c r="F28" s="1">
        <v>45377</v>
      </c>
      <c r="G28" s="1">
        <v>45384</v>
      </c>
      <c r="H28">
        <v>31</v>
      </c>
      <c r="I28" t="s">
        <v>36</v>
      </c>
      <c r="J28" t="s">
        <v>26</v>
      </c>
      <c r="K28">
        <v>5565</v>
      </c>
    </row>
    <row r="29" spans="1:11" x14ac:dyDescent="0.35">
      <c r="A29" t="s">
        <v>70</v>
      </c>
      <c r="B29">
        <v>59</v>
      </c>
      <c r="C29" t="s">
        <v>12</v>
      </c>
      <c r="D29" t="s">
        <v>31</v>
      </c>
      <c r="E29" t="s">
        <v>40</v>
      </c>
      <c r="F29" s="1">
        <v>45491</v>
      </c>
      <c r="G29" s="1">
        <v>45496</v>
      </c>
      <c r="H29">
        <v>285</v>
      </c>
      <c r="I29" t="s">
        <v>46</v>
      </c>
      <c r="J29" t="s">
        <v>16</v>
      </c>
      <c r="K29">
        <v>54780</v>
      </c>
    </row>
    <row r="30" spans="1:11" x14ac:dyDescent="0.35">
      <c r="A30" t="s">
        <v>71</v>
      </c>
      <c r="B30">
        <v>8</v>
      </c>
      <c r="C30" t="s">
        <v>18</v>
      </c>
      <c r="D30" t="s">
        <v>38</v>
      </c>
      <c r="E30" t="s">
        <v>52</v>
      </c>
      <c r="F30" s="1">
        <v>45443</v>
      </c>
      <c r="G30" s="1">
        <v>45447</v>
      </c>
      <c r="H30">
        <v>26</v>
      </c>
      <c r="I30" t="s">
        <v>46</v>
      </c>
      <c r="J30" t="s">
        <v>16</v>
      </c>
      <c r="K30">
        <v>19910</v>
      </c>
    </row>
    <row r="31" spans="1:11" x14ac:dyDescent="0.35">
      <c r="A31" t="s">
        <v>72</v>
      </c>
      <c r="B31">
        <v>24</v>
      </c>
      <c r="C31" t="s">
        <v>18</v>
      </c>
      <c r="D31" t="s">
        <v>28</v>
      </c>
      <c r="E31" t="s">
        <v>45</v>
      </c>
      <c r="F31" s="1">
        <v>45552</v>
      </c>
      <c r="G31" s="1">
        <v>45554</v>
      </c>
      <c r="H31">
        <v>121</v>
      </c>
      <c r="I31" t="s">
        <v>46</v>
      </c>
      <c r="J31" t="s">
        <v>16</v>
      </c>
      <c r="K31">
        <v>154336</v>
      </c>
    </row>
    <row r="32" spans="1:11" x14ac:dyDescent="0.35">
      <c r="A32" t="s">
        <v>73</v>
      </c>
      <c r="B32">
        <v>77</v>
      </c>
      <c r="C32" t="s">
        <v>18</v>
      </c>
      <c r="D32" t="s">
        <v>28</v>
      </c>
      <c r="E32" t="s">
        <v>45</v>
      </c>
      <c r="F32" s="1">
        <v>45418</v>
      </c>
      <c r="G32" s="1">
        <v>45428</v>
      </c>
      <c r="H32">
        <v>215</v>
      </c>
      <c r="I32" t="s">
        <v>33</v>
      </c>
      <c r="J32" t="s">
        <v>16</v>
      </c>
      <c r="K32">
        <v>58545</v>
      </c>
    </row>
    <row r="33" spans="1:11" x14ac:dyDescent="0.35">
      <c r="A33" t="s">
        <v>74</v>
      </c>
      <c r="B33">
        <v>41</v>
      </c>
      <c r="C33" t="s">
        <v>18</v>
      </c>
      <c r="D33" t="s">
        <v>38</v>
      </c>
      <c r="E33" t="s">
        <v>56</v>
      </c>
      <c r="F33" s="1">
        <v>45634</v>
      </c>
      <c r="G33" s="1">
        <v>45646</v>
      </c>
      <c r="H33">
        <v>68</v>
      </c>
      <c r="I33" t="s">
        <v>33</v>
      </c>
      <c r="J33" t="s">
        <v>26</v>
      </c>
      <c r="K33">
        <v>87883</v>
      </c>
    </row>
    <row r="34" spans="1:11" x14ac:dyDescent="0.35">
      <c r="A34" t="s">
        <v>75</v>
      </c>
      <c r="B34">
        <v>59</v>
      </c>
      <c r="C34" t="s">
        <v>18</v>
      </c>
      <c r="D34" t="s">
        <v>24</v>
      </c>
      <c r="E34" t="s">
        <v>61</v>
      </c>
      <c r="F34" s="1">
        <v>45329</v>
      </c>
      <c r="G34" s="1">
        <v>45330</v>
      </c>
      <c r="H34">
        <v>110</v>
      </c>
      <c r="I34" t="s">
        <v>33</v>
      </c>
      <c r="J34" t="s">
        <v>16</v>
      </c>
      <c r="K34">
        <v>96490</v>
      </c>
    </row>
    <row r="35" spans="1:11" x14ac:dyDescent="0.35">
      <c r="A35" t="s">
        <v>76</v>
      </c>
      <c r="B35">
        <v>32</v>
      </c>
      <c r="C35" t="s">
        <v>12</v>
      </c>
      <c r="D35" t="s">
        <v>38</v>
      </c>
      <c r="E35" t="s">
        <v>66</v>
      </c>
      <c r="F35" s="1">
        <v>45327</v>
      </c>
      <c r="G35" s="1">
        <v>45342</v>
      </c>
      <c r="H35">
        <v>225</v>
      </c>
      <c r="I35" t="s">
        <v>33</v>
      </c>
      <c r="J35" t="s">
        <v>16</v>
      </c>
      <c r="K35">
        <v>180076</v>
      </c>
    </row>
    <row r="36" spans="1:11" x14ac:dyDescent="0.35">
      <c r="A36" t="s">
        <v>77</v>
      </c>
      <c r="B36">
        <v>85</v>
      </c>
      <c r="C36" t="s">
        <v>18</v>
      </c>
      <c r="D36" t="s">
        <v>13</v>
      </c>
      <c r="E36" t="s">
        <v>32</v>
      </c>
      <c r="F36" s="1">
        <v>45575</v>
      </c>
      <c r="G36" s="1">
        <v>45580</v>
      </c>
      <c r="H36">
        <v>60</v>
      </c>
      <c r="I36" t="s">
        <v>15</v>
      </c>
      <c r="J36" t="s">
        <v>16</v>
      </c>
      <c r="K36">
        <v>76394</v>
      </c>
    </row>
    <row r="37" spans="1:11" x14ac:dyDescent="0.35">
      <c r="A37" t="s">
        <v>78</v>
      </c>
      <c r="B37">
        <v>27</v>
      </c>
      <c r="C37" t="s">
        <v>12</v>
      </c>
      <c r="D37" t="s">
        <v>13</v>
      </c>
      <c r="E37" t="s">
        <v>54</v>
      </c>
      <c r="F37" s="1">
        <v>45436</v>
      </c>
      <c r="G37" s="1">
        <v>45446</v>
      </c>
      <c r="H37">
        <v>136</v>
      </c>
      <c r="I37" t="s">
        <v>46</v>
      </c>
      <c r="J37" t="s">
        <v>16</v>
      </c>
      <c r="K37">
        <v>18316</v>
      </c>
    </row>
    <row r="38" spans="1:11" x14ac:dyDescent="0.35">
      <c r="A38" t="s">
        <v>79</v>
      </c>
      <c r="B38">
        <v>55</v>
      </c>
      <c r="C38" t="s">
        <v>12</v>
      </c>
      <c r="D38" t="s">
        <v>24</v>
      </c>
      <c r="E38" t="s">
        <v>80</v>
      </c>
      <c r="F38" s="1">
        <v>45339</v>
      </c>
      <c r="G38" s="1">
        <v>45350</v>
      </c>
      <c r="H38">
        <v>171</v>
      </c>
      <c r="I38" t="s">
        <v>36</v>
      </c>
      <c r="J38" t="s">
        <v>16</v>
      </c>
      <c r="K38">
        <v>47357</v>
      </c>
    </row>
    <row r="39" spans="1:11" x14ac:dyDescent="0.35">
      <c r="A39" t="s">
        <v>81</v>
      </c>
      <c r="B39">
        <v>55</v>
      </c>
      <c r="C39" t="s">
        <v>18</v>
      </c>
      <c r="D39" t="s">
        <v>24</v>
      </c>
      <c r="E39" t="s">
        <v>45</v>
      </c>
      <c r="F39" s="1">
        <v>45518</v>
      </c>
      <c r="G39" s="1">
        <v>45527</v>
      </c>
      <c r="H39">
        <v>77</v>
      </c>
      <c r="I39" t="s">
        <v>15</v>
      </c>
      <c r="J39" t="s">
        <v>16</v>
      </c>
      <c r="K39">
        <v>157701</v>
      </c>
    </row>
    <row r="40" spans="1:11" x14ac:dyDescent="0.35">
      <c r="A40" t="s">
        <v>82</v>
      </c>
      <c r="B40">
        <v>56</v>
      </c>
      <c r="C40" t="s">
        <v>18</v>
      </c>
      <c r="D40" t="s">
        <v>24</v>
      </c>
      <c r="E40" t="s">
        <v>83</v>
      </c>
      <c r="F40" s="1">
        <v>45574</v>
      </c>
      <c r="G40" s="1">
        <v>45577</v>
      </c>
      <c r="H40">
        <v>187</v>
      </c>
      <c r="I40" t="s">
        <v>15</v>
      </c>
      <c r="J40" t="s">
        <v>16</v>
      </c>
      <c r="K40">
        <v>60070</v>
      </c>
    </row>
    <row r="41" spans="1:11" x14ac:dyDescent="0.35">
      <c r="A41" t="s">
        <v>84</v>
      </c>
      <c r="B41">
        <v>86</v>
      </c>
      <c r="C41" t="s">
        <v>18</v>
      </c>
      <c r="D41" t="s">
        <v>38</v>
      </c>
      <c r="E41" t="s">
        <v>22</v>
      </c>
      <c r="F41" s="1">
        <v>45641</v>
      </c>
      <c r="G41" s="1">
        <v>45645</v>
      </c>
      <c r="H41">
        <v>287</v>
      </c>
      <c r="I41" t="s">
        <v>46</v>
      </c>
      <c r="J41" t="s">
        <v>16</v>
      </c>
      <c r="K41">
        <v>67059</v>
      </c>
    </row>
    <row r="42" spans="1:11" x14ac:dyDescent="0.35">
      <c r="A42" t="s">
        <v>85</v>
      </c>
      <c r="B42">
        <v>23</v>
      </c>
      <c r="C42" t="s">
        <v>12</v>
      </c>
      <c r="D42" t="s">
        <v>24</v>
      </c>
      <c r="E42" t="s">
        <v>66</v>
      </c>
      <c r="F42" s="1">
        <v>45375</v>
      </c>
      <c r="G42" s="1">
        <v>45388</v>
      </c>
      <c r="H42">
        <v>171</v>
      </c>
      <c r="I42" t="s">
        <v>46</v>
      </c>
      <c r="J42" t="s">
        <v>16</v>
      </c>
      <c r="K42">
        <v>74941</v>
      </c>
    </row>
    <row r="43" spans="1:11" x14ac:dyDescent="0.35">
      <c r="A43" t="s">
        <v>86</v>
      </c>
      <c r="B43">
        <v>90</v>
      </c>
      <c r="C43" t="s">
        <v>18</v>
      </c>
      <c r="D43" t="s">
        <v>31</v>
      </c>
      <c r="E43" t="s">
        <v>52</v>
      </c>
      <c r="F43" s="1">
        <v>45373</v>
      </c>
      <c r="G43" s="1">
        <v>45386</v>
      </c>
      <c r="H43">
        <v>241</v>
      </c>
      <c r="I43" t="s">
        <v>36</v>
      </c>
      <c r="J43" t="s">
        <v>16</v>
      </c>
      <c r="K43">
        <v>125665</v>
      </c>
    </row>
    <row r="44" spans="1:11" x14ac:dyDescent="0.35">
      <c r="A44" t="s">
        <v>87</v>
      </c>
      <c r="B44">
        <v>30</v>
      </c>
      <c r="C44" t="s">
        <v>18</v>
      </c>
      <c r="D44" t="s">
        <v>24</v>
      </c>
      <c r="E44" t="s">
        <v>54</v>
      </c>
      <c r="F44" s="1">
        <v>45471</v>
      </c>
      <c r="G44" s="1">
        <v>45476</v>
      </c>
      <c r="H44">
        <v>99</v>
      </c>
      <c r="I44" t="s">
        <v>46</v>
      </c>
      <c r="J44" t="s">
        <v>16</v>
      </c>
      <c r="K44">
        <v>78034</v>
      </c>
    </row>
    <row r="45" spans="1:11" x14ac:dyDescent="0.35">
      <c r="A45" t="s">
        <v>88</v>
      </c>
      <c r="B45">
        <v>36</v>
      </c>
      <c r="C45" t="s">
        <v>12</v>
      </c>
      <c r="D45" t="s">
        <v>28</v>
      </c>
      <c r="E45" t="s">
        <v>56</v>
      </c>
      <c r="F45" s="1">
        <v>45327</v>
      </c>
      <c r="G45" s="1">
        <v>45340</v>
      </c>
      <c r="H45">
        <v>275</v>
      </c>
      <c r="I45" t="s">
        <v>33</v>
      </c>
      <c r="J45" t="s">
        <v>16</v>
      </c>
      <c r="K45">
        <v>35236</v>
      </c>
    </row>
    <row r="46" spans="1:11" x14ac:dyDescent="0.35">
      <c r="A46" t="s">
        <v>89</v>
      </c>
      <c r="B46">
        <v>75</v>
      </c>
      <c r="C46" t="s">
        <v>12</v>
      </c>
      <c r="D46" t="s">
        <v>24</v>
      </c>
      <c r="E46" t="s">
        <v>90</v>
      </c>
      <c r="F46" s="1">
        <v>45425</v>
      </c>
      <c r="G46" s="1">
        <v>45428</v>
      </c>
      <c r="H46">
        <v>223</v>
      </c>
      <c r="I46" t="s">
        <v>33</v>
      </c>
      <c r="J46" t="s">
        <v>16</v>
      </c>
      <c r="K46">
        <v>119398</v>
      </c>
    </row>
    <row r="47" spans="1:11" x14ac:dyDescent="0.35">
      <c r="A47" t="s">
        <v>91</v>
      </c>
      <c r="B47">
        <v>15</v>
      </c>
      <c r="C47" t="s">
        <v>12</v>
      </c>
      <c r="D47" t="s">
        <v>28</v>
      </c>
      <c r="E47" t="s">
        <v>29</v>
      </c>
      <c r="F47" s="1">
        <v>45602</v>
      </c>
      <c r="G47" s="1">
        <v>45611</v>
      </c>
      <c r="H47">
        <v>131</v>
      </c>
      <c r="I47" t="s">
        <v>15</v>
      </c>
      <c r="J47" t="s">
        <v>26</v>
      </c>
      <c r="K47">
        <v>5443</v>
      </c>
    </row>
    <row r="48" spans="1:11" x14ac:dyDescent="0.35">
      <c r="A48" t="s">
        <v>92</v>
      </c>
      <c r="B48">
        <v>69</v>
      </c>
      <c r="C48" t="s">
        <v>18</v>
      </c>
      <c r="D48" t="s">
        <v>38</v>
      </c>
      <c r="E48" t="s">
        <v>93</v>
      </c>
      <c r="F48" s="1">
        <v>45558</v>
      </c>
      <c r="G48" s="1">
        <v>45573</v>
      </c>
      <c r="H48">
        <v>36</v>
      </c>
      <c r="I48" t="s">
        <v>33</v>
      </c>
      <c r="J48" t="s">
        <v>16</v>
      </c>
      <c r="K48">
        <v>178903</v>
      </c>
    </row>
    <row r="49" spans="1:11" x14ac:dyDescent="0.35">
      <c r="A49" t="s">
        <v>94</v>
      </c>
      <c r="B49">
        <v>39</v>
      </c>
      <c r="C49" t="s">
        <v>12</v>
      </c>
      <c r="D49" t="s">
        <v>31</v>
      </c>
      <c r="E49" t="s">
        <v>95</v>
      </c>
      <c r="F49" s="1">
        <v>45355</v>
      </c>
      <c r="G49" s="1">
        <v>45367</v>
      </c>
      <c r="H49">
        <v>207</v>
      </c>
      <c r="I49" t="s">
        <v>33</v>
      </c>
      <c r="J49" t="s">
        <v>16</v>
      </c>
      <c r="K49">
        <v>55289</v>
      </c>
    </row>
    <row r="50" spans="1:11" x14ac:dyDescent="0.35">
      <c r="A50" t="s">
        <v>96</v>
      </c>
      <c r="B50">
        <v>49</v>
      </c>
      <c r="C50" t="s">
        <v>18</v>
      </c>
      <c r="D50" t="s">
        <v>28</v>
      </c>
      <c r="E50" t="s">
        <v>58</v>
      </c>
      <c r="F50" s="1">
        <v>45507</v>
      </c>
      <c r="G50" s="1">
        <v>45518</v>
      </c>
      <c r="H50">
        <v>155</v>
      </c>
      <c r="I50" t="s">
        <v>46</v>
      </c>
      <c r="J50" t="s">
        <v>16</v>
      </c>
      <c r="K50">
        <v>84658</v>
      </c>
    </row>
    <row r="51" spans="1:11" x14ac:dyDescent="0.35">
      <c r="A51" t="s">
        <v>97</v>
      </c>
      <c r="B51">
        <v>56</v>
      </c>
      <c r="C51" t="s">
        <v>12</v>
      </c>
      <c r="D51" t="s">
        <v>31</v>
      </c>
      <c r="E51" t="s">
        <v>20</v>
      </c>
      <c r="F51" s="1">
        <v>45438</v>
      </c>
      <c r="G51" s="1">
        <v>45442</v>
      </c>
      <c r="H51">
        <v>227</v>
      </c>
      <c r="I51" t="s">
        <v>36</v>
      </c>
      <c r="J51" t="s">
        <v>26</v>
      </c>
      <c r="K51">
        <v>197927</v>
      </c>
    </row>
    <row r="52" spans="1:11" x14ac:dyDescent="0.35">
      <c r="A52" t="s">
        <v>98</v>
      </c>
      <c r="B52">
        <v>11</v>
      </c>
      <c r="C52" t="s">
        <v>12</v>
      </c>
      <c r="D52" t="s">
        <v>28</v>
      </c>
      <c r="E52" t="s">
        <v>54</v>
      </c>
      <c r="F52" s="1">
        <v>45378</v>
      </c>
      <c r="G52" s="1">
        <v>45389</v>
      </c>
      <c r="H52">
        <v>172</v>
      </c>
      <c r="I52" t="s">
        <v>15</v>
      </c>
      <c r="J52" t="s">
        <v>16</v>
      </c>
      <c r="K52">
        <v>181369</v>
      </c>
    </row>
    <row r="53" spans="1:11" x14ac:dyDescent="0.35">
      <c r="A53" t="s">
        <v>99</v>
      </c>
      <c r="B53">
        <v>26</v>
      </c>
      <c r="C53" t="s">
        <v>18</v>
      </c>
      <c r="D53" t="s">
        <v>24</v>
      </c>
      <c r="E53" t="s">
        <v>52</v>
      </c>
      <c r="F53" s="1">
        <v>45450</v>
      </c>
      <c r="G53" s="1">
        <v>45454</v>
      </c>
      <c r="H53">
        <v>126</v>
      </c>
      <c r="I53" t="s">
        <v>46</v>
      </c>
      <c r="J53" t="s">
        <v>16</v>
      </c>
      <c r="K53">
        <v>124384</v>
      </c>
    </row>
    <row r="54" spans="1:11" x14ac:dyDescent="0.35">
      <c r="A54" t="s">
        <v>100</v>
      </c>
      <c r="B54">
        <v>81</v>
      </c>
      <c r="C54" t="s">
        <v>18</v>
      </c>
      <c r="D54" t="s">
        <v>31</v>
      </c>
      <c r="E54" t="s">
        <v>43</v>
      </c>
      <c r="F54" s="1">
        <v>45504</v>
      </c>
      <c r="G54" s="1">
        <v>45519</v>
      </c>
      <c r="H54">
        <v>205</v>
      </c>
      <c r="I54" t="s">
        <v>36</v>
      </c>
      <c r="J54" t="s">
        <v>16</v>
      </c>
      <c r="K54">
        <v>176981</v>
      </c>
    </row>
    <row r="55" spans="1:11" x14ac:dyDescent="0.35">
      <c r="A55" t="s">
        <v>101</v>
      </c>
      <c r="B55">
        <v>14</v>
      </c>
      <c r="C55" t="s">
        <v>12</v>
      </c>
      <c r="D55" t="s">
        <v>13</v>
      </c>
      <c r="E55" t="s">
        <v>66</v>
      </c>
      <c r="F55" s="1">
        <v>45644</v>
      </c>
      <c r="G55" s="1">
        <v>45645</v>
      </c>
      <c r="H55">
        <v>266</v>
      </c>
      <c r="I55" t="s">
        <v>46</v>
      </c>
      <c r="J55" t="s">
        <v>16</v>
      </c>
      <c r="K55">
        <v>151120</v>
      </c>
    </row>
    <row r="56" spans="1:11" x14ac:dyDescent="0.35">
      <c r="A56" t="s">
        <v>102</v>
      </c>
      <c r="B56">
        <v>16</v>
      </c>
      <c r="C56" t="s">
        <v>12</v>
      </c>
      <c r="D56" t="s">
        <v>13</v>
      </c>
      <c r="E56" t="s">
        <v>20</v>
      </c>
      <c r="F56" s="1">
        <v>45419</v>
      </c>
      <c r="G56" s="1">
        <v>45434</v>
      </c>
      <c r="H56">
        <v>272</v>
      </c>
      <c r="I56" t="s">
        <v>33</v>
      </c>
      <c r="J56" t="s">
        <v>26</v>
      </c>
      <c r="K56">
        <v>165603</v>
      </c>
    </row>
    <row r="57" spans="1:11" x14ac:dyDescent="0.35">
      <c r="A57" t="s">
        <v>103</v>
      </c>
      <c r="B57">
        <v>71</v>
      </c>
      <c r="C57" t="s">
        <v>12</v>
      </c>
      <c r="D57" t="s">
        <v>13</v>
      </c>
      <c r="E57" t="s">
        <v>25</v>
      </c>
      <c r="F57" s="1">
        <v>45550</v>
      </c>
      <c r="G57" s="1">
        <v>45557</v>
      </c>
      <c r="H57">
        <v>244</v>
      </c>
      <c r="I57" t="s">
        <v>46</v>
      </c>
      <c r="J57" t="s">
        <v>16</v>
      </c>
      <c r="K57">
        <v>69812</v>
      </c>
    </row>
    <row r="58" spans="1:11" x14ac:dyDescent="0.35">
      <c r="A58" t="s">
        <v>104</v>
      </c>
      <c r="B58">
        <v>67</v>
      </c>
      <c r="C58" t="s">
        <v>12</v>
      </c>
      <c r="D58" t="s">
        <v>13</v>
      </c>
      <c r="E58" t="s">
        <v>32</v>
      </c>
      <c r="F58" s="1">
        <v>45618</v>
      </c>
      <c r="G58" s="1">
        <v>45623</v>
      </c>
      <c r="H58">
        <v>226</v>
      </c>
      <c r="I58" t="s">
        <v>15</v>
      </c>
      <c r="J58" t="s">
        <v>16</v>
      </c>
      <c r="K58">
        <v>66471</v>
      </c>
    </row>
    <row r="59" spans="1:11" x14ac:dyDescent="0.35">
      <c r="A59" t="s">
        <v>105</v>
      </c>
      <c r="B59">
        <v>41</v>
      </c>
      <c r="C59" t="s">
        <v>18</v>
      </c>
      <c r="D59" t="s">
        <v>13</v>
      </c>
      <c r="E59" t="s">
        <v>106</v>
      </c>
      <c r="F59" s="1">
        <v>45431</v>
      </c>
      <c r="G59" s="1">
        <v>45437</v>
      </c>
      <c r="H59">
        <v>119</v>
      </c>
      <c r="I59" t="s">
        <v>46</v>
      </c>
      <c r="J59" t="s">
        <v>16</v>
      </c>
      <c r="K59">
        <v>190183</v>
      </c>
    </row>
    <row r="60" spans="1:11" x14ac:dyDescent="0.35">
      <c r="A60" t="s">
        <v>107</v>
      </c>
      <c r="B60">
        <v>54</v>
      </c>
      <c r="C60" t="s">
        <v>12</v>
      </c>
      <c r="D60" t="s">
        <v>38</v>
      </c>
      <c r="E60" t="s">
        <v>61</v>
      </c>
      <c r="F60" s="1">
        <v>45401</v>
      </c>
      <c r="G60" s="1">
        <v>45403</v>
      </c>
      <c r="H60">
        <v>239</v>
      </c>
      <c r="I60" t="s">
        <v>46</v>
      </c>
      <c r="J60" t="s">
        <v>16</v>
      </c>
      <c r="K60">
        <v>59220</v>
      </c>
    </row>
    <row r="61" spans="1:11" x14ac:dyDescent="0.35">
      <c r="A61" t="s">
        <v>108</v>
      </c>
      <c r="B61">
        <v>75</v>
      </c>
      <c r="C61" t="s">
        <v>18</v>
      </c>
      <c r="D61" t="s">
        <v>28</v>
      </c>
      <c r="E61" t="s">
        <v>56</v>
      </c>
      <c r="F61" s="1">
        <v>45507</v>
      </c>
      <c r="G61" s="1">
        <v>45514</v>
      </c>
      <c r="H61">
        <v>245</v>
      </c>
      <c r="I61" t="s">
        <v>15</v>
      </c>
      <c r="J61" t="s">
        <v>16</v>
      </c>
      <c r="K61">
        <v>83279</v>
      </c>
    </row>
    <row r="62" spans="1:11" x14ac:dyDescent="0.35">
      <c r="A62" t="s">
        <v>109</v>
      </c>
      <c r="B62">
        <v>54</v>
      </c>
      <c r="C62" t="s">
        <v>18</v>
      </c>
      <c r="D62" t="s">
        <v>31</v>
      </c>
      <c r="E62" t="s">
        <v>14</v>
      </c>
      <c r="F62" s="1">
        <v>45491</v>
      </c>
      <c r="G62" s="1">
        <v>45505</v>
      </c>
      <c r="H62">
        <v>140</v>
      </c>
      <c r="I62" t="s">
        <v>46</v>
      </c>
      <c r="J62" t="s">
        <v>26</v>
      </c>
      <c r="K62">
        <v>12608</v>
      </c>
    </row>
    <row r="63" spans="1:11" x14ac:dyDescent="0.35">
      <c r="A63" t="s">
        <v>110</v>
      </c>
      <c r="B63">
        <v>86</v>
      </c>
      <c r="C63" t="s">
        <v>12</v>
      </c>
      <c r="D63" t="s">
        <v>13</v>
      </c>
      <c r="E63" t="s">
        <v>20</v>
      </c>
      <c r="F63" s="1">
        <v>45491</v>
      </c>
      <c r="G63" s="1">
        <v>45497</v>
      </c>
      <c r="H63">
        <v>66</v>
      </c>
      <c r="I63" t="s">
        <v>15</v>
      </c>
      <c r="J63" t="s">
        <v>26</v>
      </c>
      <c r="K63">
        <v>160161</v>
      </c>
    </row>
    <row r="64" spans="1:11" x14ac:dyDescent="0.35">
      <c r="A64" t="s">
        <v>111</v>
      </c>
      <c r="B64">
        <v>4</v>
      </c>
      <c r="C64" t="s">
        <v>18</v>
      </c>
      <c r="D64" t="s">
        <v>31</v>
      </c>
      <c r="E64" t="s">
        <v>106</v>
      </c>
      <c r="F64" s="1">
        <v>45580</v>
      </c>
      <c r="G64" s="1">
        <v>45591</v>
      </c>
      <c r="H64">
        <v>237</v>
      </c>
      <c r="I64" t="s">
        <v>36</v>
      </c>
      <c r="J64" t="s">
        <v>16</v>
      </c>
      <c r="K64">
        <v>73198</v>
      </c>
    </row>
    <row r="65" spans="1:11" x14ac:dyDescent="0.35">
      <c r="A65" t="s">
        <v>112</v>
      </c>
      <c r="B65">
        <v>28</v>
      </c>
      <c r="C65" t="s">
        <v>12</v>
      </c>
      <c r="D65" t="s">
        <v>38</v>
      </c>
      <c r="E65" t="s">
        <v>95</v>
      </c>
      <c r="F65" s="1">
        <v>45486</v>
      </c>
      <c r="G65" s="1">
        <v>45492</v>
      </c>
      <c r="H65">
        <v>195</v>
      </c>
      <c r="I65" t="s">
        <v>33</v>
      </c>
      <c r="J65" t="s">
        <v>26</v>
      </c>
      <c r="K65">
        <v>71131</v>
      </c>
    </row>
    <row r="66" spans="1:11" x14ac:dyDescent="0.35">
      <c r="A66" t="s">
        <v>113</v>
      </c>
      <c r="B66">
        <v>3</v>
      </c>
      <c r="C66" t="s">
        <v>18</v>
      </c>
      <c r="D66" t="s">
        <v>38</v>
      </c>
      <c r="E66" t="s">
        <v>14</v>
      </c>
      <c r="F66" s="1">
        <v>45333</v>
      </c>
      <c r="G66" s="1">
        <v>45341</v>
      </c>
      <c r="H66">
        <v>36</v>
      </c>
      <c r="I66" t="s">
        <v>15</v>
      </c>
      <c r="J66" t="s">
        <v>16</v>
      </c>
      <c r="K66">
        <v>69823</v>
      </c>
    </row>
    <row r="67" spans="1:11" x14ac:dyDescent="0.35">
      <c r="A67" t="s">
        <v>114</v>
      </c>
      <c r="B67">
        <v>3</v>
      </c>
      <c r="C67" t="s">
        <v>18</v>
      </c>
      <c r="D67" t="s">
        <v>13</v>
      </c>
      <c r="E67" t="s">
        <v>106</v>
      </c>
      <c r="F67" s="1">
        <v>45394</v>
      </c>
      <c r="G67" s="1">
        <v>45408</v>
      </c>
      <c r="H67">
        <v>243</v>
      </c>
      <c r="I67" t="s">
        <v>15</v>
      </c>
      <c r="J67" t="s">
        <v>16</v>
      </c>
      <c r="K67">
        <v>126905</v>
      </c>
    </row>
    <row r="68" spans="1:11" x14ac:dyDescent="0.35">
      <c r="A68" t="s">
        <v>115</v>
      </c>
      <c r="B68">
        <v>48</v>
      </c>
      <c r="C68" t="s">
        <v>18</v>
      </c>
      <c r="D68" t="s">
        <v>28</v>
      </c>
      <c r="E68" t="s">
        <v>35</v>
      </c>
      <c r="F68" s="1">
        <v>45650</v>
      </c>
      <c r="G68" s="1">
        <v>45655</v>
      </c>
      <c r="H68">
        <v>59</v>
      </c>
      <c r="I68" t="s">
        <v>36</v>
      </c>
      <c r="J68" t="s">
        <v>16</v>
      </c>
      <c r="K68">
        <v>33337</v>
      </c>
    </row>
    <row r="69" spans="1:11" x14ac:dyDescent="0.35">
      <c r="A69" t="s">
        <v>116</v>
      </c>
      <c r="B69">
        <v>40</v>
      </c>
      <c r="C69" t="s">
        <v>12</v>
      </c>
      <c r="D69" t="s">
        <v>31</v>
      </c>
      <c r="E69" t="s">
        <v>40</v>
      </c>
      <c r="F69" s="1">
        <v>45588</v>
      </c>
      <c r="G69" s="1">
        <v>45589</v>
      </c>
      <c r="H69">
        <v>102</v>
      </c>
      <c r="I69" t="s">
        <v>15</v>
      </c>
      <c r="J69" t="s">
        <v>16</v>
      </c>
      <c r="K69">
        <v>31712</v>
      </c>
    </row>
    <row r="70" spans="1:11" x14ac:dyDescent="0.35">
      <c r="A70" t="s">
        <v>117</v>
      </c>
      <c r="B70">
        <v>39</v>
      </c>
      <c r="C70" t="s">
        <v>18</v>
      </c>
      <c r="D70" t="s">
        <v>28</v>
      </c>
      <c r="E70" t="s">
        <v>52</v>
      </c>
      <c r="F70" s="1">
        <v>45648</v>
      </c>
      <c r="G70" s="1">
        <v>45661</v>
      </c>
      <c r="H70">
        <v>178</v>
      </c>
      <c r="I70" t="s">
        <v>46</v>
      </c>
      <c r="J70" t="s">
        <v>16</v>
      </c>
      <c r="K70">
        <v>23076</v>
      </c>
    </row>
    <row r="71" spans="1:11" x14ac:dyDescent="0.35">
      <c r="A71" t="s">
        <v>118</v>
      </c>
      <c r="B71">
        <v>44</v>
      </c>
      <c r="C71" t="s">
        <v>18</v>
      </c>
      <c r="D71" t="s">
        <v>31</v>
      </c>
      <c r="E71" t="s">
        <v>43</v>
      </c>
      <c r="F71" s="1">
        <v>45551</v>
      </c>
      <c r="G71" s="1">
        <v>45562</v>
      </c>
      <c r="H71">
        <v>55</v>
      </c>
      <c r="I71" t="s">
        <v>46</v>
      </c>
      <c r="J71" t="s">
        <v>16</v>
      </c>
      <c r="K71">
        <v>171614</v>
      </c>
    </row>
    <row r="72" spans="1:11" x14ac:dyDescent="0.35">
      <c r="A72" t="s">
        <v>119</v>
      </c>
      <c r="B72">
        <v>20</v>
      </c>
      <c r="C72" t="s">
        <v>12</v>
      </c>
      <c r="D72" t="s">
        <v>13</v>
      </c>
      <c r="E72" t="s">
        <v>25</v>
      </c>
      <c r="F72" s="1">
        <v>45527</v>
      </c>
      <c r="G72" s="1">
        <v>45539</v>
      </c>
      <c r="H72">
        <v>268</v>
      </c>
      <c r="I72" t="s">
        <v>33</v>
      </c>
      <c r="J72" t="s">
        <v>26</v>
      </c>
      <c r="K72">
        <v>126863</v>
      </c>
    </row>
    <row r="73" spans="1:11" x14ac:dyDescent="0.35">
      <c r="A73" t="s">
        <v>120</v>
      </c>
      <c r="B73">
        <v>76</v>
      </c>
      <c r="C73" t="s">
        <v>12</v>
      </c>
      <c r="D73" t="s">
        <v>38</v>
      </c>
      <c r="E73" t="s">
        <v>14</v>
      </c>
      <c r="F73" s="1">
        <v>45515</v>
      </c>
      <c r="G73" s="1">
        <v>45529</v>
      </c>
      <c r="H73">
        <v>45</v>
      </c>
      <c r="I73" t="s">
        <v>33</v>
      </c>
      <c r="J73" t="s">
        <v>26</v>
      </c>
      <c r="K73">
        <v>68927</v>
      </c>
    </row>
    <row r="74" spans="1:11" x14ac:dyDescent="0.35">
      <c r="A74" t="s">
        <v>121</v>
      </c>
      <c r="B74">
        <v>79</v>
      </c>
      <c r="C74" t="s">
        <v>12</v>
      </c>
      <c r="D74" t="s">
        <v>38</v>
      </c>
      <c r="E74" t="s">
        <v>80</v>
      </c>
      <c r="F74" s="1">
        <v>45529</v>
      </c>
      <c r="G74" s="1">
        <v>45539</v>
      </c>
      <c r="H74">
        <v>254</v>
      </c>
      <c r="I74" t="s">
        <v>33</v>
      </c>
      <c r="J74" t="s">
        <v>16</v>
      </c>
      <c r="K74">
        <v>132808</v>
      </c>
    </row>
    <row r="75" spans="1:11" x14ac:dyDescent="0.35">
      <c r="A75" t="s">
        <v>122</v>
      </c>
      <c r="B75">
        <v>34</v>
      </c>
      <c r="C75" t="s">
        <v>12</v>
      </c>
      <c r="D75" t="s">
        <v>38</v>
      </c>
      <c r="E75" t="s">
        <v>35</v>
      </c>
      <c r="F75" s="1">
        <v>45400</v>
      </c>
      <c r="G75" s="1">
        <v>45406</v>
      </c>
      <c r="H75">
        <v>142</v>
      </c>
      <c r="I75" t="s">
        <v>15</v>
      </c>
      <c r="J75" t="s">
        <v>16</v>
      </c>
      <c r="K75">
        <v>27442</v>
      </c>
    </row>
    <row r="76" spans="1:11" x14ac:dyDescent="0.35">
      <c r="A76" t="s">
        <v>123</v>
      </c>
      <c r="B76">
        <v>53</v>
      </c>
      <c r="C76" t="s">
        <v>12</v>
      </c>
      <c r="D76" t="s">
        <v>28</v>
      </c>
      <c r="E76" t="s">
        <v>22</v>
      </c>
      <c r="F76" s="1">
        <v>45415</v>
      </c>
      <c r="G76" s="1">
        <v>45427</v>
      </c>
      <c r="H76">
        <v>124</v>
      </c>
      <c r="I76" t="s">
        <v>46</v>
      </c>
      <c r="J76" t="s">
        <v>26</v>
      </c>
      <c r="K76">
        <v>122486</v>
      </c>
    </row>
    <row r="77" spans="1:11" x14ac:dyDescent="0.35">
      <c r="A77" t="s">
        <v>124</v>
      </c>
      <c r="B77">
        <v>38</v>
      </c>
      <c r="C77" t="s">
        <v>18</v>
      </c>
      <c r="D77" t="s">
        <v>31</v>
      </c>
      <c r="E77" t="s">
        <v>40</v>
      </c>
      <c r="F77" s="1">
        <v>45300</v>
      </c>
      <c r="G77" s="1">
        <v>45302</v>
      </c>
      <c r="H77">
        <v>125</v>
      </c>
      <c r="I77" t="s">
        <v>33</v>
      </c>
      <c r="J77" t="s">
        <v>16</v>
      </c>
      <c r="K77">
        <v>129062</v>
      </c>
    </row>
    <row r="78" spans="1:11" x14ac:dyDescent="0.35">
      <c r="A78" t="s">
        <v>125</v>
      </c>
      <c r="B78">
        <v>45</v>
      </c>
      <c r="C78" t="s">
        <v>12</v>
      </c>
      <c r="D78" t="s">
        <v>28</v>
      </c>
      <c r="E78" t="s">
        <v>95</v>
      </c>
      <c r="F78" s="1">
        <v>45575</v>
      </c>
      <c r="G78" s="1">
        <v>45584</v>
      </c>
      <c r="H78">
        <v>181</v>
      </c>
      <c r="I78" t="s">
        <v>46</v>
      </c>
      <c r="J78" t="s">
        <v>16</v>
      </c>
      <c r="K78">
        <v>85379</v>
      </c>
    </row>
    <row r="79" spans="1:11" x14ac:dyDescent="0.35">
      <c r="A79" t="s">
        <v>126</v>
      </c>
      <c r="B79">
        <v>16</v>
      </c>
      <c r="C79" t="s">
        <v>18</v>
      </c>
      <c r="D79" t="s">
        <v>38</v>
      </c>
      <c r="E79" t="s">
        <v>90</v>
      </c>
      <c r="F79" s="1">
        <v>45420</v>
      </c>
      <c r="G79" s="1">
        <v>45424</v>
      </c>
      <c r="H79">
        <v>275</v>
      </c>
      <c r="I79" t="s">
        <v>36</v>
      </c>
      <c r="J79" t="s">
        <v>16</v>
      </c>
      <c r="K79">
        <v>61723</v>
      </c>
    </row>
    <row r="80" spans="1:11" x14ac:dyDescent="0.35">
      <c r="A80" t="s">
        <v>127</v>
      </c>
      <c r="B80">
        <v>76</v>
      </c>
      <c r="C80" t="s">
        <v>12</v>
      </c>
      <c r="D80" t="s">
        <v>24</v>
      </c>
      <c r="E80" t="s">
        <v>29</v>
      </c>
      <c r="F80" s="1">
        <v>45539</v>
      </c>
      <c r="G80" s="1">
        <v>45544</v>
      </c>
      <c r="H80">
        <v>152</v>
      </c>
      <c r="I80" t="s">
        <v>36</v>
      </c>
      <c r="J80" t="s">
        <v>16</v>
      </c>
      <c r="K80">
        <v>52039</v>
      </c>
    </row>
    <row r="81" spans="1:11" x14ac:dyDescent="0.35">
      <c r="A81" t="s">
        <v>128</v>
      </c>
      <c r="B81">
        <v>69</v>
      </c>
      <c r="C81" t="s">
        <v>18</v>
      </c>
      <c r="D81" t="s">
        <v>38</v>
      </c>
      <c r="E81" t="s">
        <v>52</v>
      </c>
      <c r="F81" s="1">
        <v>45446</v>
      </c>
      <c r="G81" s="1">
        <v>45447</v>
      </c>
      <c r="H81">
        <v>28</v>
      </c>
      <c r="I81" t="s">
        <v>33</v>
      </c>
      <c r="J81" t="s">
        <v>16</v>
      </c>
      <c r="K81">
        <v>172213</v>
      </c>
    </row>
    <row r="82" spans="1:11" x14ac:dyDescent="0.35">
      <c r="A82" t="s">
        <v>129</v>
      </c>
      <c r="B82">
        <v>2</v>
      </c>
      <c r="C82" t="s">
        <v>12</v>
      </c>
      <c r="D82" t="s">
        <v>31</v>
      </c>
      <c r="E82" t="s">
        <v>43</v>
      </c>
      <c r="F82" s="1">
        <v>45543</v>
      </c>
      <c r="G82" s="1">
        <v>45545</v>
      </c>
      <c r="H82">
        <v>226</v>
      </c>
      <c r="I82" t="s">
        <v>33</v>
      </c>
      <c r="J82" t="s">
        <v>16</v>
      </c>
      <c r="K82">
        <v>18468</v>
      </c>
    </row>
    <row r="83" spans="1:11" x14ac:dyDescent="0.35">
      <c r="A83" t="s">
        <v>130</v>
      </c>
      <c r="B83">
        <v>62</v>
      </c>
      <c r="C83" t="s">
        <v>18</v>
      </c>
      <c r="D83" t="s">
        <v>24</v>
      </c>
      <c r="E83" t="s">
        <v>56</v>
      </c>
      <c r="F83" s="1">
        <v>45421</v>
      </c>
      <c r="G83" s="1">
        <v>45435</v>
      </c>
      <c r="H83">
        <v>252</v>
      </c>
      <c r="I83" t="s">
        <v>15</v>
      </c>
      <c r="J83" t="s">
        <v>16</v>
      </c>
      <c r="K83">
        <v>44774</v>
      </c>
    </row>
    <row r="84" spans="1:11" x14ac:dyDescent="0.35">
      <c r="A84" t="s">
        <v>131</v>
      </c>
      <c r="B84">
        <v>73</v>
      </c>
      <c r="C84" t="s">
        <v>12</v>
      </c>
      <c r="D84" t="s">
        <v>24</v>
      </c>
      <c r="E84" t="s">
        <v>14</v>
      </c>
      <c r="F84" s="1">
        <v>45368</v>
      </c>
      <c r="G84" s="1">
        <v>45381</v>
      </c>
      <c r="H84">
        <v>61</v>
      </c>
      <c r="I84" t="s">
        <v>46</v>
      </c>
      <c r="J84" t="s">
        <v>16</v>
      </c>
      <c r="K84">
        <v>141989</v>
      </c>
    </row>
    <row r="85" spans="1:11" x14ac:dyDescent="0.35">
      <c r="A85" t="s">
        <v>132</v>
      </c>
      <c r="B85">
        <v>57</v>
      </c>
      <c r="C85" t="s">
        <v>12</v>
      </c>
      <c r="D85" t="s">
        <v>28</v>
      </c>
      <c r="E85" t="s">
        <v>93</v>
      </c>
      <c r="F85" s="1">
        <v>45486</v>
      </c>
      <c r="G85" s="1">
        <v>45494</v>
      </c>
      <c r="H85">
        <v>157</v>
      </c>
      <c r="I85" t="s">
        <v>15</v>
      </c>
      <c r="J85" t="s">
        <v>16</v>
      </c>
      <c r="K85">
        <v>59470</v>
      </c>
    </row>
    <row r="86" spans="1:11" x14ac:dyDescent="0.35">
      <c r="A86" t="s">
        <v>133</v>
      </c>
      <c r="B86">
        <v>34</v>
      </c>
      <c r="C86" t="s">
        <v>18</v>
      </c>
      <c r="D86" t="s">
        <v>13</v>
      </c>
      <c r="E86" t="s">
        <v>14</v>
      </c>
      <c r="F86" s="1">
        <v>45612</v>
      </c>
      <c r="G86" s="1">
        <v>45616</v>
      </c>
      <c r="H86">
        <v>89</v>
      </c>
      <c r="I86" t="s">
        <v>15</v>
      </c>
      <c r="J86" t="s">
        <v>16</v>
      </c>
      <c r="K86">
        <v>5701</v>
      </c>
    </row>
    <row r="87" spans="1:11" x14ac:dyDescent="0.35">
      <c r="A87" t="s">
        <v>134</v>
      </c>
      <c r="B87">
        <v>89</v>
      </c>
      <c r="C87" t="s">
        <v>12</v>
      </c>
      <c r="D87" t="s">
        <v>38</v>
      </c>
      <c r="E87" t="s">
        <v>52</v>
      </c>
      <c r="F87" s="1">
        <v>45501</v>
      </c>
      <c r="G87" s="1">
        <v>45509</v>
      </c>
      <c r="H87">
        <v>119</v>
      </c>
      <c r="I87" t="s">
        <v>33</v>
      </c>
      <c r="J87" t="s">
        <v>16</v>
      </c>
      <c r="K87">
        <v>189283</v>
      </c>
    </row>
    <row r="88" spans="1:11" x14ac:dyDescent="0.35">
      <c r="A88" t="s">
        <v>135</v>
      </c>
      <c r="B88">
        <v>88</v>
      </c>
      <c r="C88" t="s">
        <v>18</v>
      </c>
      <c r="D88" t="s">
        <v>38</v>
      </c>
      <c r="E88" t="s">
        <v>68</v>
      </c>
      <c r="F88" s="1">
        <v>45524</v>
      </c>
      <c r="G88" s="1">
        <v>45526</v>
      </c>
      <c r="H88">
        <v>102</v>
      </c>
      <c r="I88" t="s">
        <v>46</v>
      </c>
      <c r="J88" t="s">
        <v>16</v>
      </c>
      <c r="K88">
        <v>147753</v>
      </c>
    </row>
    <row r="89" spans="1:11" x14ac:dyDescent="0.35">
      <c r="A89" t="s">
        <v>136</v>
      </c>
      <c r="B89">
        <v>20</v>
      </c>
      <c r="C89" t="s">
        <v>12</v>
      </c>
      <c r="D89" t="s">
        <v>13</v>
      </c>
      <c r="E89" t="s">
        <v>45</v>
      </c>
      <c r="F89" s="1">
        <v>45407</v>
      </c>
      <c r="G89" s="1">
        <v>45418</v>
      </c>
      <c r="H89">
        <v>31</v>
      </c>
      <c r="I89" t="s">
        <v>36</v>
      </c>
      <c r="J89" t="s">
        <v>16</v>
      </c>
      <c r="K89">
        <v>160987</v>
      </c>
    </row>
    <row r="90" spans="1:11" x14ac:dyDescent="0.35">
      <c r="A90" t="s">
        <v>137</v>
      </c>
      <c r="B90">
        <v>37</v>
      </c>
      <c r="C90" t="s">
        <v>12</v>
      </c>
      <c r="D90" t="s">
        <v>24</v>
      </c>
      <c r="E90" t="s">
        <v>20</v>
      </c>
      <c r="F90" s="1">
        <v>45583</v>
      </c>
      <c r="G90" s="1">
        <v>45598</v>
      </c>
      <c r="H90">
        <v>156</v>
      </c>
      <c r="I90" t="s">
        <v>46</v>
      </c>
      <c r="J90" t="s">
        <v>16</v>
      </c>
      <c r="K90">
        <v>136195</v>
      </c>
    </row>
    <row r="91" spans="1:11" x14ac:dyDescent="0.35">
      <c r="A91" t="s">
        <v>138</v>
      </c>
      <c r="B91">
        <v>57</v>
      </c>
      <c r="C91" t="s">
        <v>18</v>
      </c>
      <c r="D91" t="s">
        <v>28</v>
      </c>
      <c r="E91" t="s">
        <v>52</v>
      </c>
      <c r="F91" s="1">
        <v>45568</v>
      </c>
      <c r="G91" s="1">
        <v>45576</v>
      </c>
      <c r="H91">
        <v>222</v>
      </c>
      <c r="I91" t="s">
        <v>33</v>
      </c>
      <c r="J91" t="s">
        <v>16</v>
      </c>
      <c r="K91">
        <v>11780</v>
      </c>
    </row>
    <row r="92" spans="1:11" x14ac:dyDescent="0.35">
      <c r="A92" t="s">
        <v>139</v>
      </c>
      <c r="B92">
        <v>87</v>
      </c>
      <c r="C92" t="s">
        <v>18</v>
      </c>
      <c r="D92" t="s">
        <v>38</v>
      </c>
      <c r="E92" t="s">
        <v>58</v>
      </c>
      <c r="F92" s="1">
        <v>45338</v>
      </c>
      <c r="G92" s="1">
        <v>45342</v>
      </c>
      <c r="H92">
        <v>21</v>
      </c>
      <c r="I92" t="s">
        <v>36</v>
      </c>
      <c r="J92" t="s">
        <v>26</v>
      </c>
      <c r="K92">
        <v>141043</v>
      </c>
    </row>
    <row r="93" spans="1:11" x14ac:dyDescent="0.35">
      <c r="A93" t="s">
        <v>140</v>
      </c>
      <c r="B93">
        <v>36</v>
      </c>
      <c r="C93" t="s">
        <v>18</v>
      </c>
      <c r="D93" t="s">
        <v>28</v>
      </c>
      <c r="E93" t="s">
        <v>93</v>
      </c>
      <c r="F93" s="1">
        <v>45625</v>
      </c>
      <c r="G93" s="1">
        <v>45633</v>
      </c>
      <c r="H93">
        <v>252</v>
      </c>
      <c r="I93" t="s">
        <v>15</v>
      </c>
      <c r="J93" t="s">
        <v>26</v>
      </c>
      <c r="K93">
        <v>96215</v>
      </c>
    </row>
    <row r="94" spans="1:11" x14ac:dyDescent="0.35">
      <c r="A94" t="s">
        <v>141</v>
      </c>
      <c r="B94">
        <v>42</v>
      </c>
      <c r="C94" t="s">
        <v>18</v>
      </c>
      <c r="D94" t="s">
        <v>13</v>
      </c>
      <c r="E94" t="s">
        <v>95</v>
      </c>
      <c r="F94" s="1">
        <v>45501</v>
      </c>
      <c r="G94" s="1">
        <v>45507</v>
      </c>
      <c r="H94">
        <v>211</v>
      </c>
      <c r="I94" t="s">
        <v>46</v>
      </c>
      <c r="J94" t="s">
        <v>16</v>
      </c>
      <c r="K94">
        <v>178692</v>
      </c>
    </row>
    <row r="95" spans="1:11" x14ac:dyDescent="0.35">
      <c r="A95" t="s">
        <v>142</v>
      </c>
      <c r="B95">
        <v>71</v>
      </c>
      <c r="C95" t="s">
        <v>18</v>
      </c>
      <c r="D95" t="s">
        <v>31</v>
      </c>
      <c r="E95" t="s">
        <v>45</v>
      </c>
      <c r="F95" s="1">
        <v>45497</v>
      </c>
      <c r="G95" s="1">
        <v>45511</v>
      </c>
      <c r="H95">
        <v>162</v>
      </c>
      <c r="I95" t="s">
        <v>33</v>
      </c>
      <c r="J95" t="s">
        <v>16</v>
      </c>
      <c r="K95">
        <v>35388</v>
      </c>
    </row>
    <row r="96" spans="1:11" x14ac:dyDescent="0.35">
      <c r="A96" t="s">
        <v>143</v>
      </c>
      <c r="B96">
        <v>66</v>
      </c>
      <c r="C96" t="s">
        <v>18</v>
      </c>
      <c r="D96" t="s">
        <v>28</v>
      </c>
      <c r="E96" t="s">
        <v>20</v>
      </c>
      <c r="F96" s="1">
        <v>45498</v>
      </c>
      <c r="G96" s="1">
        <v>45512</v>
      </c>
      <c r="H96">
        <v>212</v>
      </c>
      <c r="I96" t="s">
        <v>15</v>
      </c>
      <c r="J96" t="s">
        <v>16</v>
      </c>
      <c r="K96">
        <v>140905</v>
      </c>
    </row>
    <row r="97" spans="1:11" x14ac:dyDescent="0.35">
      <c r="A97" t="s">
        <v>144</v>
      </c>
      <c r="B97">
        <v>64</v>
      </c>
      <c r="C97" t="s">
        <v>12</v>
      </c>
      <c r="D97" t="s">
        <v>24</v>
      </c>
      <c r="E97" t="s">
        <v>29</v>
      </c>
      <c r="F97" s="1">
        <v>45477</v>
      </c>
      <c r="G97" s="1">
        <v>45487</v>
      </c>
      <c r="H97">
        <v>137</v>
      </c>
      <c r="I97" t="s">
        <v>36</v>
      </c>
      <c r="J97" t="s">
        <v>16</v>
      </c>
      <c r="K97">
        <v>119849</v>
      </c>
    </row>
    <row r="98" spans="1:11" x14ac:dyDescent="0.35">
      <c r="A98" t="s">
        <v>145</v>
      </c>
      <c r="B98">
        <v>16</v>
      </c>
      <c r="C98" t="s">
        <v>18</v>
      </c>
      <c r="D98" t="s">
        <v>28</v>
      </c>
      <c r="E98" t="s">
        <v>14</v>
      </c>
      <c r="F98" s="1">
        <v>45649</v>
      </c>
      <c r="G98" s="1">
        <v>45657</v>
      </c>
      <c r="H98">
        <v>82</v>
      </c>
      <c r="I98" t="s">
        <v>33</v>
      </c>
      <c r="J98" t="s">
        <v>16</v>
      </c>
      <c r="K98">
        <v>149769</v>
      </c>
    </row>
    <row r="99" spans="1:11" x14ac:dyDescent="0.35">
      <c r="A99" t="s">
        <v>146</v>
      </c>
      <c r="B99">
        <v>29</v>
      </c>
      <c r="C99" t="s">
        <v>18</v>
      </c>
      <c r="D99" t="s">
        <v>31</v>
      </c>
      <c r="E99" t="s">
        <v>90</v>
      </c>
      <c r="F99" s="1">
        <v>45500</v>
      </c>
      <c r="G99" s="1">
        <v>45502</v>
      </c>
      <c r="H99">
        <v>79</v>
      </c>
      <c r="I99" t="s">
        <v>46</v>
      </c>
      <c r="J99" t="s">
        <v>16</v>
      </c>
      <c r="K99">
        <v>138397</v>
      </c>
    </row>
    <row r="100" spans="1:11" x14ac:dyDescent="0.35">
      <c r="A100" t="s">
        <v>147</v>
      </c>
      <c r="B100">
        <v>54</v>
      </c>
      <c r="C100" t="s">
        <v>12</v>
      </c>
      <c r="D100" t="s">
        <v>31</v>
      </c>
      <c r="E100" t="s">
        <v>14</v>
      </c>
      <c r="F100" s="1">
        <v>45653</v>
      </c>
      <c r="G100" s="1">
        <v>45658</v>
      </c>
      <c r="H100">
        <v>234</v>
      </c>
      <c r="I100" t="s">
        <v>36</v>
      </c>
      <c r="J100" t="s">
        <v>26</v>
      </c>
      <c r="K100">
        <v>54967</v>
      </c>
    </row>
    <row r="101" spans="1:11" x14ac:dyDescent="0.35">
      <c r="A101" t="s">
        <v>148</v>
      </c>
      <c r="B101">
        <v>18</v>
      </c>
      <c r="C101" t="s">
        <v>18</v>
      </c>
      <c r="D101" t="s">
        <v>38</v>
      </c>
      <c r="E101" t="s">
        <v>22</v>
      </c>
      <c r="F101" s="1">
        <v>45598</v>
      </c>
      <c r="G101" s="1">
        <v>45607</v>
      </c>
      <c r="H101">
        <v>213</v>
      </c>
      <c r="I101" t="s">
        <v>33</v>
      </c>
      <c r="J101" t="s">
        <v>16</v>
      </c>
      <c r="K101">
        <v>5672</v>
      </c>
    </row>
    <row r="102" spans="1:11" x14ac:dyDescent="0.35">
      <c r="A102" t="s">
        <v>149</v>
      </c>
      <c r="B102">
        <v>39</v>
      </c>
      <c r="C102" t="s">
        <v>12</v>
      </c>
      <c r="D102" t="s">
        <v>13</v>
      </c>
      <c r="E102" t="s">
        <v>20</v>
      </c>
      <c r="F102" s="1">
        <v>45436</v>
      </c>
      <c r="G102" s="1">
        <v>45448</v>
      </c>
      <c r="H102">
        <v>276</v>
      </c>
      <c r="I102" t="s">
        <v>46</v>
      </c>
      <c r="J102" t="s">
        <v>16</v>
      </c>
      <c r="K102">
        <v>92147</v>
      </c>
    </row>
    <row r="103" spans="1:11" x14ac:dyDescent="0.35">
      <c r="A103" t="s">
        <v>150</v>
      </c>
      <c r="B103">
        <v>70</v>
      </c>
      <c r="C103" t="s">
        <v>12</v>
      </c>
      <c r="D103" t="s">
        <v>31</v>
      </c>
      <c r="E103" t="s">
        <v>95</v>
      </c>
      <c r="F103" s="1">
        <v>45574</v>
      </c>
      <c r="G103" s="1">
        <v>45587</v>
      </c>
      <c r="H103">
        <v>97</v>
      </c>
      <c r="I103" t="s">
        <v>36</v>
      </c>
      <c r="J103" t="s">
        <v>26</v>
      </c>
      <c r="K103">
        <v>66226</v>
      </c>
    </row>
    <row r="104" spans="1:11" x14ac:dyDescent="0.35">
      <c r="A104" t="s">
        <v>151</v>
      </c>
      <c r="B104">
        <v>41</v>
      </c>
      <c r="C104" t="s">
        <v>12</v>
      </c>
      <c r="D104" t="s">
        <v>31</v>
      </c>
      <c r="E104" t="s">
        <v>56</v>
      </c>
      <c r="F104" s="1">
        <v>45502</v>
      </c>
      <c r="G104" s="1">
        <v>45503</v>
      </c>
      <c r="H104">
        <v>78</v>
      </c>
      <c r="I104" t="s">
        <v>46</v>
      </c>
      <c r="J104" t="s">
        <v>16</v>
      </c>
      <c r="K104">
        <v>38094</v>
      </c>
    </row>
    <row r="105" spans="1:11" x14ac:dyDescent="0.35">
      <c r="A105" t="s">
        <v>152</v>
      </c>
      <c r="B105">
        <v>43</v>
      </c>
      <c r="C105" t="s">
        <v>18</v>
      </c>
      <c r="D105" t="s">
        <v>31</v>
      </c>
      <c r="E105" t="s">
        <v>90</v>
      </c>
      <c r="F105" s="1">
        <v>45549</v>
      </c>
      <c r="G105" s="1">
        <v>45559</v>
      </c>
      <c r="H105">
        <v>270</v>
      </c>
      <c r="I105" t="s">
        <v>46</v>
      </c>
      <c r="J105" t="s">
        <v>16</v>
      </c>
      <c r="K105">
        <v>194384</v>
      </c>
    </row>
    <row r="106" spans="1:11" x14ac:dyDescent="0.35">
      <c r="A106" t="s">
        <v>153</v>
      </c>
      <c r="B106">
        <v>84</v>
      </c>
      <c r="C106" t="s">
        <v>18</v>
      </c>
      <c r="D106" t="s">
        <v>24</v>
      </c>
      <c r="E106" t="s">
        <v>43</v>
      </c>
      <c r="F106" s="1">
        <v>45365</v>
      </c>
      <c r="G106" s="1">
        <v>45372</v>
      </c>
      <c r="H106">
        <v>136</v>
      </c>
      <c r="I106" t="s">
        <v>33</v>
      </c>
      <c r="J106" t="s">
        <v>26</v>
      </c>
      <c r="K106">
        <v>175350</v>
      </c>
    </row>
    <row r="107" spans="1:11" x14ac:dyDescent="0.35">
      <c r="A107" t="s">
        <v>154</v>
      </c>
      <c r="B107">
        <v>43</v>
      </c>
      <c r="C107" t="s">
        <v>12</v>
      </c>
      <c r="D107" t="s">
        <v>38</v>
      </c>
      <c r="E107" t="s">
        <v>68</v>
      </c>
      <c r="F107" s="1">
        <v>45333</v>
      </c>
      <c r="G107" s="1">
        <v>45347</v>
      </c>
      <c r="H107">
        <v>250</v>
      </c>
      <c r="I107" t="s">
        <v>15</v>
      </c>
      <c r="J107" t="s">
        <v>16</v>
      </c>
      <c r="K107">
        <v>66543</v>
      </c>
    </row>
    <row r="108" spans="1:11" x14ac:dyDescent="0.35">
      <c r="A108" t="s">
        <v>155</v>
      </c>
      <c r="B108">
        <v>37</v>
      </c>
      <c r="C108" t="s">
        <v>18</v>
      </c>
      <c r="D108" t="s">
        <v>24</v>
      </c>
      <c r="E108" t="s">
        <v>93</v>
      </c>
      <c r="F108" s="1">
        <v>45615</v>
      </c>
      <c r="G108" s="1">
        <v>45626</v>
      </c>
      <c r="H108">
        <v>51</v>
      </c>
      <c r="I108" t="s">
        <v>15</v>
      </c>
      <c r="J108" t="s">
        <v>26</v>
      </c>
      <c r="K108">
        <v>48611</v>
      </c>
    </row>
    <row r="109" spans="1:11" x14ac:dyDescent="0.35">
      <c r="A109" t="s">
        <v>156</v>
      </c>
      <c r="B109">
        <v>4</v>
      </c>
      <c r="C109" t="s">
        <v>18</v>
      </c>
      <c r="D109" t="s">
        <v>38</v>
      </c>
      <c r="E109" t="s">
        <v>52</v>
      </c>
      <c r="F109" s="1">
        <v>45647</v>
      </c>
      <c r="G109" s="1">
        <v>45652</v>
      </c>
      <c r="H109">
        <v>151</v>
      </c>
      <c r="I109" t="s">
        <v>33</v>
      </c>
      <c r="J109" t="s">
        <v>16</v>
      </c>
      <c r="K109">
        <v>117901</v>
      </c>
    </row>
    <row r="110" spans="1:11" x14ac:dyDescent="0.35">
      <c r="A110" t="s">
        <v>157</v>
      </c>
      <c r="B110">
        <v>68</v>
      </c>
      <c r="C110" t="s">
        <v>12</v>
      </c>
      <c r="D110" t="s">
        <v>28</v>
      </c>
      <c r="E110" t="s">
        <v>54</v>
      </c>
      <c r="F110" s="1">
        <v>45366</v>
      </c>
      <c r="G110" s="1">
        <v>45370</v>
      </c>
      <c r="H110">
        <v>93</v>
      </c>
      <c r="I110" t="s">
        <v>36</v>
      </c>
      <c r="J110" t="s">
        <v>16</v>
      </c>
      <c r="K110">
        <v>25701</v>
      </c>
    </row>
    <row r="111" spans="1:11" x14ac:dyDescent="0.35">
      <c r="A111" t="s">
        <v>158</v>
      </c>
      <c r="B111">
        <v>49</v>
      </c>
      <c r="C111" t="s">
        <v>18</v>
      </c>
      <c r="D111" t="s">
        <v>31</v>
      </c>
      <c r="E111" t="s">
        <v>58</v>
      </c>
      <c r="F111" s="1">
        <v>45604</v>
      </c>
      <c r="G111" s="1">
        <v>45618</v>
      </c>
      <c r="H111">
        <v>74</v>
      </c>
      <c r="I111" t="s">
        <v>36</v>
      </c>
      <c r="J111" t="s">
        <v>26</v>
      </c>
      <c r="K111">
        <v>172222</v>
      </c>
    </row>
    <row r="112" spans="1:11" x14ac:dyDescent="0.35">
      <c r="A112" t="s">
        <v>159</v>
      </c>
      <c r="B112">
        <v>33</v>
      </c>
      <c r="C112" t="s">
        <v>18</v>
      </c>
      <c r="D112" t="s">
        <v>31</v>
      </c>
      <c r="E112" t="s">
        <v>83</v>
      </c>
      <c r="F112" s="1">
        <v>45422</v>
      </c>
      <c r="G112" s="1">
        <v>45430</v>
      </c>
      <c r="H112">
        <v>280</v>
      </c>
      <c r="I112" t="s">
        <v>36</v>
      </c>
      <c r="J112" t="s">
        <v>16</v>
      </c>
      <c r="K112">
        <v>120796</v>
      </c>
    </row>
    <row r="113" spans="1:11" x14ac:dyDescent="0.35">
      <c r="A113" t="s">
        <v>160</v>
      </c>
      <c r="B113">
        <v>39</v>
      </c>
      <c r="C113" t="s">
        <v>12</v>
      </c>
      <c r="D113" t="s">
        <v>38</v>
      </c>
      <c r="E113" t="s">
        <v>20</v>
      </c>
      <c r="F113" s="1">
        <v>45468</v>
      </c>
      <c r="G113" s="1">
        <v>45478</v>
      </c>
      <c r="H113">
        <v>155</v>
      </c>
      <c r="I113" t="s">
        <v>36</v>
      </c>
      <c r="J113" t="s">
        <v>26</v>
      </c>
      <c r="K113">
        <v>131670</v>
      </c>
    </row>
    <row r="114" spans="1:11" x14ac:dyDescent="0.35">
      <c r="A114" t="s">
        <v>161</v>
      </c>
      <c r="B114">
        <v>49</v>
      </c>
      <c r="C114" t="s">
        <v>12</v>
      </c>
      <c r="D114" t="s">
        <v>28</v>
      </c>
      <c r="E114" t="s">
        <v>83</v>
      </c>
      <c r="F114" s="1">
        <v>45346</v>
      </c>
      <c r="G114" s="1">
        <v>45350</v>
      </c>
      <c r="H114">
        <v>152</v>
      </c>
      <c r="I114" t="s">
        <v>15</v>
      </c>
      <c r="J114" t="s">
        <v>26</v>
      </c>
      <c r="K114">
        <v>76953</v>
      </c>
    </row>
    <row r="115" spans="1:11" x14ac:dyDescent="0.35">
      <c r="A115" t="s">
        <v>162</v>
      </c>
      <c r="B115">
        <v>88</v>
      </c>
      <c r="C115" t="s">
        <v>18</v>
      </c>
      <c r="D115" t="s">
        <v>28</v>
      </c>
      <c r="E115" t="s">
        <v>25</v>
      </c>
      <c r="F115" s="1">
        <v>45296</v>
      </c>
      <c r="G115" s="1">
        <v>45306</v>
      </c>
      <c r="H115">
        <v>255</v>
      </c>
      <c r="I115" t="s">
        <v>33</v>
      </c>
      <c r="J115" t="s">
        <v>16</v>
      </c>
      <c r="K115">
        <v>164138</v>
      </c>
    </row>
    <row r="116" spans="1:11" x14ac:dyDescent="0.35">
      <c r="A116" t="s">
        <v>163</v>
      </c>
      <c r="B116">
        <v>82</v>
      </c>
      <c r="C116" t="s">
        <v>18</v>
      </c>
      <c r="D116" t="s">
        <v>28</v>
      </c>
      <c r="E116" t="s">
        <v>32</v>
      </c>
      <c r="F116" s="1">
        <v>45472</v>
      </c>
      <c r="G116" s="1">
        <v>45476</v>
      </c>
      <c r="H116">
        <v>71</v>
      </c>
      <c r="I116" t="s">
        <v>15</v>
      </c>
      <c r="J116" t="s">
        <v>16</v>
      </c>
      <c r="K116">
        <v>85984</v>
      </c>
    </row>
    <row r="117" spans="1:11" x14ac:dyDescent="0.35">
      <c r="A117" t="s">
        <v>164</v>
      </c>
      <c r="B117">
        <v>75</v>
      </c>
      <c r="C117" t="s">
        <v>12</v>
      </c>
      <c r="D117" t="s">
        <v>13</v>
      </c>
      <c r="E117" t="s">
        <v>45</v>
      </c>
      <c r="F117" s="1">
        <v>45517</v>
      </c>
      <c r="G117" s="1">
        <v>45518</v>
      </c>
      <c r="H117">
        <v>152</v>
      </c>
      <c r="I117" t="s">
        <v>33</v>
      </c>
      <c r="J117" t="s">
        <v>26</v>
      </c>
      <c r="K117">
        <v>51042</v>
      </c>
    </row>
    <row r="118" spans="1:11" x14ac:dyDescent="0.35">
      <c r="A118" t="s">
        <v>165</v>
      </c>
      <c r="B118">
        <v>70</v>
      </c>
      <c r="C118" t="s">
        <v>12</v>
      </c>
      <c r="D118" t="s">
        <v>28</v>
      </c>
      <c r="E118" t="s">
        <v>49</v>
      </c>
      <c r="F118" s="1">
        <v>45394</v>
      </c>
      <c r="G118" s="1">
        <v>45397</v>
      </c>
      <c r="H118">
        <v>140</v>
      </c>
      <c r="I118" t="s">
        <v>36</v>
      </c>
      <c r="J118" t="s">
        <v>16</v>
      </c>
      <c r="K118">
        <v>131313</v>
      </c>
    </row>
    <row r="119" spans="1:11" x14ac:dyDescent="0.35">
      <c r="A119" t="s">
        <v>166</v>
      </c>
      <c r="B119">
        <v>44</v>
      </c>
      <c r="C119" t="s">
        <v>18</v>
      </c>
      <c r="D119" t="s">
        <v>31</v>
      </c>
      <c r="E119" t="s">
        <v>45</v>
      </c>
      <c r="F119" s="1">
        <v>45443</v>
      </c>
      <c r="G119" s="1">
        <v>45455</v>
      </c>
      <c r="H119">
        <v>73</v>
      </c>
      <c r="I119" t="s">
        <v>36</v>
      </c>
      <c r="J119" t="s">
        <v>26</v>
      </c>
      <c r="K119">
        <v>151096</v>
      </c>
    </row>
    <row r="120" spans="1:11" x14ac:dyDescent="0.35">
      <c r="A120" t="s">
        <v>167</v>
      </c>
      <c r="B120">
        <v>51</v>
      </c>
      <c r="C120" t="s">
        <v>18</v>
      </c>
      <c r="D120" t="s">
        <v>38</v>
      </c>
      <c r="E120" t="s">
        <v>61</v>
      </c>
      <c r="F120" s="1">
        <v>45479</v>
      </c>
      <c r="G120" s="1">
        <v>45481</v>
      </c>
      <c r="H120">
        <v>64</v>
      </c>
      <c r="I120" t="s">
        <v>46</v>
      </c>
      <c r="J120" t="s">
        <v>16</v>
      </c>
      <c r="K120">
        <v>181377</v>
      </c>
    </row>
    <row r="121" spans="1:11" x14ac:dyDescent="0.35">
      <c r="A121" t="s">
        <v>168</v>
      </c>
      <c r="B121">
        <v>75</v>
      </c>
      <c r="C121" t="s">
        <v>12</v>
      </c>
      <c r="D121" t="s">
        <v>38</v>
      </c>
      <c r="E121" t="s">
        <v>90</v>
      </c>
      <c r="F121" s="1">
        <v>45636</v>
      </c>
      <c r="G121" s="1">
        <v>45641</v>
      </c>
      <c r="H121">
        <v>120</v>
      </c>
      <c r="I121" t="s">
        <v>46</v>
      </c>
      <c r="J121" t="s">
        <v>16</v>
      </c>
      <c r="K121">
        <v>167410</v>
      </c>
    </row>
    <row r="122" spans="1:11" x14ac:dyDescent="0.35">
      <c r="A122" t="s">
        <v>169</v>
      </c>
      <c r="B122">
        <v>79</v>
      </c>
      <c r="C122" t="s">
        <v>18</v>
      </c>
      <c r="D122" t="s">
        <v>24</v>
      </c>
      <c r="E122" t="s">
        <v>68</v>
      </c>
      <c r="F122" s="1">
        <v>45579</v>
      </c>
      <c r="G122" s="1">
        <v>45585</v>
      </c>
      <c r="H122">
        <v>238</v>
      </c>
      <c r="I122" t="s">
        <v>33</v>
      </c>
      <c r="J122" t="s">
        <v>26</v>
      </c>
      <c r="K122">
        <v>35585</v>
      </c>
    </row>
    <row r="123" spans="1:11" x14ac:dyDescent="0.35">
      <c r="A123" t="s">
        <v>170</v>
      </c>
      <c r="B123">
        <v>5</v>
      </c>
      <c r="C123" t="s">
        <v>12</v>
      </c>
      <c r="D123" t="s">
        <v>31</v>
      </c>
      <c r="E123" t="s">
        <v>90</v>
      </c>
      <c r="F123" s="1">
        <v>45363</v>
      </c>
      <c r="G123" s="1">
        <v>45364</v>
      </c>
      <c r="H123">
        <v>50</v>
      </c>
      <c r="I123" t="s">
        <v>36</v>
      </c>
      <c r="J123" t="s">
        <v>16</v>
      </c>
      <c r="K123">
        <v>106881</v>
      </c>
    </row>
    <row r="124" spans="1:11" x14ac:dyDescent="0.35">
      <c r="A124" t="s">
        <v>171</v>
      </c>
      <c r="B124">
        <v>86</v>
      </c>
      <c r="C124" t="s">
        <v>12</v>
      </c>
      <c r="D124" t="s">
        <v>28</v>
      </c>
      <c r="E124" t="s">
        <v>25</v>
      </c>
      <c r="F124" s="1">
        <v>45524</v>
      </c>
      <c r="G124" s="1">
        <v>45530</v>
      </c>
      <c r="H124">
        <v>80</v>
      </c>
      <c r="I124" t="s">
        <v>46</v>
      </c>
      <c r="J124" t="s">
        <v>16</v>
      </c>
      <c r="K124">
        <v>133279</v>
      </c>
    </row>
    <row r="125" spans="1:11" x14ac:dyDescent="0.35">
      <c r="A125" t="s">
        <v>172</v>
      </c>
      <c r="B125">
        <v>36</v>
      </c>
      <c r="C125" t="s">
        <v>18</v>
      </c>
      <c r="D125" t="s">
        <v>38</v>
      </c>
      <c r="E125" t="s">
        <v>29</v>
      </c>
      <c r="F125" s="1">
        <v>45607</v>
      </c>
      <c r="G125" s="1">
        <v>45614</v>
      </c>
      <c r="H125">
        <v>228</v>
      </c>
      <c r="I125" t="s">
        <v>46</v>
      </c>
      <c r="J125" t="s">
        <v>16</v>
      </c>
      <c r="K125">
        <v>100075</v>
      </c>
    </row>
    <row r="126" spans="1:11" x14ac:dyDescent="0.35">
      <c r="A126" t="s">
        <v>173</v>
      </c>
      <c r="B126">
        <v>48</v>
      </c>
      <c r="C126" t="s">
        <v>12</v>
      </c>
      <c r="D126" t="s">
        <v>24</v>
      </c>
      <c r="E126" t="s">
        <v>56</v>
      </c>
      <c r="F126" s="1">
        <v>45342</v>
      </c>
      <c r="G126" s="1">
        <v>45353</v>
      </c>
      <c r="H126">
        <v>142</v>
      </c>
      <c r="I126" t="s">
        <v>36</v>
      </c>
      <c r="J126" t="s">
        <v>16</v>
      </c>
      <c r="K126">
        <v>124201</v>
      </c>
    </row>
    <row r="127" spans="1:11" x14ac:dyDescent="0.35">
      <c r="A127" t="s">
        <v>174</v>
      </c>
      <c r="B127">
        <v>28</v>
      </c>
      <c r="C127" t="s">
        <v>18</v>
      </c>
      <c r="D127" t="s">
        <v>24</v>
      </c>
      <c r="E127" t="s">
        <v>95</v>
      </c>
      <c r="F127" s="1">
        <v>45338</v>
      </c>
      <c r="G127" s="1">
        <v>45349</v>
      </c>
      <c r="H127">
        <v>125</v>
      </c>
      <c r="I127" t="s">
        <v>36</v>
      </c>
      <c r="J127" t="s">
        <v>16</v>
      </c>
      <c r="K127">
        <v>22985</v>
      </c>
    </row>
    <row r="128" spans="1:11" x14ac:dyDescent="0.35">
      <c r="A128" t="s">
        <v>175</v>
      </c>
      <c r="B128">
        <v>76</v>
      </c>
      <c r="C128" t="s">
        <v>18</v>
      </c>
      <c r="D128" t="s">
        <v>13</v>
      </c>
      <c r="E128" t="s">
        <v>95</v>
      </c>
      <c r="F128" s="1">
        <v>45575</v>
      </c>
      <c r="G128" s="1">
        <v>45579</v>
      </c>
      <c r="H128">
        <v>76</v>
      </c>
      <c r="I128" t="s">
        <v>15</v>
      </c>
      <c r="J128" t="s">
        <v>16</v>
      </c>
      <c r="K128">
        <v>42929</v>
      </c>
    </row>
    <row r="129" spans="1:11" x14ac:dyDescent="0.35">
      <c r="A129" t="s">
        <v>176</v>
      </c>
      <c r="B129">
        <v>33</v>
      </c>
      <c r="C129" t="s">
        <v>18</v>
      </c>
      <c r="D129" t="s">
        <v>24</v>
      </c>
      <c r="E129" t="s">
        <v>54</v>
      </c>
      <c r="F129" s="1">
        <v>45358</v>
      </c>
      <c r="G129" s="1">
        <v>45367</v>
      </c>
      <c r="H129">
        <v>14</v>
      </c>
      <c r="I129" t="s">
        <v>36</v>
      </c>
      <c r="J129" t="s">
        <v>16</v>
      </c>
      <c r="K129">
        <v>98911</v>
      </c>
    </row>
    <row r="130" spans="1:11" x14ac:dyDescent="0.35">
      <c r="A130" t="s">
        <v>177</v>
      </c>
      <c r="B130">
        <v>42</v>
      </c>
      <c r="C130" t="s">
        <v>18</v>
      </c>
      <c r="D130" t="s">
        <v>13</v>
      </c>
      <c r="E130" t="s">
        <v>32</v>
      </c>
      <c r="F130" s="1">
        <v>45413</v>
      </c>
      <c r="G130" s="1">
        <v>45423</v>
      </c>
      <c r="H130">
        <v>27</v>
      </c>
      <c r="I130" t="s">
        <v>36</v>
      </c>
      <c r="J130" t="s">
        <v>26</v>
      </c>
      <c r="K130">
        <v>142910</v>
      </c>
    </row>
    <row r="131" spans="1:11" x14ac:dyDescent="0.35">
      <c r="A131" t="s">
        <v>178</v>
      </c>
      <c r="B131">
        <v>9</v>
      </c>
      <c r="C131" t="s">
        <v>12</v>
      </c>
      <c r="D131" t="s">
        <v>31</v>
      </c>
      <c r="E131" t="s">
        <v>22</v>
      </c>
      <c r="F131" s="1">
        <v>45350</v>
      </c>
      <c r="G131" s="1">
        <v>45362</v>
      </c>
      <c r="H131">
        <v>186</v>
      </c>
      <c r="I131" t="s">
        <v>15</v>
      </c>
      <c r="J131" t="s">
        <v>26</v>
      </c>
      <c r="K131">
        <v>137078</v>
      </c>
    </row>
    <row r="132" spans="1:11" x14ac:dyDescent="0.35">
      <c r="A132" t="s">
        <v>179</v>
      </c>
      <c r="B132">
        <v>6</v>
      </c>
      <c r="C132" t="s">
        <v>12</v>
      </c>
      <c r="D132" t="s">
        <v>31</v>
      </c>
      <c r="E132" t="s">
        <v>68</v>
      </c>
      <c r="F132" s="1">
        <v>45405</v>
      </c>
      <c r="G132" s="1">
        <v>45415</v>
      </c>
      <c r="H132">
        <v>16</v>
      </c>
      <c r="I132" t="s">
        <v>15</v>
      </c>
      <c r="J132" t="s">
        <v>26</v>
      </c>
      <c r="K132">
        <v>110281</v>
      </c>
    </row>
    <row r="133" spans="1:11" x14ac:dyDescent="0.35">
      <c r="A133" t="s">
        <v>180</v>
      </c>
      <c r="B133">
        <v>14</v>
      </c>
      <c r="C133" t="s">
        <v>12</v>
      </c>
      <c r="D133" t="s">
        <v>31</v>
      </c>
      <c r="E133" t="s">
        <v>45</v>
      </c>
      <c r="F133" s="1">
        <v>45510</v>
      </c>
      <c r="G133" s="1">
        <v>45521</v>
      </c>
      <c r="H133">
        <v>42</v>
      </c>
      <c r="I133" t="s">
        <v>33</v>
      </c>
      <c r="J133" t="s">
        <v>16</v>
      </c>
      <c r="K133">
        <v>22218</v>
      </c>
    </row>
    <row r="134" spans="1:11" x14ac:dyDescent="0.35">
      <c r="A134" t="s">
        <v>181</v>
      </c>
      <c r="B134">
        <v>80</v>
      </c>
      <c r="C134" t="s">
        <v>12</v>
      </c>
      <c r="D134" t="s">
        <v>31</v>
      </c>
      <c r="E134" t="s">
        <v>35</v>
      </c>
      <c r="F134" s="1">
        <v>45356</v>
      </c>
      <c r="G134" s="1">
        <v>45361</v>
      </c>
      <c r="H134">
        <v>272</v>
      </c>
      <c r="I134" t="s">
        <v>33</v>
      </c>
      <c r="J134" t="s">
        <v>26</v>
      </c>
      <c r="K134">
        <v>137527</v>
      </c>
    </row>
    <row r="135" spans="1:11" x14ac:dyDescent="0.35">
      <c r="A135" t="s">
        <v>182</v>
      </c>
      <c r="B135">
        <v>13</v>
      </c>
      <c r="C135" t="s">
        <v>18</v>
      </c>
      <c r="D135" t="s">
        <v>28</v>
      </c>
      <c r="E135" t="s">
        <v>25</v>
      </c>
      <c r="F135" s="1">
        <v>45601</v>
      </c>
      <c r="G135" s="1">
        <v>45608</v>
      </c>
      <c r="H135">
        <v>111</v>
      </c>
      <c r="I135" t="s">
        <v>46</v>
      </c>
      <c r="J135" t="s">
        <v>26</v>
      </c>
      <c r="K135">
        <v>64898</v>
      </c>
    </row>
    <row r="136" spans="1:11" x14ac:dyDescent="0.35">
      <c r="A136" t="s">
        <v>183</v>
      </c>
      <c r="B136">
        <v>59</v>
      </c>
      <c r="C136" t="s">
        <v>12</v>
      </c>
      <c r="D136" t="s">
        <v>31</v>
      </c>
      <c r="E136" t="s">
        <v>25</v>
      </c>
      <c r="F136" s="1">
        <v>45503</v>
      </c>
      <c r="G136" s="1">
        <v>45509</v>
      </c>
      <c r="H136">
        <v>49</v>
      </c>
      <c r="I136" t="s">
        <v>33</v>
      </c>
      <c r="J136" t="s">
        <v>26</v>
      </c>
      <c r="K136">
        <v>86926</v>
      </c>
    </row>
    <row r="137" spans="1:11" x14ac:dyDescent="0.35">
      <c r="A137" t="s">
        <v>184</v>
      </c>
      <c r="B137">
        <v>48</v>
      </c>
      <c r="C137" t="s">
        <v>18</v>
      </c>
      <c r="D137" t="s">
        <v>31</v>
      </c>
      <c r="E137" t="s">
        <v>45</v>
      </c>
      <c r="F137" s="1">
        <v>45632</v>
      </c>
      <c r="G137" s="1">
        <v>45637</v>
      </c>
      <c r="H137">
        <v>47</v>
      </c>
      <c r="I137" t="s">
        <v>15</v>
      </c>
      <c r="J137" t="s">
        <v>16</v>
      </c>
      <c r="K137">
        <v>118213</v>
      </c>
    </row>
    <row r="138" spans="1:11" x14ac:dyDescent="0.35">
      <c r="A138" t="s">
        <v>185</v>
      </c>
      <c r="B138">
        <v>48</v>
      </c>
      <c r="C138" t="s">
        <v>18</v>
      </c>
      <c r="D138" t="s">
        <v>28</v>
      </c>
      <c r="E138" t="s">
        <v>52</v>
      </c>
      <c r="F138" s="1">
        <v>45341</v>
      </c>
      <c r="G138" s="1">
        <v>45353</v>
      </c>
      <c r="H138">
        <v>288</v>
      </c>
      <c r="I138" t="s">
        <v>33</v>
      </c>
      <c r="J138" t="s">
        <v>16</v>
      </c>
      <c r="K138">
        <v>112691</v>
      </c>
    </row>
    <row r="139" spans="1:11" x14ac:dyDescent="0.35">
      <c r="A139" t="s">
        <v>186</v>
      </c>
      <c r="B139">
        <v>86</v>
      </c>
      <c r="C139" t="s">
        <v>12</v>
      </c>
      <c r="D139" t="s">
        <v>24</v>
      </c>
      <c r="E139" t="s">
        <v>83</v>
      </c>
      <c r="F139" s="1">
        <v>45473</v>
      </c>
      <c r="G139" s="1">
        <v>45487</v>
      </c>
      <c r="H139">
        <v>160</v>
      </c>
      <c r="I139" t="s">
        <v>33</v>
      </c>
      <c r="J139" t="s">
        <v>16</v>
      </c>
      <c r="K139">
        <v>156497</v>
      </c>
    </row>
    <row r="140" spans="1:11" x14ac:dyDescent="0.35">
      <c r="A140" t="s">
        <v>187</v>
      </c>
      <c r="B140">
        <v>20</v>
      </c>
      <c r="C140" t="s">
        <v>12</v>
      </c>
      <c r="D140" t="s">
        <v>13</v>
      </c>
      <c r="E140" t="s">
        <v>90</v>
      </c>
      <c r="F140" s="1">
        <v>45551</v>
      </c>
      <c r="G140" s="1">
        <v>45555</v>
      </c>
      <c r="H140">
        <v>180</v>
      </c>
      <c r="I140" t="s">
        <v>33</v>
      </c>
      <c r="J140" t="s">
        <v>16</v>
      </c>
      <c r="K140">
        <v>78024</v>
      </c>
    </row>
    <row r="141" spans="1:11" x14ac:dyDescent="0.35">
      <c r="A141" t="s">
        <v>188</v>
      </c>
      <c r="B141">
        <v>55</v>
      </c>
      <c r="C141" t="s">
        <v>18</v>
      </c>
      <c r="D141" t="s">
        <v>28</v>
      </c>
      <c r="E141" t="s">
        <v>54</v>
      </c>
      <c r="F141" s="1">
        <v>45585</v>
      </c>
      <c r="G141" s="1">
        <v>45589</v>
      </c>
      <c r="H141">
        <v>137</v>
      </c>
      <c r="I141" t="s">
        <v>15</v>
      </c>
      <c r="J141" t="s">
        <v>16</v>
      </c>
      <c r="K141">
        <v>76636</v>
      </c>
    </row>
    <row r="142" spans="1:11" x14ac:dyDescent="0.35">
      <c r="A142" t="s">
        <v>189</v>
      </c>
      <c r="B142">
        <v>40</v>
      </c>
      <c r="C142" t="s">
        <v>12</v>
      </c>
      <c r="D142" t="s">
        <v>38</v>
      </c>
      <c r="E142" t="s">
        <v>80</v>
      </c>
      <c r="F142" s="1">
        <v>45651</v>
      </c>
      <c r="G142" s="1">
        <v>45664</v>
      </c>
      <c r="H142">
        <v>93</v>
      </c>
      <c r="I142" t="s">
        <v>36</v>
      </c>
      <c r="J142" t="s">
        <v>26</v>
      </c>
      <c r="K142">
        <v>23241</v>
      </c>
    </row>
    <row r="143" spans="1:11" x14ac:dyDescent="0.35">
      <c r="A143" t="s">
        <v>190</v>
      </c>
      <c r="B143">
        <v>82</v>
      </c>
      <c r="C143" t="s">
        <v>18</v>
      </c>
      <c r="D143" t="s">
        <v>24</v>
      </c>
      <c r="E143" t="s">
        <v>25</v>
      </c>
      <c r="F143" s="1">
        <v>45364</v>
      </c>
      <c r="G143" s="1">
        <v>45376</v>
      </c>
      <c r="H143">
        <v>272</v>
      </c>
      <c r="I143" t="s">
        <v>36</v>
      </c>
      <c r="J143" t="s">
        <v>26</v>
      </c>
      <c r="K143">
        <v>115056</v>
      </c>
    </row>
    <row r="144" spans="1:11" x14ac:dyDescent="0.35">
      <c r="A144" t="s">
        <v>191</v>
      </c>
      <c r="B144">
        <v>21</v>
      </c>
      <c r="C144" t="s">
        <v>12</v>
      </c>
      <c r="D144" t="s">
        <v>38</v>
      </c>
      <c r="E144" t="s">
        <v>25</v>
      </c>
      <c r="F144" s="1">
        <v>45524</v>
      </c>
      <c r="G144" s="1">
        <v>45530</v>
      </c>
      <c r="H144">
        <v>167</v>
      </c>
      <c r="I144" t="s">
        <v>15</v>
      </c>
      <c r="J144" t="s">
        <v>16</v>
      </c>
      <c r="K144">
        <v>45784</v>
      </c>
    </row>
    <row r="145" spans="1:11" x14ac:dyDescent="0.35">
      <c r="A145" t="s">
        <v>192</v>
      </c>
      <c r="B145">
        <v>80</v>
      </c>
      <c r="C145" t="s">
        <v>18</v>
      </c>
      <c r="D145" t="s">
        <v>24</v>
      </c>
      <c r="E145" t="s">
        <v>32</v>
      </c>
      <c r="F145" s="1">
        <v>45372</v>
      </c>
      <c r="G145" s="1">
        <v>45385</v>
      </c>
      <c r="H145">
        <v>227</v>
      </c>
      <c r="I145" t="s">
        <v>46</v>
      </c>
      <c r="J145" t="s">
        <v>26</v>
      </c>
      <c r="K145">
        <v>164141</v>
      </c>
    </row>
    <row r="146" spans="1:11" x14ac:dyDescent="0.35">
      <c r="A146" t="s">
        <v>193</v>
      </c>
      <c r="B146">
        <v>35</v>
      </c>
      <c r="C146" t="s">
        <v>18</v>
      </c>
      <c r="D146" t="s">
        <v>28</v>
      </c>
      <c r="E146" t="s">
        <v>90</v>
      </c>
      <c r="F146" s="1">
        <v>45518</v>
      </c>
      <c r="G146" s="1">
        <v>45525</v>
      </c>
      <c r="H146">
        <v>177</v>
      </c>
      <c r="I146" t="s">
        <v>46</v>
      </c>
      <c r="J146" t="s">
        <v>16</v>
      </c>
      <c r="K146">
        <v>79251</v>
      </c>
    </row>
    <row r="147" spans="1:11" x14ac:dyDescent="0.35">
      <c r="A147" t="s">
        <v>194</v>
      </c>
      <c r="B147">
        <v>76</v>
      </c>
      <c r="C147" t="s">
        <v>12</v>
      </c>
      <c r="D147" t="s">
        <v>28</v>
      </c>
      <c r="E147" t="s">
        <v>54</v>
      </c>
      <c r="F147" s="1">
        <v>45639</v>
      </c>
      <c r="G147" s="1">
        <v>45650</v>
      </c>
      <c r="H147">
        <v>158</v>
      </c>
      <c r="I147" t="s">
        <v>15</v>
      </c>
      <c r="J147" t="s">
        <v>16</v>
      </c>
      <c r="K147">
        <v>108615</v>
      </c>
    </row>
    <row r="148" spans="1:11" x14ac:dyDescent="0.35">
      <c r="A148" t="s">
        <v>195</v>
      </c>
      <c r="B148">
        <v>1</v>
      </c>
      <c r="C148" t="s">
        <v>18</v>
      </c>
      <c r="D148" t="s">
        <v>38</v>
      </c>
      <c r="E148" t="s">
        <v>29</v>
      </c>
      <c r="F148" s="1">
        <v>45598</v>
      </c>
      <c r="G148" s="1">
        <v>45599</v>
      </c>
      <c r="H148">
        <v>71</v>
      </c>
      <c r="I148" t="s">
        <v>33</v>
      </c>
      <c r="J148" t="s">
        <v>16</v>
      </c>
      <c r="K148">
        <v>91015</v>
      </c>
    </row>
    <row r="149" spans="1:11" x14ac:dyDescent="0.35">
      <c r="A149" t="s">
        <v>196</v>
      </c>
      <c r="B149">
        <v>64</v>
      </c>
      <c r="C149" t="s">
        <v>12</v>
      </c>
      <c r="D149" t="s">
        <v>13</v>
      </c>
      <c r="E149" t="s">
        <v>106</v>
      </c>
      <c r="F149" s="1">
        <v>45353</v>
      </c>
      <c r="G149" s="1">
        <v>45354</v>
      </c>
      <c r="H149">
        <v>195</v>
      </c>
      <c r="I149" t="s">
        <v>36</v>
      </c>
      <c r="J149" t="s">
        <v>16</v>
      </c>
      <c r="K149">
        <v>23894</v>
      </c>
    </row>
    <row r="150" spans="1:11" x14ac:dyDescent="0.35">
      <c r="A150" t="s">
        <v>197</v>
      </c>
      <c r="B150">
        <v>6</v>
      </c>
      <c r="C150" t="s">
        <v>12</v>
      </c>
      <c r="D150" t="s">
        <v>24</v>
      </c>
      <c r="E150" t="s">
        <v>20</v>
      </c>
      <c r="F150" s="1">
        <v>45495</v>
      </c>
      <c r="G150" s="1">
        <v>45509</v>
      </c>
      <c r="H150">
        <v>40</v>
      </c>
      <c r="I150" t="s">
        <v>33</v>
      </c>
      <c r="J150" t="s">
        <v>26</v>
      </c>
      <c r="K150">
        <v>155313</v>
      </c>
    </row>
    <row r="151" spans="1:11" x14ac:dyDescent="0.35">
      <c r="A151" t="s">
        <v>198</v>
      </c>
      <c r="B151">
        <v>82</v>
      </c>
      <c r="C151" t="s">
        <v>12</v>
      </c>
      <c r="D151" t="s">
        <v>38</v>
      </c>
      <c r="E151" t="s">
        <v>90</v>
      </c>
      <c r="F151" s="1">
        <v>45499</v>
      </c>
      <c r="G151" s="1">
        <v>45511</v>
      </c>
      <c r="H151">
        <v>208</v>
      </c>
      <c r="I151" t="s">
        <v>15</v>
      </c>
      <c r="J151" t="s">
        <v>16</v>
      </c>
      <c r="K151">
        <v>50055</v>
      </c>
    </row>
    <row r="152" spans="1:11" x14ac:dyDescent="0.35">
      <c r="A152" t="s">
        <v>199</v>
      </c>
      <c r="B152">
        <v>89</v>
      </c>
      <c r="C152" t="s">
        <v>12</v>
      </c>
      <c r="D152" t="s">
        <v>24</v>
      </c>
      <c r="E152" t="s">
        <v>93</v>
      </c>
      <c r="F152" s="1">
        <v>45608</v>
      </c>
      <c r="G152" s="1">
        <v>45616</v>
      </c>
      <c r="H152">
        <v>55</v>
      </c>
      <c r="I152" t="s">
        <v>36</v>
      </c>
      <c r="J152" t="s">
        <v>26</v>
      </c>
      <c r="K152">
        <v>159369</v>
      </c>
    </row>
    <row r="153" spans="1:11" x14ac:dyDescent="0.35">
      <c r="A153" t="s">
        <v>200</v>
      </c>
      <c r="B153">
        <v>11</v>
      </c>
      <c r="C153" t="s">
        <v>12</v>
      </c>
      <c r="D153" t="s">
        <v>38</v>
      </c>
      <c r="E153" t="s">
        <v>25</v>
      </c>
      <c r="F153" s="1">
        <v>45497</v>
      </c>
      <c r="G153" s="1">
        <v>45506</v>
      </c>
      <c r="H153">
        <v>174</v>
      </c>
      <c r="I153" t="s">
        <v>36</v>
      </c>
      <c r="J153" t="s">
        <v>16</v>
      </c>
      <c r="K153">
        <v>49074</v>
      </c>
    </row>
    <row r="154" spans="1:11" x14ac:dyDescent="0.35">
      <c r="A154" t="s">
        <v>201</v>
      </c>
      <c r="B154">
        <v>82</v>
      </c>
      <c r="C154" t="s">
        <v>18</v>
      </c>
      <c r="D154" t="s">
        <v>28</v>
      </c>
      <c r="E154" t="s">
        <v>49</v>
      </c>
      <c r="F154" s="1">
        <v>45331</v>
      </c>
      <c r="G154" s="1">
        <v>45340</v>
      </c>
      <c r="H154">
        <v>100</v>
      </c>
      <c r="I154" t="s">
        <v>33</v>
      </c>
      <c r="J154" t="s">
        <v>16</v>
      </c>
      <c r="K154">
        <v>195678</v>
      </c>
    </row>
    <row r="155" spans="1:11" x14ac:dyDescent="0.35">
      <c r="A155" t="s">
        <v>202</v>
      </c>
      <c r="B155">
        <v>19</v>
      </c>
      <c r="C155" t="s">
        <v>18</v>
      </c>
      <c r="D155" t="s">
        <v>24</v>
      </c>
      <c r="E155" t="s">
        <v>106</v>
      </c>
      <c r="F155" s="1">
        <v>45622</v>
      </c>
      <c r="G155" s="1">
        <v>45636</v>
      </c>
      <c r="H155">
        <v>132</v>
      </c>
      <c r="I155" t="s">
        <v>36</v>
      </c>
      <c r="J155" t="s">
        <v>16</v>
      </c>
      <c r="K155">
        <v>162915</v>
      </c>
    </row>
    <row r="156" spans="1:11" x14ac:dyDescent="0.35">
      <c r="A156" t="s">
        <v>203</v>
      </c>
      <c r="B156">
        <v>84</v>
      </c>
      <c r="C156" t="s">
        <v>18</v>
      </c>
      <c r="D156" t="s">
        <v>13</v>
      </c>
      <c r="E156" t="s">
        <v>22</v>
      </c>
      <c r="F156" s="1">
        <v>45370</v>
      </c>
      <c r="G156" s="1">
        <v>45383</v>
      </c>
      <c r="H156">
        <v>253</v>
      </c>
      <c r="I156" t="s">
        <v>46</v>
      </c>
      <c r="J156" t="s">
        <v>26</v>
      </c>
      <c r="K156">
        <v>183555</v>
      </c>
    </row>
    <row r="157" spans="1:11" x14ac:dyDescent="0.35">
      <c r="A157" t="s">
        <v>204</v>
      </c>
      <c r="B157">
        <v>82</v>
      </c>
      <c r="C157" t="s">
        <v>12</v>
      </c>
      <c r="D157" t="s">
        <v>38</v>
      </c>
      <c r="E157" t="s">
        <v>106</v>
      </c>
      <c r="F157" s="1">
        <v>45581</v>
      </c>
      <c r="G157" s="1">
        <v>45592</v>
      </c>
      <c r="H157">
        <v>226</v>
      </c>
      <c r="I157" t="s">
        <v>15</v>
      </c>
      <c r="J157" t="s">
        <v>26</v>
      </c>
      <c r="K157">
        <v>120922</v>
      </c>
    </row>
    <row r="158" spans="1:11" x14ac:dyDescent="0.35">
      <c r="A158" t="s">
        <v>205</v>
      </c>
      <c r="B158">
        <v>36</v>
      </c>
      <c r="C158" t="s">
        <v>18</v>
      </c>
      <c r="D158" t="s">
        <v>38</v>
      </c>
      <c r="E158" t="s">
        <v>49</v>
      </c>
      <c r="F158" s="1">
        <v>45615</v>
      </c>
      <c r="G158" s="1">
        <v>45620</v>
      </c>
      <c r="H158">
        <v>38</v>
      </c>
      <c r="I158" t="s">
        <v>33</v>
      </c>
      <c r="J158" t="s">
        <v>26</v>
      </c>
      <c r="K158">
        <v>123466</v>
      </c>
    </row>
    <row r="159" spans="1:11" x14ac:dyDescent="0.35">
      <c r="A159" t="s">
        <v>206</v>
      </c>
      <c r="B159">
        <v>48</v>
      </c>
      <c r="C159" t="s">
        <v>12</v>
      </c>
      <c r="D159" t="s">
        <v>24</v>
      </c>
      <c r="E159" t="s">
        <v>68</v>
      </c>
      <c r="F159" s="1">
        <v>45311</v>
      </c>
      <c r="G159" s="1">
        <v>45312</v>
      </c>
      <c r="H159">
        <v>47</v>
      </c>
      <c r="I159" t="s">
        <v>46</v>
      </c>
      <c r="J159" t="s">
        <v>26</v>
      </c>
      <c r="K159">
        <v>157129</v>
      </c>
    </row>
    <row r="160" spans="1:11" x14ac:dyDescent="0.35">
      <c r="A160" t="s">
        <v>207</v>
      </c>
      <c r="B160">
        <v>6</v>
      </c>
      <c r="C160" t="s">
        <v>12</v>
      </c>
      <c r="D160" t="s">
        <v>28</v>
      </c>
      <c r="E160" t="s">
        <v>68</v>
      </c>
      <c r="F160" s="1">
        <v>45575</v>
      </c>
      <c r="G160" s="1">
        <v>45588</v>
      </c>
      <c r="H160">
        <v>97</v>
      </c>
      <c r="I160" t="s">
        <v>33</v>
      </c>
      <c r="J160" t="s">
        <v>26</v>
      </c>
      <c r="K160">
        <v>136430</v>
      </c>
    </row>
    <row r="161" spans="1:11" x14ac:dyDescent="0.35">
      <c r="A161" t="s">
        <v>208</v>
      </c>
      <c r="B161">
        <v>58</v>
      </c>
      <c r="C161" t="s">
        <v>18</v>
      </c>
      <c r="D161" t="s">
        <v>38</v>
      </c>
      <c r="E161" t="s">
        <v>40</v>
      </c>
      <c r="F161" s="1">
        <v>45369</v>
      </c>
      <c r="G161" s="1">
        <v>45370</v>
      </c>
      <c r="H161">
        <v>44</v>
      </c>
      <c r="I161" t="s">
        <v>36</v>
      </c>
      <c r="J161" t="s">
        <v>16</v>
      </c>
      <c r="K161">
        <v>69944</v>
      </c>
    </row>
    <row r="162" spans="1:11" x14ac:dyDescent="0.35">
      <c r="A162" t="s">
        <v>209</v>
      </c>
      <c r="B162">
        <v>57</v>
      </c>
      <c r="C162" t="s">
        <v>18</v>
      </c>
      <c r="D162" t="s">
        <v>38</v>
      </c>
      <c r="E162" t="s">
        <v>63</v>
      </c>
      <c r="F162" s="1">
        <v>45654</v>
      </c>
      <c r="G162" s="1">
        <v>45662</v>
      </c>
      <c r="H162">
        <v>145</v>
      </c>
      <c r="I162" t="s">
        <v>46</v>
      </c>
      <c r="J162" t="s">
        <v>26</v>
      </c>
      <c r="K162">
        <v>93700</v>
      </c>
    </row>
    <row r="163" spans="1:11" x14ac:dyDescent="0.35">
      <c r="A163" t="s">
        <v>210</v>
      </c>
      <c r="B163">
        <v>7</v>
      </c>
      <c r="C163" t="s">
        <v>12</v>
      </c>
      <c r="D163" t="s">
        <v>24</v>
      </c>
      <c r="E163" t="s">
        <v>95</v>
      </c>
      <c r="F163" s="1">
        <v>45639</v>
      </c>
      <c r="G163" s="1">
        <v>45649</v>
      </c>
      <c r="H163">
        <v>49</v>
      </c>
      <c r="I163" t="s">
        <v>46</v>
      </c>
      <c r="J163" t="s">
        <v>16</v>
      </c>
      <c r="K163">
        <v>71059</v>
      </c>
    </row>
    <row r="164" spans="1:11" x14ac:dyDescent="0.35">
      <c r="A164" t="s">
        <v>211</v>
      </c>
      <c r="B164">
        <v>78</v>
      </c>
      <c r="C164" t="s">
        <v>18</v>
      </c>
      <c r="D164" t="s">
        <v>38</v>
      </c>
      <c r="E164" t="s">
        <v>45</v>
      </c>
      <c r="F164" s="1">
        <v>45628</v>
      </c>
      <c r="G164" s="1">
        <v>45643</v>
      </c>
      <c r="H164">
        <v>299</v>
      </c>
      <c r="I164" t="s">
        <v>36</v>
      </c>
      <c r="J164" t="s">
        <v>16</v>
      </c>
      <c r="K164">
        <v>86325</v>
      </c>
    </row>
    <row r="165" spans="1:11" x14ac:dyDescent="0.35">
      <c r="A165" t="s">
        <v>212</v>
      </c>
      <c r="B165">
        <v>85</v>
      </c>
      <c r="C165" t="s">
        <v>12</v>
      </c>
      <c r="D165" t="s">
        <v>13</v>
      </c>
      <c r="E165" t="s">
        <v>35</v>
      </c>
      <c r="F165" s="1">
        <v>45627</v>
      </c>
      <c r="G165" s="1">
        <v>45639</v>
      </c>
      <c r="H165">
        <v>44</v>
      </c>
      <c r="I165" t="s">
        <v>33</v>
      </c>
      <c r="J165" t="s">
        <v>26</v>
      </c>
      <c r="K165">
        <v>173687</v>
      </c>
    </row>
    <row r="166" spans="1:11" x14ac:dyDescent="0.35">
      <c r="A166" t="s">
        <v>213</v>
      </c>
      <c r="B166">
        <v>17</v>
      </c>
      <c r="C166" t="s">
        <v>18</v>
      </c>
      <c r="D166" t="s">
        <v>31</v>
      </c>
      <c r="E166" t="s">
        <v>49</v>
      </c>
      <c r="F166" s="1">
        <v>45460</v>
      </c>
      <c r="G166" s="1">
        <v>45474</v>
      </c>
      <c r="H166">
        <v>186</v>
      </c>
      <c r="I166" t="s">
        <v>15</v>
      </c>
      <c r="J166" t="s">
        <v>16</v>
      </c>
      <c r="K166">
        <v>85967</v>
      </c>
    </row>
    <row r="167" spans="1:11" x14ac:dyDescent="0.35">
      <c r="A167" t="s">
        <v>214</v>
      </c>
      <c r="B167">
        <v>44</v>
      </c>
      <c r="C167" t="s">
        <v>12</v>
      </c>
      <c r="D167" t="s">
        <v>13</v>
      </c>
      <c r="E167" t="s">
        <v>14</v>
      </c>
      <c r="F167" s="1">
        <v>45384</v>
      </c>
      <c r="G167" s="1">
        <v>45388</v>
      </c>
      <c r="H167">
        <v>71</v>
      </c>
      <c r="I167" t="s">
        <v>36</v>
      </c>
      <c r="J167" t="s">
        <v>16</v>
      </c>
      <c r="K167">
        <v>82540</v>
      </c>
    </row>
    <row r="168" spans="1:11" x14ac:dyDescent="0.35">
      <c r="A168" t="s">
        <v>215</v>
      </c>
      <c r="B168">
        <v>70</v>
      </c>
      <c r="C168" t="s">
        <v>18</v>
      </c>
      <c r="D168" t="s">
        <v>38</v>
      </c>
      <c r="E168" t="s">
        <v>22</v>
      </c>
      <c r="F168" s="1">
        <v>45343</v>
      </c>
      <c r="G168" s="1">
        <v>45352</v>
      </c>
      <c r="H168">
        <v>68</v>
      </c>
      <c r="I168" t="s">
        <v>46</v>
      </c>
      <c r="J168" t="s">
        <v>16</v>
      </c>
      <c r="K168">
        <v>47532</v>
      </c>
    </row>
    <row r="169" spans="1:11" x14ac:dyDescent="0.35">
      <c r="A169" t="s">
        <v>216</v>
      </c>
      <c r="B169">
        <v>89</v>
      </c>
      <c r="C169" t="s">
        <v>18</v>
      </c>
      <c r="D169" t="s">
        <v>31</v>
      </c>
      <c r="E169" t="s">
        <v>52</v>
      </c>
      <c r="F169" s="1">
        <v>45384</v>
      </c>
      <c r="G169" s="1">
        <v>45398</v>
      </c>
      <c r="H169">
        <v>211</v>
      </c>
      <c r="I169" t="s">
        <v>33</v>
      </c>
      <c r="J169" t="s">
        <v>16</v>
      </c>
      <c r="K169">
        <v>121444</v>
      </c>
    </row>
    <row r="170" spans="1:11" x14ac:dyDescent="0.35">
      <c r="A170" t="s">
        <v>217</v>
      </c>
      <c r="B170">
        <v>58</v>
      </c>
      <c r="C170" t="s">
        <v>18</v>
      </c>
      <c r="D170" t="s">
        <v>28</v>
      </c>
      <c r="E170" t="s">
        <v>14</v>
      </c>
      <c r="F170" s="1">
        <v>45604</v>
      </c>
      <c r="G170" s="1">
        <v>45609</v>
      </c>
      <c r="H170">
        <v>159</v>
      </c>
      <c r="I170" t="s">
        <v>46</v>
      </c>
      <c r="J170" t="s">
        <v>16</v>
      </c>
      <c r="K170">
        <v>101427</v>
      </c>
    </row>
    <row r="171" spans="1:11" x14ac:dyDescent="0.35">
      <c r="A171" t="s">
        <v>218</v>
      </c>
      <c r="B171">
        <v>57</v>
      </c>
      <c r="C171" t="s">
        <v>12</v>
      </c>
      <c r="D171" t="s">
        <v>38</v>
      </c>
      <c r="E171" t="s">
        <v>22</v>
      </c>
      <c r="F171" s="1">
        <v>45639</v>
      </c>
      <c r="G171" s="1">
        <v>45649</v>
      </c>
      <c r="H171">
        <v>196</v>
      </c>
      <c r="I171" t="s">
        <v>46</v>
      </c>
      <c r="J171" t="s">
        <v>16</v>
      </c>
      <c r="K171">
        <v>57349</v>
      </c>
    </row>
    <row r="172" spans="1:11" x14ac:dyDescent="0.35">
      <c r="A172" t="s">
        <v>219</v>
      </c>
      <c r="B172">
        <v>33</v>
      </c>
      <c r="C172" t="s">
        <v>18</v>
      </c>
      <c r="D172" t="s">
        <v>31</v>
      </c>
      <c r="E172" t="s">
        <v>63</v>
      </c>
      <c r="F172" s="1">
        <v>45601</v>
      </c>
      <c r="G172" s="1">
        <v>45604</v>
      </c>
      <c r="H172">
        <v>284</v>
      </c>
      <c r="I172" t="s">
        <v>15</v>
      </c>
      <c r="J172" t="s">
        <v>16</v>
      </c>
      <c r="K172">
        <v>79727</v>
      </c>
    </row>
    <row r="173" spans="1:11" x14ac:dyDescent="0.35">
      <c r="A173" t="s">
        <v>220</v>
      </c>
      <c r="B173">
        <v>21</v>
      </c>
      <c r="C173" t="s">
        <v>12</v>
      </c>
      <c r="D173" t="s">
        <v>31</v>
      </c>
      <c r="E173" t="s">
        <v>49</v>
      </c>
      <c r="F173" s="1">
        <v>45334</v>
      </c>
      <c r="G173" s="1">
        <v>45347</v>
      </c>
      <c r="H173">
        <v>76</v>
      </c>
      <c r="I173" t="s">
        <v>46</v>
      </c>
      <c r="J173" t="s">
        <v>16</v>
      </c>
      <c r="K173">
        <v>63205</v>
      </c>
    </row>
    <row r="174" spans="1:11" x14ac:dyDescent="0.35">
      <c r="A174" t="s">
        <v>221</v>
      </c>
      <c r="B174">
        <v>45</v>
      </c>
      <c r="C174" t="s">
        <v>18</v>
      </c>
      <c r="D174" t="s">
        <v>31</v>
      </c>
      <c r="E174" t="s">
        <v>52</v>
      </c>
      <c r="F174" s="1">
        <v>45522</v>
      </c>
      <c r="G174" s="1">
        <v>45537</v>
      </c>
      <c r="H174">
        <v>203</v>
      </c>
      <c r="I174" t="s">
        <v>33</v>
      </c>
      <c r="J174" t="s">
        <v>16</v>
      </c>
      <c r="K174">
        <v>106231</v>
      </c>
    </row>
    <row r="175" spans="1:11" x14ac:dyDescent="0.35">
      <c r="A175" t="s">
        <v>222</v>
      </c>
      <c r="B175">
        <v>29</v>
      </c>
      <c r="C175" t="s">
        <v>18</v>
      </c>
      <c r="D175" t="s">
        <v>38</v>
      </c>
      <c r="E175" t="s">
        <v>90</v>
      </c>
      <c r="F175" s="1">
        <v>45333</v>
      </c>
      <c r="G175" s="1">
        <v>45339</v>
      </c>
      <c r="H175">
        <v>172</v>
      </c>
      <c r="I175" t="s">
        <v>36</v>
      </c>
      <c r="J175" t="s">
        <v>16</v>
      </c>
      <c r="K175">
        <v>15040</v>
      </c>
    </row>
    <row r="176" spans="1:11" x14ac:dyDescent="0.35">
      <c r="A176" t="s">
        <v>223</v>
      </c>
      <c r="B176">
        <v>61</v>
      </c>
      <c r="C176" t="s">
        <v>18</v>
      </c>
      <c r="D176" t="s">
        <v>31</v>
      </c>
      <c r="E176" t="s">
        <v>20</v>
      </c>
      <c r="F176" s="1">
        <v>45438</v>
      </c>
      <c r="G176" s="1">
        <v>45453</v>
      </c>
      <c r="H176">
        <v>3</v>
      </c>
      <c r="I176" t="s">
        <v>15</v>
      </c>
      <c r="J176" t="s">
        <v>16</v>
      </c>
      <c r="K176">
        <v>72088</v>
      </c>
    </row>
    <row r="177" spans="1:11" x14ac:dyDescent="0.35">
      <c r="A177" t="s">
        <v>224</v>
      </c>
      <c r="B177">
        <v>20</v>
      </c>
      <c r="C177" t="s">
        <v>12</v>
      </c>
      <c r="D177" t="s">
        <v>24</v>
      </c>
      <c r="E177" t="s">
        <v>22</v>
      </c>
      <c r="F177" s="1">
        <v>45402</v>
      </c>
      <c r="G177" s="1">
        <v>45416</v>
      </c>
      <c r="H177">
        <v>148</v>
      </c>
      <c r="I177" t="s">
        <v>36</v>
      </c>
      <c r="J177" t="s">
        <v>16</v>
      </c>
      <c r="K177">
        <v>36941</v>
      </c>
    </row>
    <row r="178" spans="1:11" x14ac:dyDescent="0.35">
      <c r="A178" t="s">
        <v>225</v>
      </c>
      <c r="B178">
        <v>54</v>
      </c>
      <c r="C178" t="s">
        <v>12</v>
      </c>
      <c r="D178" t="s">
        <v>24</v>
      </c>
      <c r="E178" t="s">
        <v>90</v>
      </c>
      <c r="F178" s="1">
        <v>45316</v>
      </c>
      <c r="G178" s="1">
        <v>45320</v>
      </c>
      <c r="H178">
        <v>256</v>
      </c>
      <c r="I178" t="s">
        <v>15</v>
      </c>
      <c r="J178" t="s">
        <v>16</v>
      </c>
      <c r="K178">
        <v>193362</v>
      </c>
    </row>
    <row r="179" spans="1:11" x14ac:dyDescent="0.35">
      <c r="A179" t="s">
        <v>226</v>
      </c>
      <c r="B179">
        <v>55</v>
      </c>
      <c r="C179" t="s">
        <v>18</v>
      </c>
      <c r="D179" t="s">
        <v>28</v>
      </c>
      <c r="E179" t="s">
        <v>63</v>
      </c>
      <c r="F179" s="1">
        <v>45365</v>
      </c>
      <c r="G179" s="1">
        <v>45370</v>
      </c>
      <c r="H179">
        <v>124</v>
      </c>
      <c r="I179" t="s">
        <v>46</v>
      </c>
      <c r="J179" t="s">
        <v>16</v>
      </c>
      <c r="K179">
        <v>179160</v>
      </c>
    </row>
    <row r="180" spans="1:11" x14ac:dyDescent="0.35">
      <c r="A180" t="s">
        <v>227</v>
      </c>
      <c r="B180">
        <v>68</v>
      </c>
      <c r="C180" t="s">
        <v>12</v>
      </c>
      <c r="D180" t="s">
        <v>24</v>
      </c>
      <c r="E180" t="s">
        <v>49</v>
      </c>
      <c r="F180" s="1">
        <v>45634</v>
      </c>
      <c r="G180" s="1">
        <v>45636</v>
      </c>
      <c r="H180">
        <v>279</v>
      </c>
      <c r="I180" t="s">
        <v>15</v>
      </c>
      <c r="J180" t="s">
        <v>26</v>
      </c>
      <c r="K180">
        <v>128243</v>
      </c>
    </row>
    <row r="181" spans="1:11" x14ac:dyDescent="0.35">
      <c r="A181" t="s">
        <v>228</v>
      </c>
      <c r="B181">
        <v>50</v>
      </c>
      <c r="C181" t="s">
        <v>12</v>
      </c>
      <c r="D181" t="s">
        <v>38</v>
      </c>
      <c r="E181" t="s">
        <v>25</v>
      </c>
      <c r="F181" s="1">
        <v>45314</v>
      </c>
      <c r="G181" s="1">
        <v>45325</v>
      </c>
      <c r="H181">
        <v>9</v>
      </c>
      <c r="I181" t="s">
        <v>33</v>
      </c>
      <c r="J181" t="s">
        <v>16</v>
      </c>
      <c r="K181">
        <v>95387</v>
      </c>
    </row>
    <row r="182" spans="1:11" x14ac:dyDescent="0.35">
      <c r="A182" t="s">
        <v>229</v>
      </c>
      <c r="B182">
        <v>85</v>
      </c>
      <c r="C182" t="s">
        <v>18</v>
      </c>
      <c r="D182" t="s">
        <v>28</v>
      </c>
      <c r="E182" t="s">
        <v>25</v>
      </c>
      <c r="F182" s="1">
        <v>45415</v>
      </c>
      <c r="G182" s="1">
        <v>45427</v>
      </c>
      <c r="H182">
        <v>171</v>
      </c>
      <c r="I182" t="s">
        <v>36</v>
      </c>
      <c r="J182" t="s">
        <v>16</v>
      </c>
      <c r="K182">
        <v>97353</v>
      </c>
    </row>
    <row r="183" spans="1:11" x14ac:dyDescent="0.35">
      <c r="A183" t="s">
        <v>230</v>
      </c>
      <c r="B183">
        <v>83</v>
      </c>
      <c r="C183" t="s">
        <v>18</v>
      </c>
      <c r="D183" t="s">
        <v>31</v>
      </c>
      <c r="E183" t="s">
        <v>40</v>
      </c>
      <c r="F183" s="1">
        <v>45571</v>
      </c>
      <c r="G183" s="1">
        <v>45577</v>
      </c>
      <c r="H183">
        <v>246</v>
      </c>
      <c r="I183" t="s">
        <v>36</v>
      </c>
      <c r="J183" t="s">
        <v>16</v>
      </c>
      <c r="K183">
        <v>21541</v>
      </c>
    </row>
    <row r="184" spans="1:11" x14ac:dyDescent="0.35">
      <c r="A184" t="s">
        <v>231</v>
      </c>
      <c r="B184">
        <v>38</v>
      </c>
      <c r="C184" t="s">
        <v>18</v>
      </c>
      <c r="D184" t="s">
        <v>24</v>
      </c>
      <c r="E184" t="s">
        <v>29</v>
      </c>
      <c r="F184" s="1">
        <v>45526</v>
      </c>
      <c r="G184" s="1">
        <v>45527</v>
      </c>
      <c r="H184">
        <v>22</v>
      </c>
      <c r="I184" t="s">
        <v>33</v>
      </c>
      <c r="J184" t="s">
        <v>16</v>
      </c>
      <c r="K184">
        <v>140104</v>
      </c>
    </row>
    <row r="185" spans="1:11" x14ac:dyDescent="0.35">
      <c r="A185" t="s">
        <v>232</v>
      </c>
      <c r="B185">
        <v>70</v>
      </c>
      <c r="C185" t="s">
        <v>12</v>
      </c>
      <c r="D185" t="s">
        <v>38</v>
      </c>
      <c r="E185" t="s">
        <v>52</v>
      </c>
      <c r="F185" s="1">
        <v>45495</v>
      </c>
      <c r="G185" s="1">
        <v>45509</v>
      </c>
      <c r="H185">
        <v>98</v>
      </c>
      <c r="I185" t="s">
        <v>33</v>
      </c>
      <c r="J185" t="s">
        <v>16</v>
      </c>
      <c r="K185">
        <v>17531</v>
      </c>
    </row>
    <row r="186" spans="1:11" x14ac:dyDescent="0.35">
      <c r="A186" t="s">
        <v>233</v>
      </c>
      <c r="B186">
        <v>35</v>
      </c>
      <c r="C186" t="s">
        <v>18</v>
      </c>
      <c r="D186" t="s">
        <v>38</v>
      </c>
      <c r="E186" t="s">
        <v>93</v>
      </c>
      <c r="F186" s="1">
        <v>45627</v>
      </c>
      <c r="G186" s="1">
        <v>45633</v>
      </c>
      <c r="H186">
        <v>205</v>
      </c>
      <c r="I186" t="s">
        <v>46</v>
      </c>
      <c r="J186" t="s">
        <v>26</v>
      </c>
      <c r="K186">
        <v>93876</v>
      </c>
    </row>
    <row r="187" spans="1:11" x14ac:dyDescent="0.35">
      <c r="A187" t="s">
        <v>234</v>
      </c>
      <c r="B187">
        <v>89</v>
      </c>
      <c r="C187" t="s">
        <v>12</v>
      </c>
      <c r="D187" t="s">
        <v>38</v>
      </c>
      <c r="E187" t="s">
        <v>49</v>
      </c>
      <c r="F187" s="1">
        <v>45387</v>
      </c>
      <c r="G187" s="1">
        <v>45395</v>
      </c>
      <c r="H187">
        <v>137</v>
      </c>
      <c r="I187" t="s">
        <v>15</v>
      </c>
      <c r="J187" t="s">
        <v>26</v>
      </c>
      <c r="K187">
        <v>25690</v>
      </c>
    </row>
    <row r="188" spans="1:11" x14ac:dyDescent="0.35">
      <c r="A188" t="s">
        <v>235</v>
      </c>
      <c r="B188">
        <v>24</v>
      </c>
      <c r="C188" t="s">
        <v>12</v>
      </c>
      <c r="D188" t="s">
        <v>38</v>
      </c>
      <c r="E188" t="s">
        <v>90</v>
      </c>
      <c r="F188" s="1">
        <v>45512</v>
      </c>
      <c r="G188" s="1">
        <v>45522</v>
      </c>
      <c r="H188">
        <v>41</v>
      </c>
      <c r="I188" t="s">
        <v>33</v>
      </c>
      <c r="J188" t="s">
        <v>16</v>
      </c>
      <c r="K188">
        <v>85346</v>
      </c>
    </row>
    <row r="189" spans="1:11" x14ac:dyDescent="0.35">
      <c r="A189" t="s">
        <v>236</v>
      </c>
      <c r="B189">
        <v>55</v>
      </c>
      <c r="C189" t="s">
        <v>18</v>
      </c>
      <c r="D189" t="s">
        <v>31</v>
      </c>
      <c r="E189" t="s">
        <v>63</v>
      </c>
      <c r="F189" s="1">
        <v>45520</v>
      </c>
      <c r="G189" s="1">
        <v>45530</v>
      </c>
      <c r="H189">
        <v>229</v>
      </c>
      <c r="I189" t="s">
        <v>15</v>
      </c>
      <c r="J189" t="s">
        <v>16</v>
      </c>
      <c r="K189">
        <v>166179</v>
      </c>
    </row>
    <row r="190" spans="1:11" x14ac:dyDescent="0.35">
      <c r="A190" t="s">
        <v>237</v>
      </c>
      <c r="B190">
        <v>82</v>
      </c>
      <c r="C190" t="s">
        <v>18</v>
      </c>
      <c r="D190" t="s">
        <v>24</v>
      </c>
      <c r="E190" t="s">
        <v>54</v>
      </c>
      <c r="F190" s="1">
        <v>45514</v>
      </c>
      <c r="G190" s="1">
        <v>45519</v>
      </c>
      <c r="H190">
        <v>208</v>
      </c>
      <c r="I190" t="s">
        <v>33</v>
      </c>
      <c r="J190" t="s">
        <v>16</v>
      </c>
      <c r="K190">
        <v>13163</v>
      </c>
    </row>
    <row r="191" spans="1:11" x14ac:dyDescent="0.35">
      <c r="A191" t="s">
        <v>238</v>
      </c>
      <c r="B191">
        <v>78</v>
      </c>
      <c r="C191" t="s">
        <v>12</v>
      </c>
      <c r="D191" t="s">
        <v>24</v>
      </c>
      <c r="E191" t="s">
        <v>106</v>
      </c>
      <c r="F191" s="1">
        <v>45365</v>
      </c>
      <c r="G191" s="1">
        <v>45379</v>
      </c>
      <c r="H191">
        <v>35</v>
      </c>
      <c r="I191" t="s">
        <v>36</v>
      </c>
      <c r="J191" t="s">
        <v>16</v>
      </c>
      <c r="K191">
        <v>99935</v>
      </c>
    </row>
    <row r="192" spans="1:11" x14ac:dyDescent="0.35">
      <c r="A192" t="s">
        <v>239</v>
      </c>
      <c r="B192">
        <v>5</v>
      </c>
      <c r="C192" t="s">
        <v>18</v>
      </c>
      <c r="D192" t="s">
        <v>31</v>
      </c>
      <c r="E192" t="s">
        <v>63</v>
      </c>
      <c r="F192" s="1">
        <v>45488</v>
      </c>
      <c r="G192" s="1">
        <v>45498</v>
      </c>
      <c r="H192">
        <v>191</v>
      </c>
      <c r="I192" t="s">
        <v>46</v>
      </c>
      <c r="J192" t="s">
        <v>16</v>
      </c>
      <c r="K192">
        <v>155450</v>
      </c>
    </row>
    <row r="193" spans="1:11" x14ac:dyDescent="0.35">
      <c r="A193" t="s">
        <v>240</v>
      </c>
      <c r="B193">
        <v>47</v>
      </c>
      <c r="C193" t="s">
        <v>12</v>
      </c>
      <c r="D193" t="s">
        <v>38</v>
      </c>
      <c r="E193" t="s">
        <v>68</v>
      </c>
      <c r="F193" s="1">
        <v>45362</v>
      </c>
      <c r="G193" s="1">
        <v>45371</v>
      </c>
      <c r="H193">
        <v>143</v>
      </c>
      <c r="I193" t="s">
        <v>36</v>
      </c>
      <c r="J193" t="s">
        <v>16</v>
      </c>
      <c r="K193">
        <v>11793</v>
      </c>
    </row>
    <row r="194" spans="1:11" x14ac:dyDescent="0.35">
      <c r="A194" t="s">
        <v>241</v>
      </c>
      <c r="B194">
        <v>67</v>
      </c>
      <c r="C194" t="s">
        <v>12</v>
      </c>
      <c r="D194" t="s">
        <v>28</v>
      </c>
      <c r="E194" t="s">
        <v>90</v>
      </c>
      <c r="F194" s="1">
        <v>45387</v>
      </c>
      <c r="G194" s="1">
        <v>45395</v>
      </c>
      <c r="H194">
        <v>135</v>
      </c>
      <c r="I194" t="s">
        <v>33</v>
      </c>
      <c r="J194" t="s">
        <v>26</v>
      </c>
      <c r="K194">
        <v>61248</v>
      </c>
    </row>
    <row r="195" spans="1:11" x14ac:dyDescent="0.35">
      <c r="A195" t="s">
        <v>242</v>
      </c>
      <c r="B195">
        <v>89</v>
      </c>
      <c r="C195" t="s">
        <v>12</v>
      </c>
      <c r="D195" t="s">
        <v>13</v>
      </c>
      <c r="E195" t="s">
        <v>90</v>
      </c>
      <c r="F195" s="1">
        <v>45605</v>
      </c>
      <c r="G195" s="1">
        <v>45610</v>
      </c>
      <c r="H195">
        <v>70</v>
      </c>
      <c r="I195" t="s">
        <v>15</v>
      </c>
      <c r="J195" t="s">
        <v>26</v>
      </c>
      <c r="K195">
        <v>50260</v>
      </c>
    </row>
    <row r="196" spans="1:11" x14ac:dyDescent="0.35">
      <c r="A196" t="s">
        <v>243</v>
      </c>
      <c r="B196">
        <v>88</v>
      </c>
      <c r="C196" t="s">
        <v>12</v>
      </c>
      <c r="D196" t="s">
        <v>38</v>
      </c>
      <c r="E196" t="s">
        <v>40</v>
      </c>
      <c r="F196" s="1">
        <v>45519</v>
      </c>
      <c r="G196" s="1">
        <v>45521</v>
      </c>
      <c r="H196">
        <v>34</v>
      </c>
      <c r="I196" t="s">
        <v>33</v>
      </c>
      <c r="J196" t="s">
        <v>16</v>
      </c>
      <c r="K196">
        <v>46289</v>
      </c>
    </row>
    <row r="197" spans="1:11" x14ac:dyDescent="0.35">
      <c r="A197" t="s">
        <v>244</v>
      </c>
      <c r="B197">
        <v>90</v>
      </c>
      <c r="C197" t="s">
        <v>18</v>
      </c>
      <c r="D197" t="s">
        <v>38</v>
      </c>
      <c r="E197" t="s">
        <v>49</v>
      </c>
      <c r="F197" s="1">
        <v>45656</v>
      </c>
      <c r="G197" s="1">
        <v>45668</v>
      </c>
      <c r="H197">
        <v>115</v>
      </c>
      <c r="I197" t="s">
        <v>15</v>
      </c>
      <c r="J197" t="s">
        <v>16</v>
      </c>
      <c r="K197">
        <v>41405</v>
      </c>
    </row>
    <row r="198" spans="1:11" x14ac:dyDescent="0.35">
      <c r="A198" t="s">
        <v>245</v>
      </c>
      <c r="B198">
        <v>64</v>
      </c>
      <c r="C198" t="s">
        <v>18</v>
      </c>
      <c r="D198" t="s">
        <v>38</v>
      </c>
      <c r="E198" t="s">
        <v>61</v>
      </c>
      <c r="F198" s="1">
        <v>45413</v>
      </c>
      <c r="G198" s="1">
        <v>45426</v>
      </c>
      <c r="H198">
        <v>294</v>
      </c>
      <c r="I198" t="s">
        <v>33</v>
      </c>
      <c r="J198" t="s">
        <v>26</v>
      </c>
      <c r="K198">
        <v>149610</v>
      </c>
    </row>
    <row r="199" spans="1:11" x14ac:dyDescent="0.35">
      <c r="A199" t="s">
        <v>246</v>
      </c>
      <c r="B199">
        <v>12</v>
      </c>
      <c r="C199" t="s">
        <v>18</v>
      </c>
      <c r="D199" t="s">
        <v>38</v>
      </c>
      <c r="E199" t="s">
        <v>56</v>
      </c>
      <c r="F199" s="1">
        <v>45358</v>
      </c>
      <c r="G199" s="1">
        <v>45368</v>
      </c>
      <c r="H199">
        <v>246</v>
      </c>
      <c r="I199" t="s">
        <v>46</v>
      </c>
      <c r="J199" t="s">
        <v>26</v>
      </c>
      <c r="K199">
        <v>155706</v>
      </c>
    </row>
    <row r="200" spans="1:11" x14ac:dyDescent="0.35">
      <c r="A200" t="s">
        <v>247</v>
      </c>
      <c r="B200">
        <v>41</v>
      </c>
      <c r="C200" t="s">
        <v>18</v>
      </c>
      <c r="D200" t="s">
        <v>31</v>
      </c>
      <c r="E200" t="s">
        <v>20</v>
      </c>
      <c r="F200" s="1">
        <v>45329</v>
      </c>
      <c r="G200" s="1">
        <v>45332</v>
      </c>
      <c r="H200">
        <v>265</v>
      </c>
      <c r="I200" t="s">
        <v>33</v>
      </c>
      <c r="J200" t="s">
        <v>16</v>
      </c>
      <c r="K200">
        <v>149520</v>
      </c>
    </row>
    <row r="201" spans="1:11" x14ac:dyDescent="0.35">
      <c r="A201" t="s">
        <v>248</v>
      </c>
      <c r="B201">
        <v>24</v>
      </c>
      <c r="C201" t="s">
        <v>18</v>
      </c>
      <c r="D201" t="s">
        <v>31</v>
      </c>
      <c r="E201" t="s">
        <v>49</v>
      </c>
      <c r="F201" s="1">
        <v>45619</v>
      </c>
      <c r="G201" s="1">
        <v>45629</v>
      </c>
      <c r="H201">
        <v>29</v>
      </c>
      <c r="I201" t="s">
        <v>15</v>
      </c>
      <c r="J201" t="s">
        <v>16</v>
      </c>
      <c r="K201">
        <v>84724</v>
      </c>
    </row>
    <row r="202" spans="1:11" x14ac:dyDescent="0.35">
      <c r="A202" t="s">
        <v>249</v>
      </c>
      <c r="B202">
        <v>42</v>
      </c>
      <c r="C202" t="s">
        <v>18</v>
      </c>
      <c r="D202" t="s">
        <v>38</v>
      </c>
      <c r="E202" t="s">
        <v>49</v>
      </c>
      <c r="F202" s="1">
        <v>45376</v>
      </c>
      <c r="G202" s="1">
        <v>45379</v>
      </c>
      <c r="H202">
        <v>146</v>
      </c>
      <c r="I202" t="s">
        <v>15</v>
      </c>
      <c r="J202" t="s">
        <v>16</v>
      </c>
      <c r="K202">
        <v>56459</v>
      </c>
    </row>
    <row r="203" spans="1:11" x14ac:dyDescent="0.35">
      <c r="A203" t="s">
        <v>250</v>
      </c>
      <c r="B203">
        <v>36</v>
      </c>
      <c r="C203" t="s">
        <v>18</v>
      </c>
      <c r="D203" t="s">
        <v>38</v>
      </c>
      <c r="E203" t="s">
        <v>35</v>
      </c>
      <c r="F203" s="1">
        <v>45617</v>
      </c>
      <c r="G203" s="1">
        <v>45626</v>
      </c>
      <c r="H203">
        <v>274</v>
      </c>
      <c r="I203" t="s">
        <v>15</v>
      </c>
      <c r="J203" t="s">
        <v>16</v>
      </c>
      <c r="K203">
        <v>160139</v>
      </c>
    </row>
    <row r="204" spans="1:11" x14ac:dyDescent="0.35">
      <c r="A204" t="s">
        <v>251</v>
      </c>
      <c r="B204">
        <v>22</v>
      </c>
      <c r="C204" t="s">
        <v>12</v>
      </c>
      <c r="D204" t="s">
        <v>28</v>
      </c>
      <c r="E204" t="s">
        <v>52</v>
      </c>
      <c r="F204" s="1">
        <v>45589</v>
      </c>
      <c r="G204" s="1">
        <v>45592</v>
      </c>
      <c r="H204">
        <v>15</v>
      </c>
      <c r="I204" t="s">
        <v>15</v>
      </c>
      <c r="J204" t="s">
        <v>16</v>
      </c>
      <c r="K204">
        <v>173153</v>
      </c>
    </row>
    <row r="205" spans="1:11" x14ac:dyDescent="0.35">
      <c r="A205" t="s">
        <v>252</v>
      </c>
      <c r="B205">
        <v>84</v>
      </c>
      <c r="C205" t="s">
        <v>18</v>
      </c>
      <c r="D205" t="s">
        <v>28</v>
      </c>
      <c r="E205" t="s">
        <v>93</v>
      </c>
      <c r="F205" s="1">
        <v>45587</v>
      </c>
      <c r="G205" s="1">
        <v>45592</v>
      </c>
      <c r="H205">
        <v>16</v>
      </c>
      <c r="I205" t="s">
        <v>46</v>
      </c>
      <c r="J205" t="s">
        <v>16</v>
      </c>
      <c r="K205">
        <v>173272</v>
      </c>
    </row>
    <row r="206" spans="1:11" x14ac:dyDescent="0.35">
      <c r="A206" t="s">
        <v>253</v>
      </c>
      <c r="B206">
        <v>32</v>
      </c>
      <c r="C206" t="s">
        <v>12</v>
      </c>
      <c r="D206" t="s">
        <v>38</v>
      </c>
      <c r="E206" t="s">
        <v>20</v>
      </c>
      <c r="F206" s="1">
        <v>45446</v>
      </c>
      <c r="G206" s="1">
        <v>45454</v>
      </c>
      <c r="H206">
        <v>38</v>
      </c>
      <c r="I206" t="s">
        <v>15</v>
      </c>
      <c r="J206" t="s">
        <v>16</v>
      </c>
      <c r="K206">
        <v>120239</v>
      </c>
    </row>
    <row r="207" spans="1:11" x14ac:dyDescent="0.35">
      <c r="A207" t="s">
        <v>254</v>
      </c>
      <c r="B207">
        <v>60</v>
      </c>
      <c r="C207" t="s">
        <v>18</v>
      </c>
      <c r="D207" t="s">
        <v>38</v>
      </c>
      <c r="E207" t="s">
        <v>35</v>
      </c>
      <c r="F207" s="1">
        <v>45504</v>
      </c>
      <c r="G207" s="1">
        <v>45512</v>
      </c>
      <c r="H207">
        <v>74</v>
      </c>
      <c r="I207" t="s">
        <v>33</v>
      </c>
      <c r="J207" t="s">
        <v>16</v>
      </c>
      <c r="K207">
        <v>197466</v>
      </c>
    </row>
    <row r="208" spans="1:11" x14ac:dyDescent="0.35">
      <c r="A208" t="s">
        <v>255</v>
      </c>
      <c r="B208">
        <v>17</v>
      </c>
      <c r="C208" t="s">
        <v>12</v>
      </c>
      <c r="D208" t="s">
        <v>28</v>
      </c>
      <c r="E208" t="s">
        <v>61</v>
      </c>
      <c r="F208" s="1">
        <v>45468</v>
      </c>
      <c r="G208" s="1">
        <v>45475</v>
      </c>
      <c r="H208">
        <v>55</v>
      </c>
      <c r="I208" t="s">
        <v>33</v>
      </c>
      <c r="J208" t="s">
        <v>16</v>
      </c>
      <c r="K208">
        <v>127282</v>
      </c>
    </row>
    <row r="209" spans="1:11" x14ac:dyDescent="0.35">
      <c r="A209" t="s">
        <v>256</v>
      </c>
      <c r="B209">
        <v>58</v>
      </c>
      <c r="C209" t="s">
        <v>18</v>
      </c>
      <c r="D209" t="s">
        <v>13</v>
      </c>
      <c r="E209" t="s">
        <v>90</v>
      </c>
      <c r="F209" s="1">
        <v>45354</v>
      </c>
      <c r="G209" s="1">
        <v>45359</v>
      </c>
      <c r="H209">
        <v>26</v>
      </c>
      <c r="I209" t="s">
        <v>33</v>
      </c>
      <c r="J209" t="s">
        <v>26</v>
      </c>
      <c r="K209">
        <v>166317</v>
      </c>
    </row>
    <row r="210" spans="1:11" x14ac:dyDescent="0.35">
      <c r="A210" t="s">
        <v>257</v>
      </c>
      <c r="B210">
        <v>21</v>
      </c>
      <c r="C210" t="s">
        <v>12</v>
      </c>
      <c r="D210" t="s">
        <v>28</v>
      </c>
      <c r="E210" t="s">
        <v>25</v>
      </c>
      <c r="F210" s="1">
        <v>45506</v>
      </c>
      <c r="G210" s="1">
        <v>45510</v>
      </c>
      <c r="H210">
        <v>161</v>
      </c>
      <c r="I210" t="s">
        <v>36</v>
      </c>
      <c r="J210" t="s">
        <v>16</v>
      </c>
      <c r="K210">
        <v>135617</v>
      </c>
    </row>
    <row r="211" spans="1:11" x14ac:dyDescent="0.35">
      <c r="A211" t="s">
        <v>258</v>
      </c>
      <c r="B211">
        <v>64</v>
      </c>
      <c r="C211" t="s">
        <v>12</v>
      </c>
      <c r="D211" t="s">
        <v>31</v>
      </c>
      <c r="E211" t="s">
        <v>80</v>
      </c>
      <c r="F211" s="1">
        <v>45555</v>
      </c>
      <c r="G211" s="1">
        <v>45563</v>
      </c>
      <c r="H211">
        <v>47</v>
      </c>
      <c r="I211" t="s">
        <v>46</v>
      </c>
      <c r="J211" t="s">
        <v>26</v>
      </c>
      <c r="K211">
        <v>68105</v>
      </c>
    </row>
    <row r="212" spans="1:11" x14ac:dyDescent="0.35">
      <c r="A212" t="s">
        <v>259</v>
      </c>
      <c r="B212">
        <v>46</v>
      </c>
      <c r="C212" t="s">
        <v>18</v>
      </c>
      <c r="D212" t="s">
        <v>24</v>
      </c>
      <c r="E212" t="s">
        <v>83</v>
      </c>
      <c r="F212" s="1">
        <v>45402</v>
      </c>
      <c r="G212" s="1">
        <v>45412</v>
      </c>
      <c r="H212">
        <v>254</v>
      </c>
      <c r="I212" t="s">
        <v>46</v>
      </c>
      <c r="J212" t="s">
        <v>16</v>
      </c>
      <c r="K212">
        <v>145690</v>
      </c>
    </row>
    <row r="213" spans="1:11" x14ac:dyDescent="0.35">
      <c r="A213" t="s">
        <v>260</v>
      </c>
      <c r="B213">
        <v>14</v>
      </c>
      <c r="C213" t="s">
        <v>12</v>
      </c>
      <c r="D213" t="s">
        <v>13</v>
      </c>
      <c r="E213" t="s">
        <v>32</v>
      </c>
      <c r="F213" s="1">
        <v>45296</v>
      </c>
      <c r="G213" s="1">
        <v>45310</v>
      </c>
      <c r="H213">
        <v>188</v>
      </c>
      <c r="I213" t="s">
        <v>46</v>
      </c>
      <c r="J213" t="s">
        <v>16</v>
      </c>
      <c r="K213">
        <v>16860</v>
      </c>
    </row>
    <row r="214" spans="1:11" x14ac:dyDescent="0.35">
      <c r="A214" t="s">
        <v>261</v>
      </c>
      <c r="B214">
        <v>73</v>
      </c>
      <c r="C214" t="s">
        <v>18</v>
      </c>
      <c r="D214" t="s">
        <v>38</v>
      </c>
      <c r="E214" t="s">
        <v>61</v>
      </c>
      <c r="F214" s="1">
        <v>45497</v>
      </c>
      <c r="G214" s="1">
        <v>45498</v>
      </c>
      <c r="H214">
        <v>148</v>
      </c>
      <c r="I214" t="s">
        <v>15</v>
      </c>
      <c r="J214" t="s">
        <v>26</v>
      </c>
      <c r="K214">
        <v>137187</v>
      </c>
    </row>
    <row r="215" spans="1:11" x14ac:dyDescent="0.35">
      <c r="A215" t="s">
        <v>262</v>
      </c>
      <c r="B215">
        <v>71</v>
      </c>
      <c r="C215" t="s">
        <v>12</v>
      </c>
      <c r="D215" t="s">
        <v>28</v>
      </c>
      <c r="E215" t="s">
        <v>54</v>
      </c>
      <c r="F215" s="1">
        <v>45522</v>
      </c>
      <c r="G215" s="1">
        <v>45535</v>
      </c>
      <c r="H215">
        <v>61</v>
      </c>
      <c r="I215" t="s">
        <v>36</v>
      </c>
      <c r="J215" t="s">
        <v>16</v>
      </c>
      <c r="K215">
        <v>108259</v>
      </c>
    </row>
    <row r="216" spans="1:11" x14ac:dyDescent="0.35">
      <c r="A216" t="s">
        <v>263</v>
      </c>
      <c r="B216">
        <v>44</v>
      </c>
      <c r="C216" t="s">
        <v>12</v>
      </c>
      <c r="D216" t="s">
        <v>13</v>
      </c>
      <c r="E216" t="s">
        <v>29</v>
      </c>
      <c r="F216" s="1">
        <v>45483</v>
      </c>
      <c r="G216" s="1">
        <v>45496</v>
      </c>
      <c r="H216">
        <v>261</v>
      </c>
      <c r="I216" t="s">
        <v>46</v>
      </c>
      <c r="J216" t="s">
        <v>16</v>
      </c>
      <c r="K216">
        <v>16876</v>
      </c>
    </row>
    <row r="217" spans="1:11" x14ac:dyDescent="0.35">
      <c r="A217" t="s">
        <v>264</v>
      </c>
      <c r="B217">
        <v>43</v>
      </c>
      <c r="C217" t="s">
        <v>12</v>
      </c>
      <c r="D217" t="s">
        <v>28</v>
      </c>
      <c r="E217" t="s">
        <v>20</v>
      </c>
      <c r="F217" s="1">
        <v>45311</v>
      </c>
      <c r="G217" s="1">
        <v>45314</v>
      </c>
      <c r="H217">
        <v>77</v>
      </c>
      <c r="I217" t="s">
        <v>36</v>
      </c>
      <c r="J217" t="s">
        <v>16</v>
      </c>
      <c r="K217">
        <v>165712</v>
      </c>
    </row>
    <row r="218" spans="1:11" x14ac:dyDescent="0.35">
      <c r="A218" t="s">
        <v>265</v>
      </c>
      <c r="B218">
        <v>51</v>
      </c>
      <c r="C218" t="s">
        <v>12</v>
      </c>
      <c r="D218" t="s">
        <v>28</v>
      </c>
      <c r="E218" t="s">
        <v>95</v>
      </c>
      <c r="F218" s="1">
        <v>45455</v>
      </c>
      <c r="G218" s="1">
        <v>45458</v>
      </c>
      <c r="H218">
        <v>260</v>
      </c>
      <c r="I218" t="s">
        <v>46</v>
      </c>
      <c r="J218" t="s">
        <v>16</v>
      </c>
      <c r="K218">
        <v>129490</v>
      </c>
    </row>
    <row r="219" spans="1:11" x14ac:dyDescent="0.35">
      <c r="A219" t="s">
        <v>266</v>
      </c>
      <c r="B219">
        <v>43</v>
      </c>
      <c r="C219" t="s">
        <v>18</v>
      </c>
      <c r="D219" t="s">
        <v>31</v>
      </c>
      <c r="E219" t="s">
        <v>58</v>
      </c>
      <c r="F219" s="1">
        <v>45300</v>
      </c>
      <c r="G219" s="1">
        <v>45306</v>
      </c>
      <c r="H219">
        <v>158</v>
      </c>
      <c r="I219" t="s">
        <v>15</v>
      </c>
      <c r="J219" t="s">
        <v>26</v>
      </c>
      <c r="K219">
        <v>74607</v>
      </c>
    </row>
    <row r="220" spans="1:11" x14ac:dyDescent="0.35">
      <c r="A220" t="s">
        <v>267</v>
      </c>
      <c r="B220">
        <v>75</v>
      </c>
      <c r="C220" t="s">
        <v>18</v>
      </c>
      <c r="D220" t="s">
        <v>24</v>
      </c>
      <c r="E220" t="s">
        <v>58</v>
      </c>
      <c r="F220" s="1">
        <v>45627</v>
      </c>
      <c r="G220" s="1">
        <v>45640</v>
      </c>
      <c r="H220">
        <v>246</v>
      </c>
      <c r="I220" t="s">
        <v>36</v>
      </c>
      <c r="J220" t="s">
        <v>26</v>
      </c>
      <c r="K220">
        <v>43738</v>
      </c>
    </row>
    <row r="221" spans="1:11" x14ac:dyDescent="0.35">
      <c r="A221" t="s">
        <v>268</v>
      </c>
      <c r="B221">
        <v>5</v>
      </c>
      <c r="C221" t="s">
        <v>18</v>
      </c>
      <c r="D221" t="s">
        <v>13</v>
      </c>
      <c r="E221" t="s">
        <v>80</v>
      </c>
      <c r="F221" s="1">
        <v>45640</v>
      </c>
      <c r="G221" s="1">
        <v>45644</v>
      </c>
      <c r="H221">
        <v>226</v>
      </c>
      <c r="I221" t="s">
        <v>33</v>
      </c>
      <c r="J221" t="s">
        <v>26</v>
      </c>
      <c r="K221">
        <v>44696</v>
      </c>
    </row>
    <row r="222" spans="1:11" x14ac:dyDescent="0.35">
      <c r="A222" t="s">
        <v>269</v>
      </c>
      <c r="B222">
        <v>27</v>
      </c>
      <c r="C222" t="s">
        <v>12</v>
      </c>
      <c r="D222" t="s">
        <v>28</v>
      </c>
      <c r="E222" t="s">
        <v>22</v>
      </c>
      <c r="F222" s="1">
        <v>45503</v>
      </c>
      <c r="G222" s="1">
        <v>45515</v>
      </c>
      <c r="H222">
        <v>242</v>
      </c>
      <c r="I222" t="s">
        <v>15</v>
      </c>
      <c r="J222" t="s">
        <v>16</v>
      </c>
      <c r="K222">
        <v>140969</v>
      </c>
    </row>
    <row r="223" spans="1:11" x14ac:dyDescent="0.35">
      <c r="A223" t="s">
        <v>270</v>
      </c>
      <c r="B223">
        <v>42</v>
      </c>
      <c r="C223" t="s">
        <v>12</v>
      </c>
      <c r="D223" t="s">
        <v>28</v>
      </c>
      <c r="E223" t="s">
        <v>56</v>
      </c>
      <c r="F223" s="1">
        <v>45398</v>
      </c>
      <c r="G223" s="1">
        <v>45407</v>
      </c>
      <c r="H223">
        <v>161</v>
      </c>
      <c r="I223" t="s">
        <v>36</v>
      </c>
      <c r="J223" t="s">
        <v>26</v>
      </c>
      <c r="K223">
        <v>144756</v>
      </c>
    </row>
    <row r="224" spans="1:11" x14ac:dyDescent="0.35">
      <c r="A224" t="s">
        <v>271</v>
      </c>
      <c r="B224">
        <v>46</v>
      </c>
      <c r="C224" t="s">
        <v>12</v>
      </c>
      <c r="D224" t="s">
        <v>28</v>
      </c>
      <c r="E224" t="s">
        <v>43</v>
      </c>
      <c r="F224" s="1">
        <v>45467</v>
      </c>
      <c r="G224" s="1">
        <v>45476</v>
      </c>
      <c r="H224">
        <v>99</v>
      </c>
      <c r="I224" t="s">
        <v>36</v>
      </c>
      <c r="J224" t="s">
        <v>16</v>
      </c>
      <c r="K224">
        <v>151299</v>
      </c>
    </row>
    <row r="225" spans="1:11" x14ac:dyDescent="0.35">
      <c r="A225" t="s">
        <v>272</v>
      </c>
      <c r="B225">
        <v>39</v>
      </c>
      <c r="C225" t="s">
        <v>12</v>
      </c>
      <c r="D225" t="s">
        <v>13</v>
      </c>
      <c r="E225" t="s">
        <v>40</v>
      </c>
      <c r="F225" s="1">
        <v>45444</v>
      </c>
      <c r="G225" s="1">
        <v>45448</v>
      </c>
      <c r="H225">
        <v>251</v>
      </c>
      <c r="I225" t="s">
        <v>33</v>
      </c>
      <c r="J225" t="s">
        <v>26</v>
      </c>
      <c r="K225">
        <v>96436</v>
      </c>
    </row>
    <row r="226" spans="1:11" x14ac:dyDescent="0.35">
      <c r="A226" t="s">
        <v>273</v>
      </c>
      <c r="B226">
        <v>36</v>
      </c>
      <c r="C226" t="s">
        <v>12</v>
      </c>
      <c r="D226" t="s">
        <v>24</v>
      </c>
      <c r="E226" t="s">
        <v>58</v>
      </c>
      <c r="F226" s="1">
        <v>45578</v>
      </c>
      <c r="G226" s="1">
        <v>45593</v>
      </c>
      <c r="H226">
        <v>279</v>
      </c>
      <c r="I226" t="s">
        <v>46</v>
      </c>
      <c r="J226" t="s">
        <v>26</v>
      </c>
      <c r="K226">
        <v>95474</v>
      </c>
    </row>
    <row r="227" spans="1:11" x14ac:dyDescent="0.35">
      <c r="A227" t="s">
        <v>274</v>
      </c>
      <c r="B227">
        <v>6</v>
      </c>
      <c r="C227" t="s">
        <v>12</v>
      </c>
      <c r="D227" t="s">
        <v>24</v>
      </c>
      <c r="E227" t="s">
        <v>63</v>
      </c>
      <c r="F227" s="1">
        <v>45366</v>
      </c>
      <c r="G227" s="1">
        <v>45371</v>
      </c>
      <c r="H227">
        <v>227</v>
      </c>
      <c r="I227" t="s">
        <v>33</v>
      </c>
      <c r="J227" t="s">
        <v>26</v>
      </c>
      <c r="K227">
        <v>61095</v>
      </c>
    </row>
    <row r="228" spans="1:11" x14ac:dyDescent="0.35">
      <c r="A228" t="s">
        <v>275</v>
      </c>
      <c r="B228">
        <v>69</v>
      </c>
      <c r="C228" t="s">
        <v>12</v>
      </c>
      <c r="D228" t="s">
        <v>28</v>
      </c>
      <c r="E228" t="s">
        <v>40</v>
      </c>
      <c r="F228" s="1">
        <v>45395</v>
      </c>
      <c r="G228" s="1">
        <v>45409</v>
      </c>
      <c r="H228">
        <v>140</v>
      </c>
      <c r="I228" t="s">
        <v>36</v>
      </c>
      <c r="J228" t="s">
        <v>16</v>
      </c>
      <c r="K228">
        <v>166396</v>
      </c>
    </row>
    <row r="229" spans="1:11" x14ac:dyDescent="0.35">
      <c r="A229" t="s">
        <v>276</v>
      </c>
      <c r="B229">
        <v>32</v>
      </c>
      <c r="C229" t="s">
        <v>18</v>
      </c>
      <c r="D229" t="s">
        <v>28</v>
      </c>
      <c r="E229" t="s">
        <v>14</v>
      </c>
      <c r="F229" s="1">
        <v>45592</v>
      </c>
      <c r="G229" s="1">
        <v>45596</v>
      </c>
      <c r="H229">
        <v>120</v>
      </c>
      <c r="I229" t="s">
        <v>15</v>
      </c>
      <c r="J229" t="s">
        <v>16</v>
      </c>
      <c r="K229">
        <v>113344</v>
      </c>
    </row>
    <row r="230" spans="1:11" x14ac:dyDescent="0.35">
      <c r="A230" t="s">
        <v>277</v>
      </c>
      <c r="B230">
        <v>61</v>
      </c>
      <c r="C230" t="s">
        <v>18</v>
      </c>
      <c r="D230" t="s">
        <v>13</v>
      </c>
      <c r="E230" t="s">
        <v>80</v>
      </c>
      <c r="F230" s="1">
        <v>45461</v>
      </c>
      <c r="G230" s="1">
        <v>45473</v>
      </c>
      <c r="H230">
        <v>282</v>
      </c>
      <c r="I230" t="s">
        <v>36</v>
      </c>
      <c r="J230" t="s">
        <v>26</v>
      </c>
      <c r="K230">
        <v>176151</v>
      </c>
    </row>
    <row r="231" spans="1:11" x14ac:dyDescent="0.35">
      <c r="A231" t="s">
        <v>278</v>
      </c>
      <c r="B231">
        <v>84</v>
      </c>
      <c r="C231" t="s">
        <v>18</v>
      </c>
      <c r="D231" t="s">
        <v>38</v>
      </c>
      <c r="E231" t="s">
        <v>95</v>
      </c>
      <c r="F231" s="1">
        <v>45535</v>
      </c>
      <c r="G231" s="1">
        <v>45543</v>
      </c>
      <c r="H231">
        <v>147</v>
      </c>
      <c r="I231" t="s">
        <v>15</v>
      </c>
      <c r="J231" t="s">
        <v>16</v>
      </c>
      <c r="K231">
        <v>175996</v>
      </c>
    </row>
    <row r="232" spans="1:11" x14ac:dyDescent="0.35">
      <c r="A232" t="s">
        <v>279</v>
      </c>
      <c r="B232">
        <v>69</v>
      </c>
      <c r="C232" t="s">
        <v>18</v>
      </c>
      <c r="D232" t="s">
        <v>13</v>
      </c>
      <c r="E232" t="s">
        <v>93</v>
      </c>
      <c r="F232" s="1">
        <v>45585</v>
      </c>
      <c r="G232" s="1">
        <v>45589</v>
      </c>
      <c r="H232">
        <v>91</v>
      </c>
      <c r="I232" t="s">
        <v>15</v>
      </c>
      <c r="J232" t="s">
        <v>26</v>
      </c>
      <c r="K232">
        <v>134861</v>
      </c>
    </row>
    <row r="233" spans="1:11" x14ac:dyDescent="0.35">
      <c r="A233" t="s">
        <v>280</v>
      </c>
      <c r="B233">
        <v>38</v>
      </c>
      <c r="C233" t="s">
        <v>18</v>
      </c>
      <c r="D233" t="s">
        <v>24</v>
      </c>
      <c r="E233" t="s">
        <v>83</v>
      </c>
      <c r="F233" s="1">
        <v>45387</v>
      </c>
      <c r="G233" s="1">
        <v>45402</v>
      </c>
      <c r="H233">
        <v>291</v>
      </c>
      <c r="I233" t="s">
        <v>15</v>
      </c>
      <c r="J233" t="s">
        <v>16</v>
      </c>
      <c r="K233">
        <v>79596</v>
      </c>
    </row>
    <row r="234" spans="1:11" x14ac:dyDescent="0.35">
      <c r="A234" t="s">
        <v>281</v>
      </c>
      <c r="B234">
        <v>70</v>
      </c>
      <c r="C234" t="s">
        <v>12</v>
      </c>
      <c r="D234" t="s">
        <v>13</v>
      </c>
      <c r="E234" t="s">
        <v>49</v>
      </c>
      <c r="F234" s="1">
        <v>45524</v>
      </c>
      <c r="G234" s="1">
        <v>45535</v>
      </c>
      <c r="H234">
        <v>240</v>
      </c>
      <c r="I234" t="s">
        <v>33</v>
      </c>
      <c r="J234" t="s">
        <v>16</v>
      </c>
      <c r="K234">
        <v>34529</v>
      </c>
    </row>
    <row r="235" spans="1:11" x14ac:dyDescent="0.35">
      <c r="A235" t="s">
        <v>282</v>
      </c>
      <c r="B235">
        <v>59</v>
      </c>
      <c r="C235" t="s">
        <v>12</v>
      </c>
      <c r="D235" t="s">
        <v>13</v>
      </c>
      <c r="E235" t="s">
        <v>80</v>
      </c>
      <c r="F235" s="1">
        <v>45461</v>
      </c>
      <c r="G235" s="1">
        <v>45464</v>
      </c>
      <c r="H235">
        <v>173</v>
      </c>
      <c r="I235" t="s">
        <v>33</v>
      </c>
      <c r="J235" t="s">
        <v>16</v>
      </c>
      <c r="K235">
        <v>51004</v>
      </c>
    </row>
    <row r="236" spans="1:11" x14ac:dyDescent="0.35">
      <c r="A236" t="s">
        <v>283</v>
      </c>
      <c r="B236">
        <v>82</v>
      </c>
      <c r="C236" t="s">
        <v>12</v>
      </c>
      <c r="D236" t="s">
        <v>31</v>
      </c>
      <c r="E236" t="s">
        <v>49</v>
      </c>
      <c r="F236" s="1">
        <v>45604</v>
      </c>
      <c r="G236" s="1">
        <v>45618</v>
      </c>
      <c r="H236">
        <v>168</v>
      </c>
      <c r="I236" t="s">
        <v>15</v>
      </c>
      <c r="J236" t="s">
        <v>26</v>
      </c>
      <c r="K236">
        <v>180441</v>
      </c>
    </row>
    <row r="237" spans="1:11" x14ac:dyDescent="0.35">
      <c r="A237" t="s">
        <v>284</v>
      </c>
      <c r="B237">
        <v>18</v>
      </c>
      <c r="C237" t="s">
        <v>12</v>
      </c>
      <c r="D237" t="s">
        <v>38</v>
      </c>
      <c r="E237" t="s">
        <v>14</v>
      </c>
      <c r="F237" s="1">
        <v>45340</v>
      </c>
      <c r="G237" s="1">
        <v>45343</v>
      </c>
      <c r="H237">
        <v>4</v>
      </c>
      <c r="I237" t="s">
        <v>33</v>
      </c>
      <c r="J237" t="s">
        <v>26</v>
      </c>
      <c r="K237">
        <v>66740</v>
      </c>
    </row>
    <row r="238" spans="1:11" x14ac:dyDescent="0.35">
      <c r="A238" t="s">
        <v>285</v>
      </c>
      <c r="B238">
        <v>35</v>
      </c>
      <c r="C238" t="s">
        <v>12</v>
      </c>
      <c r="D238" t="s">
        <v>38</v>
      </c>
      <c r="E238" t="s">
        <v>58</v>
      </c>
      <c r="F238" s="1">
        <v>45520</v>
      </c>
      <c r="G238" s="1">
        <v>45533</v>
      </c>
      <c r="H238">
        <v>294</v>
      </c>
      <c r="I238" t="s">
        <v>15</v>
      </c>
      <c r="J238" t="s">
        <v>16</v>
      </c>
      <c r="K238">
        <v>176359</v>
      </c>
    </row>
    <row r="239" spans="1:11" x14ac:dyDescent="0.35">
      <c r="A239" t="s">
        <v>286</v>
      </c>
      <c r="B239">
        <v>31</v>
      </c>
      <c r="C239" t="s">
        <v>18</v>
      </c>
      <c r="D239" t="s">
        <v>24</v>
      </c>
      <c r="E239" t="s">
        <v>20</v>
      </c>
      <c r="F239" s="1">
        <v>45476</v>
      </c>
      <c r="G239" s="1">
        <v>45488</v>
      </c>
      <c r="H239">
        <v>158</v>
      </c>
      <c r="I239" t="s">
        <v>36</v>
      </c>
      <c r="J239" t="s">
        <v>26</v>
      </c>
      <c r="K239">
        <v>184850</v>
      </c>
    </row>
    <row r="240" spans="1:11" x14ac:dyDescent="0.35">
      <c r="A240" t="s">
        <v>287</v>
      </c>
      <c r="B240">
        <v>40</v>
      </c>
      <c r="C240" t="s">
        <v>18</v>
      </c>
      <c r="D240" t="s">
        <v>38</v>
      </c>
      <c r="E240" t="s">
        <v>63</v>
      </c>
      <c r="F240" s="1">
        <v>45549</v>
      </c>
      <c r="G240" s="1">
        <v>45564</v>
      </c>
      <c r="H240">
        <v>114</v>
      </c>
      <c r="I240" t="s">
        <v>36</v>
      </c>
      <c r="J240" t="s">
        <v>16</v>
      </c>
      <c r="K240">
        <v>130352</v>
      </c>
    </row>
    <row r="241" spans="1:11" x14ac:dyDescent="0.35">
      <c r="A241" t="s">
        <v>288</v>
      </c>
      <c r="B241">
        <v>78</v>
      </c>
      <c r="C241" t="s">
        <v>12</v>
      </c>
      <c r="D241" t="s">
        <v>31</v>
      </c>
      <c r="E241" t="s">
        <v>40</v>
      </c>
      <c r="F241" s="1">
        <v>45370</v>
      </c>
      <c r="G241" s="1">
        <v>45378</v>
      </c>
      <c r="H241">
        <v>282</v>
      </c>
      <c r="I241" t="s">
        <v>46</v>
      </c>
      <c r="J241" t="s">
        <v>16</v>
      </c>
      <c r="K241">
        <v>69871</v>
      </c>
    </row>
    <row r="242" spans="1:11" x14ac:dyDescent="0.35">
      <c r="A242" t="s">
        <v>289</v>
      </c>
      <c r="B242">
        <v>77</v>
      </c>
      <c r="C242" t="s">
        <v>18</v>
      </c>
      <c r="D242" t="s">
        <v>28</v>
      </c>
      <c r="E242" t="s">
        <v>20</v>
      </c>
      <c r="F242" s="1">
        <v>45640</v>
      </c>
      <c r="G242" s="1">
        <v>45653</v>
      </c>
      <c r="H242">
        <v>271</v>
      </c>
      <c r="I242" t="s">
        <v>33</v>
      </c>
      <c r="J242" t="s">
        <v>16</v>
      </c>
      <c r="K242">
        <v>152893</v>
      </c>
    </row>
    <row r="243" spans="1:11" x14ac:dyDescent="0.35">
      <c r="A243" t="s">
        <v>290</v>
      </c>
      <c r="B243">
        <v>71</v>
      </c>
      <c r="C243" t="s">
        <v>18</v>
      </c>
      <c r="D243" t="s">
        <v>28</v>
      </c>
      <c r="E243" t="s">
        <v>61</v>
      </c>
      <c r="F243" s="1">
        <v>45349</v>
      </c>
      <c r="G243" s="1">
        <v>45350</v>
      </c>
      <c r="H243">
        <v>77</v>
      </c>
      <c r="I243" t="s">
        <v>36</v>
      </c>
      <c r="J243" t="s">
        <v>16</v>
      </c>
      <c r="K243">
        <v>141404</v>
      </c>
    </row>
    <row r="244" spans="1:11" x14ac:dyDescent="0.35">
      <c r="A244" t="s">
        <v>291</v>
      </c>
      <c r="B244">
        <v>88</v>
      </c>
      <c r="C244" t="s">
        <v>18</v>
      </c>
      <c r="D244" t="s">
        <v>28</v>
      </c>
      <c r="E244" t="s">
        <v>43</v>
      </c>
      <c r="F244" s="1">
        <v>45518</v>
      </c>
      <c r="G244" s="1">
        <v>45520</v>
      </c>
      <c r="H244">
        <v>47</v>
      </c>
      <c r="I244" t="s">
        <v>46</v>
      </c>
      <c r="J244" t="s">
        <v>16</v>
      </c>
      <c r="K244">
        <v>123864</v>
      </c>
    </row>
    <row r="245" spans="1:11" x14ac:dyDescent="0.35">
      <c r="A245" t="s">
        <v>292</v>
      </c>
      <c r="B245">
        <v>54</v>
      </c>
      <c r="C245" t="s">
        <v>12</v>
      </c>
      <c r="D245" t="s">
        <v>28</v>
      </c>
      <c r="E245" t="s">
        <v>52</v>
      </c>
      <c r="F245" s="1">
        <v>45359</v>
      </c>
      <c r="G245" s="1">
        <v>45368</v>
      </c>
      <c r="H245">
        <v>287</v>
      </c>
      <c r="I245" t="s">
        <v>46</v>
      </c>
      <c r="J245" t="s">
        <v>16</v>
      </c>
      <c r="K245">
        <v>194603</v>
      </c>
    </row>
    <row r="246" spans="1:11" x14ac:dyDescent="0.35">
      <c r="A246" t="s">
        <v>293</v>
      </c>
      <c r="B246">
        <v>33</v>
      </c>
      <c r="C246" t="s">
        <v>18</v>
      </c>
      <c r="D246" t="s">
        <v>13</v>
      </c>
      <c r="E246" t="s">
        <v>58</v>
      </c>
      <c r="F246" s="1">
        <v>45303</v>
      </c>
      <c r="G246" s="1">
        <v>45310</v>
      </c>
      <c r="H246">
        <v>38</v>
      </c>
      <c r="I246" t="s">
        <v>15</v>
      </c>
      <c r="J246" t="s">
        <v>26</v>
      </c>
      <c r="K246">
        <v>95316</v>
      </c>
    </row>
    <row r="247" spans="1:11" x14ac:dyDescent="0.35">
      <c r="A247" t="s">
        <v>294</v>
      </c>
      <c r="B247">
        <v>70</v>
      </c>
      <c r="C247" t="s">
        <v>18</v>
      </c>
      <c r="D247" t="s">
        <v>24</v>
      </c>
      <c r="E247" t="s">
        <v>43</v>
      </c>
      <c r="F247" s="1">
        <v>45650</v>
      </c>
      <c r="G247" s="1">
        <v>45652</v>
      </c>
      <c r="H247">
        <v>17</v>
      </c>
      <c r="I247" t="s">
        <v>33</v>
      </c>
      <c r="J247" t="s">
        <v>26</v>
      </c>
      <c r="K247">
        <v>52181</v>
      </c>
    </row>
    <row r="248" spans="1:11" x14ac:dyDescent="0.35">
      <c r="A248" t="s">
        <v>295</v>
      </c>
      <c r="B248">
        <v>83</v>
      </c>
      <c r="C248" t="s">
        <v>12</v>
      </c>
      <c r="D248" t="s">
        <v>38</v>
      </c>
      <c r="E248" t="s">
        <v>56</v>
      </c>
      <c r="F248" s="1">
        <v>45361</v>
      </c>
      <c r="G248" s="1">
        <v>45374</v>
      </c>
      <c r="H248">
        <v>230</v>
      </c>
      <c r="I248" t="s">
        <v>46</v>
      </c>
      <c r="J248" t="s">
        <v>26</v>
      </c>
      <c r="K248">
        <v>26037</v>
      </c>
    </row>
    <row r="249" spans="1:11" x14ac:dyDescent="0.35">
      <c r="A249" t="s">
        <v>296</v>
      </c>
      <c r="B249">
        <v>70</v>
      </c>
      <c r="C249" t="s">
        <v>18</v>
      </c>
      <c r="D249" t="s">
        <v>38</v>
      </c>
      <c r="E249" t="s">
        <v>90</v>
      </c>
      <c r="F249" s="1">
        <v>45641</v>
      </c>
      <c r="G249" s="1">
        <v>45652</v>
      </c>
      <c r="H249">
        <v>92</v>
      </c>
      <c r="I249" t="s">
        <v>46</v>
      </c>
      <c r="J249" t="s">
        <v>16</v>
      </c>
      <c r="K249">
        <v>195803</v>
      </c>
    </row>
    <row r="250" spans="1:11" x14ac:dyDescent="0.35">
      <c r="A250" t="s">
        <v>297</v>
      </c>
      <c r="B250">
        <v>1</v>
      </c>
      <c r="C250" t="s">
        <v>18</v>
      </c>
      <c r="D250" t="s">
        <v>38</v>
      </c>
      <c r="E250" t="s">
        <v>20</v>
      </c>
      <c r="F250" s="1">
        <v>45406</v>
      </c>
      <c r="G250" s="1">
        <v>45420</v>
      </c>
      <c r="H250">
        <v>279</v>
      </c>
      <c r="I250" t="s">
        <v>46</v>
      </c>
      <c r="J250" t="s">
        <v>26</v>
      </c>
      <c r="K250">
        <v>65205</v>
      </c>
    </row>
    <row r="251" spans="1:11" x14ac:dyDescent="0.35">
      <c r="A251" t="s">
        <v>298</v>
      </c>
      <c r="B251">
        <v>45</v>
      </c>
      <c r="C251" t="s">
        <v>18</v>
      </c>
      <c r="D251" t="s">
        <v>38</v>
      </c>
      <c r="E251" t="s">
        <v>29</v>
      </c>
      <c r="F251" s="1">
        <v>45418</v>
      </c>
      <c r="G251" s="1">
        <v>45426</v>
      </c>
      <c r="H251">
        <v>58</v>
      </c>
      <c r="I251" t="s">
        <v>15</v>
      </c>
      <c r="J251" t="s">
        <v>26</v>
      </c>
      <c r="K251">
        <v>166198</v>
      </c>
    </row>
    <row r="252" spans="1:11" x14ac:dyDescent="0.35">
      <c r="A252" t="s">
        <v>299</v>
      </c>
      <c r="B252">
        <v>27</v>
      </c>
      <c r="C252" t="s">
        <v>18</v>
      </c>
      <c r="D252" t="s">
        <v>24</v>
      </c>
      <c r="E252" t="s">
        <v>35</v>
      </c>
      <c r="F252" s="1">
        <v>45300</v>
      </c>
      <c r="G252" s="1">
        <v>45304</v>
      </c>
      <c r="H252">
        <v>18</v>
      </c>
      <c r="I252" t="s">
        <v>46</v>
      </c>
      <c r="J252" t="s">
        <v>16</v>
      </c>
      <c r="K252">
        <v>69155</v>
      </c>
    </row>
    <row r="253" spans="1:11" x14ac:dyDescent="0.35">
      <c r="A253" t="s">
        <v>300</v>
      </c>
      <c r="B253">
        <v>57</v>
      </c>
      <c r="C253" t="s">
        <v>18</v>
      </c>
      <c r="D253" t="s">
        <v>28</v>
      </c>
      <c r="E253" t="s">
        <v>29</v>
      </c>
      <c r="F253" s="1">
        <v>45314</v>
      </c>
      <c r="G253" s="1">
        <v>45321</v>
      </c>
      <c r="H253">
        <v>29</v>
      </c>
      <c r="I253" t="s">
        <v>36</v>
      </c>
      <c r="J253" t="s">
        <v>16</v>
      </c>
      <c r="K253">
        <v>66384</v>
      </c>
    </row>
    <row r="254" spans="1:11" x14ac:dyDescent="0.35">
      <c r="A254" t="s">
        <v>301</v>
      </c>
      <c r="B254">
        <v>74</v>
      </c>
      <c r="C254" t="s">
        <v>12</v>
      </c>
      <c r="D254" t="s">
        <v>13</v>
      </c>
      <c r="E254" t="s">
        <v>83</v>
      </c>
      <c r="F254" s="1">
        <v>45586</v>
      </c>
      <c r="G254" s="1">
        <v>45592</v>
      </c>
      <c r="H254">
        <v>74</v>
      </c>
      <c r="I254" t="s">
        <v>36</v>
      </c>
      <c r="J254" t="s">
        <v>26</v>
      </c>
      <c r="K254">
        <v>83774</v>
      </c>
    </row>
    <row r="255" spans="1:11" x14ac:dyDescent="0.35">
      <c r="A255" t="s">
        <v>302</v>
      </c>
      <c r="B255">
        <v>72</v>
      </c>
      <c r="C255" t="s">
        <v>18</v>
      </c>
      <c r="D255" t="s">
        <v>31</v>
      </c>
      <c r="E255" t="s">
        <v>61</v>
      </c>
      <c r="F255" s="1">
        <v>45432</v>
      </c>
      <c r="G255" s="1">
        <v>45433</v>
      </c>
      <c r="H255">
        <v>254</v>
      </c>
      <c r="I255" t="s">
        <v>15</v>
      </c>
      <c r="J255" t="s">
        <v>16</v>
      </c>
      <c r="K255">
        <v>173641</v>
      </c>
    </row>
    <row r="256" spans="1:11" x14ac:dyDescent="0.35">
      <c r="A256" t="s">
        <v>303</v>
      </c>
      <c r="B256">
        <v>68</v>
      </c>
      <c r="C256" t="s">
        <v>12</v>
      </c>
      <c r="D256" t="s">
        <v>31</v>
      </c>
      <c r="E256" t="s">
        <v>93</v>
      </c>
      <c r="F256" s="1">
        <v>45635</v>
      </c>
      <c r="G256" s="1">
        <v>45642</v>
      </c>
      <c r="H256">
        <v>77</v>
      </c>
      <c r="I256" t="s">
        <v>33</v>
      </c>
      <c r="J256" t="s">
        <v>26</v>
      </c>
      <c r="K256">
        <v>53202</v>
      </c>
    </row>
    <row r="257" spans="1:11" x14ac:dyDescent="0.35">
      <c r="A257" t="s">
        <v>304</v>
      </c>
      <c r="B257">
        <v>31</v>
      </c>
      <c r="C257" t="s">
        <v>18</v>
      </c>
      <c r="D257" t="s">
        <v>38</v>
      </c>
      <c r="E257" t="s">
        <v>40</v>
      </c>
      <c r="F257" s="1">
        <v>45567</v>
      </c>
      <c r="G257" s="1">
        <v>45575</v>
      </c>
      <c r="H257">
        <v>74</v>
      </c>
      <c r="I257" t="s">
        <v>46</v>
      </c>
      <c r="J257" t="s">
        <v>16</v>
      </c>
      <c r="K257">
        <v>152426</v>
      </c>
    </row>
    <row r="258" spans="1:11" x14ac:dyDescent="0.35">
      <c r="A258" t="s">
        <v>305</v>
      </c>
      <c r="B258">
        <v>72</v>
      </c>
      <c r="C258" t="s">
        <v>18</v>
      </c>
      <c r="D258" t="s">
        <v>31</v>
      </c>
      <c r="E258" t="s">
        <v>14</v>
      </c>
      <c r="F258" s="1">
        <v>45503</v>
      </c>
      <c r="G258" s="1">
        <v>45510</v>
      </c>
      <c r="H258">
        <v>131</v>
      </c>
      <c r="I258" t="s">
        <v>36</v>
      </c>
      <c r="J258" t="s">
        <v>16</v>
      </c>
      <c r="K258">
        <v>174530</v>
      </c>
    </row>
    <row r="259" spans="1:11" x14ac:dyDescent="0.35">
      <c r="A259" t="s">
        <v>306</v>
      </c>
      <c r="B259">
        <v>58</v>
      </c>
      <c r="C259" t="s">
        <v>12</v>
      </c>
      <c r="D259" t="s">
        <v>24</v>
      </c>
      <c r="E259" t="s">
        <v>61</v>
      </c>
      <c r="F259" s="1">
        <v>45332</v>
      </c>
      <c r="G259" s="1">
        <v>45347</v>
      </c>
      <c r="H259">
        <v>98</v>
      </c>
      <c r="I259" t="s">
        <v>15</v>
      </c>
      <c r="J259" t="s">
        <v>16</v>
      </c>
      <c r="K259">
        <v>103872</v>
      </c>
    </row>
    <row r="260" spans="1:11" x14ac:dyDescent="0.35">
      <c r="A260" t="s">
        <v>307</v>
      </c>
      <c r="B260">
        <v>78</v>
      </c>
      <c r="C260" t="s">
        <v>18</v>
      </c>
      <c r="D260" t="s">
        <v>24</v>
      </c>
      <c r="E260" t="s">
        <v>29</v>
      </c>
      <c r="F260" s="1">
        <v>45636</v>
      </c>
      <c r="G260" s="1">
        <v>45646</v>
      </c>
      <c r="H260">
        <v>287</v>
      </c>
      <c r="I260" t="s">
        <v>36</v>
      </c>
      <c r="J260" t="s">
        <v>26</v>
      </c>
      <c r="K260">
        <v>59759</v>
      </c>
    </row>
    <row r="261" spans="1:11" x14ac:dyDescent="0.35">
      <c r="A261" t="s">
        <v>308</v>
      </c>
      <c r="B261">
        <v>2</v>
      </c>
      <c r="C261" t="s">
        <v>18</v>
      </c>
      <c r="D261" t="s">
        <v>13</v>
      </c>
      <c r="E261" t="s">
        <v>25</v>
      </c>
      <c r="F261" s="1">
        <v>45462</v>
      </c>
      <c r="G261" s="1">
        <v>45467</v>
      </c>
      <c r="H261">
        <v>61</v>
      </c>
      <c r="I261" t="s">
        <v>46</v>
      </c>
      <c r="J261" t="s">
        <v>16</v>
      </c>
      <c r="K261">
        <v>187354</v>
      </c>
    </row>
    <row r="262" spans="1:11" x14ac:dyDescent="0.35">
      <c r="A262" t="s">
        <v>309</v>
      </c>
      <c r="B262">
        <v>27</v>
      </c>
      <c r="C262" t="s">
        <v>12</v>
      </c>
      <c r="D262" t="s">
        <v>13</v>
      </c>
      <c r="E262" t="s">
        <v>61</v>
      </c>
      <c r="F262" s="1">
        <v>45601</v>
      </c>
      <c r="G262" s="1">
        <v>45613</v>
      </c>
      <c r="H262">
        <v>165</v>
      </c>
      <c r="I262" t="s">
        <v>33</v>
      </c>
      <c r="J262" t="s">
        <v>26</v>
      </c>
      <c r="K262">
        <v>127224</v>
      </c>
    </row>
    <row r="263" spans="1:11" x14ac:dyDescent="0.35">
      <c r="A263" t="s">
        <v>310</v>
      </c>
      <c r="B263">
        <v>46</v>
      </c>
      <c r="C263" t="s">
        <v>12</v>
      </c>
      <c r="D263" t="s">
        <v>38</v>
      </c>
      <c r="E263" t="s">
        <v>63</v>
      </c>
      <c r="F263" s="1">
        <v>45565</v>
      </c>
      <c r="G263" s="1">
        <v>45576</v>
      </c>
      <c r="H263">
        <v>263</v>
      </c>
      <c r="I263" t="s">
        <v>46</v>
      </c>
      <c r="J263" t="s">
        <v>26</v>
      </c>
      <c r="K263">
        <v>30849</v>
      </c>
    </row>
    <row r="264" spans="1:11" x14ac:dyDescent="0.35">
      <c r="A264" t="s">
        <v>311</v>
      </c>
      <c r="B264">
        <v>41</v>
      </c>
      <c r="C264" t="s">
        <v>18</v>
      </c>
      <c r="D264" t="s">
        <v>38</v>
      </c>
      <c r="E264" t="s">
        <v>95</v>
      </c>
      <c r="F264" s="1">
        <v>45532</v>
      </c>
      <c r="G264" s="1">
        <v>45545</v>
      </c>
      <c r="H264">
        <v>212</v>
      </c>
      <c r="I264" t="s">
        <v>15</v>
      </c>
      <c r="J264" t="s">
        <v>16</v>
      </c>
      <c r="K264">
        <v>199314</v>
      </c>
    </row>
    <row r="265" spans="1:11" x14ac:dyDescent="0.35">
      <c r="A265" t="s">
        <v>312</v>
      </c>
      <c r="B265">
        <v>34</v>
      </c>
      <c r="C265" t="s">
        <v>12</v>
      </c>
      <c r="D265" t="s">
        <v>38</v>
      </c>
      <c r="E265" t="s">
        <v>106</v>
      </c>
      <c r="F265" s="1">
        <v>45366</v>
      </c>
      <c r="G265" s="1">
        <v>45367</v>
      </c>
      <c r="H265">
        <v>101</v>
      </c>
      <c r="I265" t="s">
        <v>33</v>
      </c>
      <c r="J265" t="s">
        <v>16</v>
      </c>
      <c r="K265">
        <v>104572</v>
      </c>
    </row>
    <row r="266" spans="1:11" x14ac:dyDescent="0.35">
      <c r="A266" t="s">
        <v>313</v>
      </c>
      <c r="B266">
        <v>32</v>
      </c>
      <c r="C266" t="s">
        <v>12</v>
      </c>
      <c r="D266" t="s">
        <v>28</v>
      </c>
      <c r="E266" t="s">
        <v>68</v>
      </c>
      <c r="F266" s="1">
        <v>45583</v>
      </c>
      <c r="G266" s="1">
        <v>45597</v>
      </c>
      <c r="H266">
        <v>173</v>
      </c>
      <c r="I266" t="s">
        <v>33</v>
      </c>
      <c r="J266" t="s">
        <v>26</v>
      </c>
      <c r="K266">
        <v>194676</v>
      </c>
    </row>
    <row r="267" spans="1:11" x14ac:dyDescent="0.35">
      <c r="A267" t="s">
        <v>314</v>
      </c>
      <c r="B267">
        <v>63</v>
      </c>
      <c r="C267" t="s">
        <v>12</v>
      </c>
      <c r="D267" t="s">
        <v>13</v>
      </c>
      <c r="E267" t="s">
        <v>25</v>
      </c>
      <c r="F267" s="1">
        <v>45620</v>
      </c>
      <c r="G267" s="1">
        <v>45632</v>
      </c>
      <c r="H267">
        <v>181</v>
      </c>
      <c r="I267" t="s">
        <v>36</v>
      </c>
      <c r="J267" t="s">
        <v>16</v>
      </c>
      <c r="K267">
        <v>193825</v>
      </c>
    </row>
    <row r="268" spans="1:11" x14ac:dyDescent="0.35">
      <c r="A268" t="s">
        <v>315</v>
      </c>
      <c r="B268">
        <v>24</v>
      </c>
      <c r="C268" t="s">
        <v>18</v>
      </c>
      <c r="D268" t="s">
        <v>28</v>
      </c>
      <c r="E268" t="s">
        <v>52</v>
      </c>
      <c r="F268" s="1">
        <v>45571</v>
      </c>
      <c r="G268" s="1">
        <v>45579</v>
      </c>
      <c r="H268">
        <v>39</v>
      </c>
      <c r="I268" t="s">
        <v>15</v>
      </c>
      <c r="J268" t="s">
        <v>16</v>
      </c>
      <c r="K268">
        <v>113106</v>
      </c>
    </row>
    <row r="269" spans="1:11" x14ac:dyDescent="0.35">
      <c r="A269" t="s">
        <v>316</v>
      </c>
      <c r="B269">
        <v>81</v>
      </c>
      <c r="C269" t="s">
        <v>18</v>
      </c>
      <c r="D269" t="s">
        <v>24</v>
      </c>
      <c r="E269" t="s">
        <v>40</v>
      </c>
      <c r="F269" s="1">
        <v>45362</v>
      </c>
      <c r="G269" s="1">
        <v>45376</v>
      </c>
      <c r="H269">
        <v>78</v>
      </c>
      <c r="I269" t="s">
        <v>15</v>
      </c>
      <c r="J269" t="s">
        <v>16</v>
      </c>
      <c r="K269">
        <v>137574</v>
      </c>
    </row>
    <row r="270" spans="1:11" x14ac:dyDescent="0.35">
      <c r="A270" t="s">
        <v>317</v>
      </c>
      <c r="B270">
        <v>8</v>
      </c>
      <c r="C270" t="s">
        <v>12</v>
      </c>
      <c r="D270" t="s">
        <v>31</v>
      </c>
      <c r="E270" t="s">
        <v>80</v>
      </c>
      <c r="F270" s="1">
        <v>45525</v>
      </c>
      <c r="G270" s="1">
        <v>45531</v>
      </c>
      <c r="H270">
        <v>4</v>
      </c>
      <c r="I270" t="s">
        <v>46</v>
      </c>
      <c r="J270" t="s">
        <v>16</v>
      </c>
      <c r="K270">
        <v>9384</v>
      </c>
    </row>
    <row r="271" spans="1:11" x14ac:dyDescent="0.35">
      <c r="A271" t="s">
        <v>318</v>
      </c>
      <c r="B271">
        <v>36</v>
      </c>
      <c r="C271" t="s">
        <v>12</v>
      </c>
      <c r="D271" t="s">
        <v>24</v>
      </c>
      <c r="E271" t="s">
        <v>49</v>
      </c>
      <c r="F271" s="1">
        <v>45563</v>
      </c>
      <c r="G271" s="1">
        <v>45575</v>
      </c>
      <c r="H271">
        <v>221</v>
      </c>
      <c r="I271" t="s">
        <v>36</v>
      </c>
      <c r="J271" t="s">
        <v>16</v>
      </c>
      <c r="K271">
        <v>30248</v>
      </c>
    </row>
    <row r="272" spans="1:11" x14ac:dyDescent="0.35">
      <c r="A272" t="s">
        <v>319</v>
      </c>
      <c r="B272">
        <v>31</v>
      </c>
      <c r="C272" t="s">
        <v>18</v>
      </c>
      <c r="D272" t="s">
        <v>28</v>
      </c>
      <c r="E272" t="s">
        <v>49</v>
      </c>
      <c r="F272" s="1">
        <v>45560</v>
      </c>
      <c r="G272" s="1">
        <v>45563</v>
      </c>
      <c r="H272">
        <v>130</v>
      </c>
      <c r="I272" t="s">
        <v>33</v>
      </c>
      <c r="J272" t="s">
        <v>16</v>
      </c>
      <c r="K272">
        <v>109044</v>
      </c>
    </row>
    <row r="273" spans="1:11" x14ac:dyDescent="0.35">
      <c r="A273" t="s">
        <v>320</v>
      </c>
      <c r="B273">
        <v>52</v>
      </c>
      <c r="C273" t="s">
        <v>12</v>
      </c>
      <c r="D273" t="s">
        <v>28</v>
      </c>
      <c r="E273" t="s">
        <v>14</v>
      </c>
      <c r="F273" s="1">
        <v>45332</v>
      </c>
      <c r="G273" s="1">
        <v>45338</v>
      </c>
      <c r="H273">
        <v>116</v>
      </c>
      <c r="I273" t="s">
        <v>33</v>
      </c>
      <c r="J273" t="s">
        <v>16</v>
      </c>
      <c r="K273">
        <v>176372</v>
      </c>
    </row>
    <row r="274" spans="1:11" x14ac:dyDescent="0.35">
      <c r="A274" t="s">
        <v>321</v>
      </c>
      <c r="B274">
        <v>5</v>
      </c>
      <c r="C274" t="s">
        <v>18</v>
      </c>
      <c r="D274" t="s">
        <v>31</v>
      </c>
      <c r="E274" t="s">
        <v>56</v>
      </c>
      <c r="F274" s="1">
        <v>45624</v>
      </c>
      <c r="G274" s="1">
        <v>45637</v>
      </c>
      <c r="H274">
        <v>194</v>
      </c>
      <c r="I274" t="s">
        <v>46</v>
      </c>
      <c r="J274" t="s">
        <v>16</v>
      </c>
      <c r="K274">
        <v>171919</v>
      </c>
    </row>
    <row r="275" spans="1:11" x14ac:dyDescent="0.35">
      <c r="A275" t="s">
        <v>322</v>
      </c>
      <c r="B275">
        <v>22</v>
      </c>
      <c r="C275" t="s">
        <v>18</v>
      </c>
      <c r="D275" t="s">
        <v>31</v>
      </c>
      <c r="E275" t="s">
        <v>93</v>
      </c>
      <c r="F275" s="1">
        <v>45296</v>
      </c>
      <c r="G275" s="1">
        <v>45308</v>
      </c>
      <c r="H275">
        <v>170</v>
      </c>
      <c r="I275" t="s">
        <v>15</v>
      </c>
      <c r="J275" t="s">
        <v>16</v>
      </c>
      <c r="K275">
        <v>65231</v>
      </c>
    </row>
    <row r="276" spans="1:11" x14ac:dyDescent="0.35">
      <c r="A276" t="s">
        <v>323</v>
      </c>
      <c r="B276">
        <v>89</v>
      </c>
      <c r="C276" t="s">
        <v>12</v>
      </c>
      <c r="D276" t="s">
        <v>38</v>
      </c>
      <c r="E276" t="s">
        <v>52</v>
      </c>
      <c r="F276" s="1">
        <v>45400</v>
      </c>
      <c r="G276" s="1">
        <v>45415</v>
      </c>
      <c r="H276">
        <v>39</v>
      </c>
      <c r="I276" t="s">
        <v>33</v>
      </c>
      <c r="J276" t="s">
        <v>16</v>
      </c>
      <c r="K276">
        <v>52016</v>
      </c>
    </row>
    <row r="277" spans="1:11" x14ac:dyDescent="0.35">
      <c r="A277" t="s">
        <v>324</v>
      </c>
      <c r="B277">
        <v>27</v>
      </c>
      <c r="C277" t="s">
        <v>18</v>
      </c>
      <c r="D277" t="s">
        <v>31</v>
      </c>
      <c r="E277" t="s">
        <v>45</v>
      </c>
      <c r="F277" s="1">
        <v>45453</v>
      </c>
      <c r="G277" s="1">
        <v>45454</v>
      </c>
      <c r="H277">
        <v>154</v>
      </c>
      <c r="I277" t="s">
        <v>36</v>
      </c>
      <c r="J277" t="s">
        <v>16</v>
      </c>
      <c r="K277">
        <v>153555</v>
      </c>
    </row>
    <row r="278" spans="1:11" x14ac:dyDescent="0.35">
      <c r="A278" t="s">
        <v>325</v>
      </c>
      <c r="B278">
        <v>70</v>
      </c>
      <c r="C278" t="s">
        <v>12</v>
      </c>
      <c r="D278" t="s">
        <v>31</v>
      </c>
      <c r="E278" t="s">
        <v>22</v>
      </c>
      <c r="F278" s="1">
        <v>45491</v>
      </c>
      <c r="G278" s="1">
        <v>45502</v>
      </c>
      <c r="H278">
        <v>72</v>
      </c>
      <c r="I278" t="s">
        <v>15</v>
      </c>
      <c r="J278" t="s">
        <v>16</v>
      </c>
      <c r="K278">
        <v>19076</v>
      </c>
    </row>
    <row r="279" spans="1:11" x14ac:dyDescent="0.35">
      <c r="A279" t="s">
        <v>326</v>
      </c>
      <c r="B279">
        <v>30</v>
      </c>
      <c r="C279" t="s">
        <v>18</v>
      </c>
      <c r="D279" t="s">
        <v>38</v>
      </c>
      <c r="E279" t="s">
        <v>35</v>
      </c>
      <c r="F279" s="1">
        <v>45342</v>
      </c>
      <c r="G279" s="1">
        <v>45349</v>
      </c>
      <c r="H279">
        <v>204</v>
      </c>
      <c r="I279" t="s">
        <v>33</v>
      </c>
      <c r="J279" t="s">
        <v>16</v>
      </c>
      <c r="K279">
        <v>171231</v>
      </c>
    </row>
    <row r="280" spans="1:11" x14ac:dyDescent="0.35">
      <c r="A280" t="s">
        <v>327</v>
      </c>
      <c r="B280">
        <v>58</v>
      </c>
      <c r="C280" t="s">
        <v>12</v>
      </c>
      <c r="D280" t="s">
        <v>13</v>
      </c>
      <c r="E280" t="s">
        <v>63</v>
      </c>
      <c r="F280" s="1">
        <v>45431</v>
      </c>
      <c r="G280" s="1">
        <v>45444</v>
      </c>
      <c r="H280">
        <v>284</v>
      </c>
      <c r="I280" t="s">
        <v>46</v>
      </c>
      <c r="J280" t="s">
        <v>26</v>
      </c>
      <c r="K280">
        <v>53690</v>
      </c>
    </row>
    <row r="281" spans="1:11" x14ac:dyDescent="0.35">
      <c r="A281" t="s">
        <v>328</v>
      </c>
      <c r="B281">
        <v>85</v>
      </c>
      <c r="C281" t="s">
        <v>12</v>
      </c>
      <c r="D281" t="s">
        <v>24</v>
      </c>
      <c r="E281" t="s">
        <v>22</v>
      </c>
      <c r="F281" s="1">
        <v>45640</v>
      </c>
      <c r="G281" s="1">
        <v>45650</v>
      </c>
      <c r="H281">
        <v>152</v>
      </c>
      <c r="I281" t="s">
        <v>36</v>
      </c>
      <c r="J281" t="s">
        <v>16</v>
      </c>
      <c r="K281">
        <v>26505</v>
      </c>
    </row>
    <row r="282" spans="1:11" x14ac:dyDescent="0.35">
      <c r="A282" t="s">
        <v>329</v>
      </c>
      <c r="B282">
        <v>49</v>
      </c>
      <c r="C282" t="s">
        <v>18</v>
      </c>
      <c r="D282" t="s">
        <v>31</v>
      </c>
      <c r="E282" t="s">
        <v>95</v>
      </c>
      <c r="F282" s="1">
        <v>45429</v>
      </c>
      <c r="G282" s="1">
        <v>45432</v>
      </c>
      <c r="H282">
        <v>185</v>
      </c>
      <c r="I282" t="s">
        <v>15</v>
      </c>
      <c r="J282" t="s">
        <v>16</v>
      </c>
      <c r="K282">
        <v>6361</v>
      </c>
    </row>
    <row r="283" spans="1:11" x14ac:dyDescent="0.35">
      <c r="A283" t="s">
        <v>330</v>
      </c>
      <c r="B283">
        <v>47</v>
      </c>
      <c r="C283" t="s">
        <v>12</v>
      </c>
      <c r="D283" t="s">
        <v>24</v>
      </c>
      <c r="E283" t="s">
        <v>106</v>
      </c>
      <c r="F283" s="1">
        <v>45449</v>
      </c>
      <c r="G283" s="1">
        <v>45457</v>
      </c>
      <c r="H283">
        <v>45</v>
      </c>
      <c r="I283" t="s">
        <v>36</v>
      </c>
      <c r="J283" t="s">
        <v>26</v>
      </c>
      <c r="K283">
        <v>122661</v>
      </c>
    </row>
    <row r="284" spans="1:11" x14ac:dyDescent="0.35">
      <c r="A284" t="s">
        <v>331</v>
      </c>
      <c r="B284">
        <v>66</v>
      </c>
      <c r="C284" t="s">
        <v>12</v>
      </c>
      <c r="D284" t="s">
        <v>24</v>
      </c>
      <c r="E284" t="s">
        <v>80</v>
      </c>
      <c r="F284" s="1">
        <v>45577</v>
      </c>
      <c r="G284" s="1">
        <v>45586</v>
      </c>
      <c r="H284">
        <v>46</v>
      </c>
      <c r="I284" t="s">
        <v>33</v>
      </c>
      <c r="J284" t="s">
        <v>16</v>
      </c>
      <c r="K284">
        <v>161480</v>
      </c>
    </row>
    <row r="285" spans="1:11" x14ac:dyDescent="0.35">
      <c r="A285" t="s">
        <v>332</v>
      </c>
      <c r="B285">
        <v>42</v>
      </c>
      <c r="C285" t="s">
        <v>12</v>
      </c>
      <c r="D285" t="s">
        <v>24</v>
      </c>
      <c r="E285" t="s">
        <v>83</v>
      </c>
      <c r="F285" s="1">
        <v>45598</v>
      </c>
      <c r="G285" s="1">
        <v>45611</v>
      </c>
      <c r="H285">
        <v>212</v>
      </c>
      <c r="I285" t="s">
        <v>46</v>
      </c>
      <c r="J285" t="s">
        <v>16</v>
      </c>
      <c r="K285">
        <v>195013</v>
      </c>
    </row>
    <row r="286" spans="1:11" x14ac:dyDescent="0.35">
      <c r="A286" t="s">
        <v>333</v>
      </c>
      <c r="B286">
        <v>32</v>
      </c>
      <c r="C286" t="s">
        <v>18</v>
      </c>
      <c r="D286" t="s">
        <v>31</v>
      </c>
      <c r="E286" t="s">
        <v>66</v>
      </c>
      <c r="F286" s="1">
        <v>45578</v>
      </c>
      <c r="G286" s="1">
        <v>45593</v>
      </c>
      <c r="H286">
        <v>72</v>
      </c>
      <c r="I286" t="s">
        <v>33</v>
      </c>
      <c r="J286" t="s">
        <v>16</v>
      </c>
      <c r="K286">
        <v>75361</v>
      </c>
    </row>
    <row r="287" spans="1:11" x14ac:dyDescent="0.35">
      <c r="A287" t="s">
        <v>334</v>
      </c>
      <c r="B287">
        <v>9</v>
      </c>
      <c r="C287" t="s">
        <v>18</v>
      </c>
      <c r="D287" t="s">
        <v>31</v>
      </c>
      <c r="E287" t="s">
        <v>32</v>
      </c>
      <c r="F287" s="1">
        <v>45544</v>
      </c>
      <c r="G287" s="1">
        <v>45547</v>
      </c>
      <c r="H287">
        <v>216</v>
      </c>
      <c r="I287" t="s">
        <v>33</v>
      </c>
      <c r="J287" t="s">
        <v>26</v>
      </c>
      <c r="K287">
        <v>25164</v>
      </c>
    </row>
    <row r="288" spans="1:11" x14ac:dyDescent="0.35">
      <c r="A288" t="s">
        <v>335</v>
      </c>
      <c r="B288">
        <v>32</v>
      </c>
      <c r="C288" t="s">
        <v>12</v>
      </c>
      <c r="D288" t="s">
        <v>28</v>
      </c>
      <c r="E288" t="s">
        <v>35</v>
      </c>
      <c r="F288" s="1">
        <v>45476</v>
      </c>
      <c r="G288" s="1">
        <v>45481</v>
      </c>
      <c r="H288">
        <v>101</v>
      </c>
      <c r="I288" t="s">
        <v>46</v>
      </c>
      <c r="J288" t="s">
        <v>16</v>
      </c>
      <c r="K288">
        <v>40517</v>
      </c>
    </row>
    <row r="289" spans="1:11" x14ac:dyDescent="0.35">
      <c r="A289" t="s">
        <v>336</v>
      </c>
      <c r="B289">
        <v>51</v>
      </c>
      <c r="C289" t="s">
        <v>12</v>
      </c>
      <c r="D289" t="s">
        <v>28</v>
      </c>
      <c r="E289" t="s">
        <v>56</v>
      </c>
      <c r="F289" s="1">
        <v>45447</v>
      </c>
      <c r="G289" s="1">
        <v>45448</v>
      </c>
      <c r="H289">
        <v>169</v>
      </c>
      <c r="I289" t="s">
        <v>46</v>
      </c>
      <c r="J289" t="s">
        <v>16</v>
      </c>
      <c r="K289">
        <v>117883</v>
      </c>
    </row>
    <row r="290" spans="1:11" x14ac:dyDescent="0.35">
      <c r="A290" t="s">
        <v>337</v>
      </c>
      <c r="B290">
        <v>18</v>
      </c>
      <c r="C290" t="s">
        <v>12</v>
      </c>
      <c r="D290" t="s">
        <v>38</v>
      </c>
      <c r="E290" t="s">
        <v>35</v>
      </c>
      <c r="F290" s="1">
        <v>45625</v>
      </c>
      <c r="G290" s="1">
        <v>45635</v>
      </c>
      <c r="H290">
        <v>103</v>
      </c>
      <c r="I290" t="s">
        <v>46</v>
      </c>
      <c r="J290" t="s">
        <v>16</v>
      </c>
      <c r="K290">
        <v>51566</v>
      </c>
    </row>
    <row r="291" spans="1:11" x14ac:dyDescent="0.35">
      <c r="A291" t="s">
        <v>338</v>
      </c>
      <c r="B291">
        <v>38</v>
      </c>
      <c r="C291" t="s">
        <v>12</v>
      </c>
      <c r="D291" t="s">
        <v>28</v>
      </c>
      <c r="E291" t="s">
        <v>14</v>
      </c>
      <c r="F291" s="1">
        <v>45495</v>
      </c>
      <c r="G291" s="1">
        <v>45501</v>
      </c>
      <c r="H291">
        <v>167</v>
      </c>
      <c r="I291" t="s">
        <v>46</v>
      </c>
      <c r="J291" t="s">
        <v>16</v>
      </c>
      <c r="K291">
        <v>108005</v>
      </c>
    </row>
    <row r="292" spans="1:11" x14ac:dyDescent="0.35">
      <c r="A292" t="s">
        <v>339</v>
      </c>
      <c r="B292">
        <v>73</v>
      </c>
      <c r="C292" t="s">
        <v>18</v>
      </c>
      <c r="D292" t="s">
        <v>28</v>
      </c>
      <c r="E292" t="s">
        <v>61</v>
      </c>
      <c r="F292" s="1">
        <v>45478</v>
      </c>
      <c r="G292" s="1">
        <v>45480</v>
      </c>
      <c r="H292">
        <v>93</v>
      </c>
      <c r="I292" t="s">
        <v>15</v>
      </c>
      <c r="J292" t="s">
        <v>26</v>
      </c>
      <c r="K292">
        <v>190694</v>
      </c>
    </row>
    <row r="293" spans="1:11" x14ac:dyDescent="0.35">
      <c r="A293" t="s">
        <v>340</v>
      </c>
      <c r="B293">
        <v>38</v>
      </c>
      <c r="C293" t="s">
        <v>18</v>
      </c>
      <c r="D293" t="s">
        <v>31</v>
      </c>
      <c r="E293" t="s">
        <v>54</v>
      </c>
      <c r="F293" s="1">
        <v>45399</v>
      </c>
      <c r="G293" s="1">
        <v>45407</v>
      </c>
      <c r="H293">
        <v>256</v>
      </c>
      <c r="I293" t="s">
        <v>36</v>
      </c>
      <c r="J293" t="s">
        <v>16</v>
      </c>
      <c r="K293">
        <v>68444</v>
      </c>
    </row>
    <row r="294" spans="1:11" x14ac:dyDescent="0.35">
      <c r="A294" t="s">
        <v>341</v>
      </c>
      <c r="B294">
        <v>20</v>
      </c>
      <c r="C294" t="s">
        <v>12</v>
      </c>
      <c r="D294" t="s">
        <v>31</v>
      </c>
      <c r="E294" t="s">
        <v>45</v>
      </c>
      <c r="F294" s="1">
        <v>45421</v>
      </c>
      <c r="G294" s="1">
        <v>45432</v>
      </c>
      <c r="H294">
        <v>230</v>
      </c>
      <c r="I294" t="s">
        <v>46</v>
      </c>
      <c r="J294" t="s">
        <v>26</v>
      </c>
      <c r="K294">
        <v>145081</v>
      </c>
    </row>
    <row r="295" spans="1:11" x14ac:dyDescent="0.35">
      <c r="A295" t="s">
        <v>342</v>
      </c>
      <c r="B295">
        <v>89</v>
      </c>
      <c r="C295" t="s">
        <v>12</v>
      </c>
      <c r="D295" t="s">
        <v>28</v>
      </c>
      <c r="E295" t="s">
        <v>52</v>
      </c>
      <c r="F295" s="1">
        <v>45551</v>
      </c>
      <c r="G295" s="1">
        <v>45566</v>
      </c>
      <c r="H295">
        <v>185</v>
      </c>
      <c r="I295" t="s">
        <v>15</v>
      </c>
      <c r="J295" t="s">
        <v>16</v>
      </c>
      <c r="K295">
        <v>70072</v>
      </c>
    </row>
    <row r="296" spans="1:11" x14ac:dyDescent="0.35">
      <c r="A296" t="s">
        <v>343</v>
      </c>
      <c r="B296">
        <v>46</v>
      </c>
      <c r="C296" t="s">
        <v>18</v>
      </c>
      <c r="D296" t="s">
        <v>28</v>
      </c>
      <c r="E296" t="s">
        <v>52</v>
      </c>
      <c r="F296" s="1">
        <v>45628</v>
      </c>
      <c r="G296" s="1">
        <v>45639</v>
      </c>
      <c r="H296">
        <v>289</v>
      </c>
      <c r="I296" t="s">
        <v>46</v>
      </c>
      <c r="J296" t="s">
        <v>16</v>
      </c>
      <c r="K296">
        <v>117841</v>
      </c>
    </row>
    <row r="297" spans="1:11" x14ac:dyDescent="0.35">
      <c r="A297" t="s">
        <v>344</v>
      </c>
      <c r="B297">
        <v>13</v>
      </c>
      <c r="C297" t="s">
        <v>12</v>
      </c>
      <c r="D297" t="s">
        <v>13</v>
      </c>
      <c r="E297" t="s">
        <v>49</v>
      </c>
      <c r="F297" s="1">
        <v>45346</v>
      </c>
      <c r="G297" s="1">
        <v>45347</v>
      </c>
      <c r="H297">
        <v>266</v>
      </c>
      <c r="I297" t="s">
        <v>36</v>
      </c>
      <c r="J297" t="s">
        <v>26</v>
      </c>
      <c r="K297">
        <v>103073</v>
      </c>
    </row>
    <row r="298" spans="1:11" x14ac:dyDescent="0.35">
      <c r="A298" t="s">
        <v>345</v>
      </c>
      <c r="B298">
        <v>87</v>
      </c>
      <c r="C298" t="s">
        <v>18</v>
      </c>
      <c r="D298" t="s">
        <v>38</v>
      </c>
      <c r="E298" t="s">
        <v>80</v>
      </c>
      <c r="F298" s="1">
        <v>45492</v>
      </c>
      <c r="G298" s="1">
        <v>45500</v>
      </c>
      <c r="H298">
        <v>248</v>
      </c>
      <c r="I298" t="s">
        <v>15</v>
      </c>
      <c r="J298" t="s">
        <v>16</v>
      </c>
      <c r="K298">
        <v>114045</v>
      </c>
    </row>
    <row r="299" spans="1:11" x14ac:dyDescent="0.35">
      <c r="A299" t="s">
        <v>346</v>
      </c>
      <c r="B299">
        <v>19</v>
      </c>
      <c r="C299" t="s">
        <v>12</v>
      </c>
      <c r="D299" t="s">
        <v>38</v>
      </c>
      <c r="E299" t="s">
        <v>95</v>
      </c>
      <c r="F299" s="1">
        <v>45335</v>
      </c>
      <c r="G299" s="1">
        <v>45337</v>
      </c>
      <c r="H299">
        <v>234</v>
      </c>
      <c r="I299" t="s">
        <v>36</v>
      </c>
      <c r="J299" t="s">
        <v>26</v>
      </c>
      <c r="K299">
        <v>96304</v>
      </c>
    </row>
    <row r="300" spans="1:11" x14ac:dyDescent="0.35">
      <c r="A300" t="s">
        <v>347</v>
      </c>
      <c r="B300">
        <v>57</v>
      </c>
      <c r="C300" t="s">
        <v>12</v>
      </c>
      <c r="D300" t="s">
        <v>38</v>
      </c>
      <c r="E300" t="s">
        <v>45</v>
      </c>
      <c r="F300" s="1">
        <v>45535</v>
      </c>
      <c r="G300" s="1">
        <v>45537</v>
      </c>
      <c r="H300">
        <v>154</v>
      </c>
      <c r="I300" t="s">
        <v>15</v>
      </c>
      <c r="J300" t="s">
        <v>16</v>
      </c>
      <c r="K300">
        <v>10920</v>
      </c>
    </row>
    <row r="301" spans="1:11" x14ac:dyDescent="0.35">
      <c r="A301" t="s">
        <v>348</v>
      </c>
      <c r="B301">
        <v>14</v>
      </c>
      <c r="C301" t="s">
        <v>18</v>
      </c>
      <c r="D301" t="s">
        <v>13</v>
      </c>
      <c r="E301" t="s">
        <v>49</v>
      </c>
      <c r="F301" s="1">
        <v>45467</v>
      </c>
      <c r="G301" s="1">
        <v>45478</v>
      </c>
      <c r="H301">
        <v>90</v>
      </c>
      <c r="I301" t="s">
        <v>36</v>
      </c>
      <c r="J301" t="s">
        <v>16</v>
      </c>
      <c r="K301">
        <v>151761</v>
      </c>
    </row>
    <row r="302" spans="1:11" x14ac:dyDescent="0.35">
      <c r="A302" t="s">
        <v>349</v>
      </c>
      <c r="B302">
        <v>30</v>
      </c>
      <c r="C302" t="s">
        <v>12</v>
      </c>
      <c r="D302" t="s">
        <v>13</v>
      </c>
      <c r="E302" t="s">
        <v>66</v>
      </c>
      <c r="F302" s="1">
        <v>45510</v>
      </c>
      <c r="G302" s="1">
        <v>45518</v>
      </c>
      <c r="H302">
        <v>222</v>
      </c>
      <c r="I302" t="s">
        <v>46</v>
      </c>
      <c r="J302" t="s">
        <v>16</v>
      </c>
      <c r="K302">
        <v>198301</v>
      </c>
    </row>
    <row r="303" spans="1:11" x14ac:dyDescent="0.35">
      <c r="A303" t="s">
        <v>350</v>
      </c>
      <c r="B303">
        <v>26</v>
      </c>
      <c r="C303" t="s">
        <v>12</v>
      </c>
      <c r="D303" t="s">
        <v>28</v>
      </c>
      <c r="E303" t="s">
        <v>93</v>
      </c>
      <c r="F303" s="1">
        <v>45606</v>
      </c>
      <c r="G303" s="1">
        <v>45621</v>
      </c>
      <c r="H303">
        <v>200</v>
      </c>
      <c r="I303" t="s">
        <v>15</v>
      </c>
      <c r="J303" t="s">
        <v>16</v>
      </c>
      <c r="K303">
        <v>58945</v>
      </c>
    </row>
    <row r="304" spans="1:11" x14ac:dyDescent="0.35">
      <c r="A304" t="s">
        <v>351</v>
      </c>
      <c r="B304">
        <v>9</v>
      </c>
      <c r="C304" t="s">
        <v>18</v>
      </c>
      <c r="D304" t="s">
        <v>28</v>
      </c>
      <c r="E304" t="s">
        <v>66</v>
      </c>
      <c r="F304" s="1">
        <v>45434</v>
      </c>
      <c r="G304" s="1">
        <v>45447</v>
      </c>
      <c r="H304">
        <v>188</v>
      </c>
      <c r="I304" t="s">
        <v>33</v>
      </c>
      <c r="J304" t="s">
        <v>16</v>
      </c>
      <c r="K304">
        <v>124944</v>
      </c>
    </row>
    <row r="305" spans="1:11" x14ac:dyDescent="0.35">
      <c r="A305" t="s">
        <v>352</v>
      </c>
      <c r="B305">
        <v>86</v>
      </c>
      <c r="C305" t="s">
        <v>12</v>
      </c>
      <c r="D305" t="s">
        <v>28</v>
      </c>
      <c r="E305" t="s">
        <v>68</v>
      </c>
      <c r="F305" s="1">
        <v>45350</v>
      </c>
      <c r="G305" s="1">
        <v>45355</v>
      </c>
      <c r="H305">
        <v>161</v>
      </c>
      <c r="I305" t="s">
        <v>46</v>
      </c>
      <c r="J305" t="s">
        <v>26</v>
      </c>
      <c r="K305">
        <v>158879</v>
      </c>
    </row>
    <row r="306" spans="1:11" x14ac:dyDescent="0.35">
      <c r="A306" t="s">
        <v>353</v>
      </c>
      <c r="B306">
        <v>46</v>
      </c>
      <c r="C306" t="s">
        <v>12</v>
      </c>
      <c r="D306" t="s">
        <v>28</v>
      </c>
      <c r="E306" t="s">
        <v>66</v>
      </c>
      <c r="F306" s="1">
        <v>45350</v>
      </c>
      <c r="G306" s="1">
        <v>45356</v>
      </c>
      <c r="H306">
        <v>153</v>
      </c>
      <c r="I306" t="s">
        <v>15</v>
      </c>
      <c r="J306" t="s">
        <v>16</v>
      </c>
      <c r="K306">
        <v>87099</v>
      </c>
    </row>
    <row r="307" spans="1:11" x14ac:dyDescent="0.35">
      <c r="A307" t="s">
        <v>354</v>
      </c>
      <c r="B307">
        <v>40</v>
      </c>
      <c r="C307" t="s">
        <v>18</v>
      </c>
      <c r="D307" t="s">
        <v>13</v>
      </c>
      <c r="E307" t="s">
        <v>63</v>
      </c>
      <c r="F307" s="1">
        <v>45352</v>
      </c>
      <c r="G307" s="1">
        <v>45356</v>
      </c>
      <c r="H307">
        <v>73</v>
      </c>
      <c r="I307" t="s">
        <v>46</v>
      </c>
      <c r="J307" t="s">
        <v>26</v>
      </c>
      <c r="K307">
        <v>161349</v>
      </c>
    </row>
    <row r="308" spans="1:11" x14ac:dyDescent="0.35">
      <c r="A308" t="s">
        <v>355</v>
      </c>
      <c r="B308">
        <v>50</v>
      </c>
      <c r="C308" t="s">
        <v>12</v>
      </c>
      <c r="D308" t="s">
        <v>13</v>
      </c>
      <c r="E308" t="s">
        <v>43</v>
      </c>
      <c r="F308" s="1">
        <v>45362</v>
      </c>
      <c r="G308" s="1">
        <v>45372</v>
      </c>
      <c r="H308">
        <v>276</v>
      </c>
      <c r="I308" t="s">
        <v>36</v>
      </c>
      <c r="J308" t="s">
        <v>16</v>
      </c>
      <c r="K308">
        <v>133356</v>
      </c>
    </row>
    <row r="309" spans="1:11" x14ac:dyDescent="0.35">
      <c r="A309" t="s">
        <v>356</v>
      </c>
      <c r="B309">
        <v>24</v>
      </c>
      <c r="C309" t="s">
        <v>12</v>
      </c>
      <c r="D309" t="s">
        <v>31</v>
      </c>
      <c r="E309" t="s">
        <v>35</v>
      </c>
      <c r="F309" s="1">
        <v>45439</v>
      </c>
      <c r="G309" s="1">
        <v>45442</v>
      </c>
      <c r="H309">
        <v>28</v>
      </c>
      <c r="I309" t="s">
        <v>33</v>
      </c>
      <c r="J309" t="s">
        <v>16</v>
      </c>
      <c r="K309">
        <v>132037</v>
      </c>
    </row>
    <row r="310" spans="1:11" x14ac:dyDescent="0.35">
      <c r="A310" t="s">
        <v>357</v>
      </c>
      <c r="B310">
        <v>50</v>
      </c>
      <c r="C310" t="s">
        <v>12</v>
      </c>
      <c r="D310" t="s">
        <v>31</v>
      </c>
      <c r="E310" t="s">
        <v>54</v>
      </c>
      <c r="F310" s="1">
        <v>45361</v>
      </c>
      <c r="G310" s="1">
        <v>45365</v>
      </c>
      <c r="H310">
        <v>252</v>
      </c>
      <c r="I310" t="s">
        <v>46</v>
      </c>
      <c r="J310" t="s">
        <v>26</v>
      </c>
      <c r="K310">
        <v>133109</v>
      </c>
    </row>
    <row r="311" spans="1:11" x14ac:dyDescent="0.35">
      <c r="A311" t="s">
        <v>358</v>
      </c>
      <c r="B311">
        <v>73</v>
      </c>
      <c r="C311" t="s">
        <v>18</v>
      </c>
      <c r="D311" t="s">
        <v>13</v>
      </c>
      <c r="E311" t="s">
        <v>83</v>
      </c>
      <c r="F311" s="1">
        <v>45377</v>
      </c>
      <c r="G311" s="1">
        <v>45379</v>
      </c>
      <c r="H311">
        <v>17</v>
      </c>
      <c r="I311" t="s">
        <v>33</v>
      </c>
      <c r="J311" t="s">
        <v>16</v>
      </c>
      <c r="K311">
        <v>145930</v>
      </c>
    </row>
    <row r="312" spans="1:11" x14ac:dyDescent="0.35">
      <c r="A312" t="s">
        <v>359</v>
      </c>
      <c r="B312">
        <v>59</v>
      </c>
      <c r="C312" t="s">
        <v>12</v>
      </c>
      <c r="D312" t="s">
        <v>28</v>
      </c>
      <c r="E312" t="s">
        <v>49</v>
      </c>
      <c r="F312" s="1">
        <v>45439</v>
      </c>
      <c r="G312" s="1">
        <v>45442</v>
      </c>
      <c r="H312">
        <v>58</v>
      </c>
      <c r="I312" t="s">
        <v>15</v>
      </c>
      <c r="J312" t="s">
        <v>16</v>
      </c>
      <c r="K312">
        <v>147372</v>
      </c>
    </row>
    <row r="313" spans="1:11" x14ac:dyDescent="0.35">
      <c r="A313" t="s">
        <v>360</v>
      </c>
      <c r="B313">
        <v>6</v>
      </c>
      <c r="C313" t="s">
        <v>12</v>
      </c>
      <c r="D313" t="s">
        <v>28</v>
      </c>
      <c r="E313" t="s">
        <v>29</v>
      </c>
      <c r="F313" s="1">
        <v>45479</v>
      </c>
      <c r="G313" s="1">
        <v>45488</v>
      </c>
      <c r="H313">
        <v>218</v>
      </c>
      <c r="I313" t="s">
        <v>15</v>
      </c>
      <c r="J313" t="s">
        <v>16</v>
      </c>
      <c r="K313">
        <v>83042</v>
      </c>
    </row>
    <row r="314" spans="1:11" x14ac:dyDescent="0.35">
      <c r="A314" t="s">
        <v>361</v>
      </c>
      <c r="B314">
        <v>34</v>
      </c>
      <c r="C314" t="s">
        <v>12</v>
      </c>
      <c r="D314" t="s">
        <v>24</v>
      </c>
      <c r="E314" t="s">
        <v>20</v>
      </c>
      <c r="F314" s="1">
        <v>45308</v>
      </c>
      <c r="G314" s="1">
        <v>45316</v>
      </c>
      <c r="H314">
        <v>61</v>
      </c>
      <c r="I314" t="s">
        <v>36</v>
      </c>
      <c r="J314" t="s">
        <v>16</v>
      </c>
      <c r="K314">
        <v>198360</v>
      </c>
    </row>
    <row r="315" spans="1:11" x14ac:dyDescent="0.35">
      <c r="A315" t="s">
        <v>362</v>
      </c>
      <c r="B315">
        <v>45</v>
      </c>
      <c r="C315" t="s">
        <v>12</v>
      </c>
      <c r="D315" t="s">
        <v>13</v>
      </c>
      <c r="E315" t="s">
        <v>35</v>
      </c>
      <c r="F315" s="1">
        <v>45593</v>
      </c>
      <c r="G315" s="1">
        <v>45605</v>
      </c>
      <c r="H315">
        <v>72</v>
      </c>
      <c r="I315" t="s">
        <v>36</v>
      </c>
      <c r="J315" t="s">
        <v>16</v>
      </c>
      <c r="K315">
        <v>20560</v>
      </c>
    </row>
    <row r="316" spans="1:11" x14ac:dyDescent="0.35">
      <c r="A316" t="s">
        <v>363</v>
      </c>
      <c r="B316">
        <v>69</v>
      </c>
      <c r="C316" t="s">
        <v>12</v>
      </c>
      <c r="D316" t="s">
        <v>28</v>
      </c>
      <c r="E316" t="s">
        <v>61</v>
      </c>
      <c r="F316" s="1">
        <v>45583</v>
      </c>
      <c r="G316" s="1">
        <v>45589</v>
      </c>
      <c r="H316">
        <v>87</v>
      </c>
      <c r="I316" t="s">
        <v>33</v>
      </c>
      <c r="J316" t="s">
        <v>16</v>
      </c>
      <c r="K316">
        <v>80846</v>
      </c>
    </row>
    <row r="317" spans="1:11" x14ac:dyDescent="0.35">
      <c r="A317" t="s">
        <v>364</v>
      </c>
      <c r="B317">
        <v>66</v>
      </c>
      <c r="C317" t="s">
        <v>18</v>
      </c>
      <c r="D317" t="s">
        <v>13</v>
      </c>
      <c r="E317" t="s">
        <v>22</v>
      </c>
      <c r="F317" s="1">
        <v>45585</v>
      </c>
      <c r="G317" s="1">
        <v>45590</v>
      </c>
      <c r="H317">
        <v>211</v>
      </c>
      <c r="I317" t="s">
        <v>15</v>
      </c>
      <c r="J317" t="s">
        <v>16</v>
      </c>
      <c r="K317">
        <v>176939</v>
      </c>
    </row>
    <row r="318" spans="1:11" x14ac:dyDescent="0.35">
      <c r="A318" t="s">
        <v>365</v>
      </c>
      <c r="B318">
        <v>17</v>
      </c>
      <c r="C318" t="s">
        <v>18</v>
      </c>
      <c r="D318" t="s">
        <v>13</v>
      </c>
      <c r="E318" t="s">
        <v>40</v>
      </c>
      <c r="F318" s="1">
        <v>45356</v>
      </c>
      <c r="G318" s="1">
        <v>45368</v>
      </c>
      <c r="H318">
        <v>165</v>
      </c>
      <c r="I318" t="s">
        <v>36</v>
      </c>
      <c r="J318" t="s">
        <v>26</v>
      </c>
      <c r="K318">
        <v>133308</v>
      </c>
    </row>
    <row r="319" spans="1:11" x14ac:dyDescent="0.35">
      <c r="A319" t="s">
        <v>366</v>
      </c>
      <c r="B319">
        <v>81</v>
      </c>
      <c r="C319" t="s">
        <v>12</v>
      </c>
      <c r="D319" t="s">
        <v>31</v>
      </c>
      <c r="E319" t="s">
        <v>56</v>
      </c>
      <c r="F319" s="1">
        <v>45364</v>
      </c>
      <c r="G319" s="1">
        <v>45374</v>
      </c>
      <c r="H319">
        <v>232</v>
      </c>
      <c r="I319" t="s">
        <v>15</v>
      </c>
      <c r="J319" t="s">
        <v>16</v>
      </c>
      <c r="K319">
        <v>110604</v>
      </c>
    </row>
    <row r="320" spans="1:11" x14ac:dyDescent="0.35">
      <c r="A320" t="s">
        <v>367</v>
      </c>
      <c r="B320">
        <v>36</v>
      </c>
      <c r="C320" t="s">
        <v>12</v>
      </c>
      <c r="D320" t="s">
        <v>31</v>
      </c>
      <c r="E320" t="s">
        <v>43</v>
      </c>
      <c r="F320" s="1">
        <v>45555</v>
      </c>
      <c r="G320" s="1">
        <v>45567</v>
      </c>
      <c r="H320">
        <v>168</v>
      </c>
      <c r="I320" t="s">
        <v>15</v>
      </c>
      <c r="J320" t="s">
        <v>16</v>
      </c>
      <c r="K320">
        <v>196609</v>
      </c>
    </row>
    <row r="321" spans="1:11" x14ac:dyDescent="0.35">
      <c r="A321" t="s">
        <v>368</v>
      </c>
      <c r="B321">
        <v>86</v>
      </c>
      <c r="C321" t="s">
        <v>12</v>
      </c>
      <c r="D321" t="s">
        <v>24</v>
      </c>
      <c r="E321" t="s">
        <v>61</v>
      </c>
      <c r="F321" s="1">
        <v>45526</v>
      </c>
      <c r="G321" s="1">
        <v>45537</v>
      </c>
      <c r="H321">
        <v>204</v>
      </c>
      <c r="I321" t="s">
        <v>36</v>
      </c>
      <c r="J321" t="s">
        <v>26</v>
      </c>
      <c r="K321">
        <v>60535</v>
      </c>
    </row>
    <row r="322" spans="1:11" x14ac:dyDescent="0.35">
      <c r="A322" t="s">
        <v>369</v>
      </c>
      <c r="B322">
        <v>42</v>
      </c>
      <c r="C322" t="s">
        <v>12</v>
      </c>
      <c r="D322" t="s">
        <v>38</v>
      </c>
      <c r="E322" t="s">
        <v>61</v>
      </c>
      <c r="F322" s="1">
        <v>45545</v>
      </c>
      <c r="G322" s="1">
        <v>45550</v>
      </c>
      <c r="H322">
        <v>296</v>
      </c>
      <c r="I322" t="s">
        <v>36</v>
      </c>
      <c r="J322" t="s">
        <v>26</v>
      </c>
      <c r="K322">
        <v>95109</v>
      </c>
    </row>
    <row r="323" spans="1:11" x14ac:dyDescent="0.35">
      <c r="A323" t="s">
        <v>370</v>
      </c>
      <c r="B323">
        <v>7</v>
      </c>
      <c r="C323" t="s">
        <v>18</v>
      </c>
      <c r="D323" t="s">
        <v>24</v>
      </c>
      <c r="E323" t="s">
        <v>68</v>
      </c>
      <c r="F323" s="1">
        <v>45641</v>
      </c>
      <c r="G323" s="1">
        <v>45654</v>
      </c>
      <c r="H323">
        <v>236</v>
      </c>
      <c r="I323" t="s">
        <v>15</v>
      </c>
      <c r="J323" t="s">
        <v>16</v>
      </c>
      <c r="K323">
        <v>46414</v>
      </c>
    </row>
    <row r="324" spans="1:11" x14ac:dyDescent="0.35">
      <c r="A324" t="s">
        <v>371</v>
      </c>
      <c r="B324">
        <v>1</v>
      </c>
      <c r="C324" t="s">
        <v>12</v>
      </c>
      <c r="D324" t="s">
        <v>13</v>
      </c>
      <c r="E324" t="s">
        <v>40</v>
      </c>
      <c r="F324" s="1">
        <v>45517</v>
      </c>
      <c r="G324" s="1">
        <v>45525</v>
      </c>
      <c r="H324">
        <v>68</v>
      </c>
      <c r="I324" t="s">
        <v>33</v>
      </c>
      <c r="J324" t="s">
        <v>16</v>
      </c>
      <c r="K324">
        <v>76832</v>
      </c>
    </row>
    <row r="325" spans="1:11" x14ac:dyDescent="0.35">
      <c r="A325" t="s">
        <v>372</v>
      </c>
      <c r="B325">
        <v>47</v>
      </c>
      <c r="C325" t="s">
        <v>12</v>
      </c>
      <c r="D325" t="s">
        <v>24</v>
      </c>
      <c r="E325" t="s">
        <v>63</v>
      </c>
      <c r="F325" s="1">
        <v>45339</v>
      </c>
      <c r="G325" s="1">
        <v>45350</v>
      </c>
      <c r="H325">
        <v>85</v>
      </c>
      <c r="I325" t="s">
        <v>15</v>
      </c>
      <c r="J325" t="s">
        <v>26</v>
      </c>
      <c r="K325">
        <v>168998</v>
      </c>
    </row>
    <row r="326" spans="1:11" x14ac:dyDescent="0.35">
      <c r="A326" t="s">
        <v>373</v>
      </c>
      <c r="B326">
        <v>90</v>
      </c>
      <c r="C326" t="s">
        <v>18</v>
      </c>
      <c r="D326" t="s">
        <v>31</v>
      </c>
      <c r="E326" t="s">
        <v>68</v>
      </c>
      <c r="F326" s="1">
        <v>45448</v>
      </c>
      <c r="G326" s="1">
        <v>45460</v>
      </c>
      <c r="H326">
        <v>47</v>
      </c>
      <c r="I326" t="s">
        <v>15</v>
      </c>
      <c r="J326" t="s">
        <v>16</v>
      </c>
      <c r="K326">
        <v>60947</v>
      </c>
    </row>
    <row r="327" spans="1:11" x14ac:dyDescent="0.35">
      <c r="A327" t="s">
        <v>374</v>
      </c>
      <c r="B327">
        <v>17</v>
      </c>
      <c r="C327" t="s">
        <v>18</v>
      </c>
      <c r="D327" t="s">
        <v>28</v>
      </c>
      <c r="E327" t="s">
        <v>54</v>
      </c>
      <c r="F327" s="1">
        <v>45536</v>
      </c>
      <c r="G327" s="1">
        <v>45538</v>
      </c>
      <c r="H327">
        <v>228</v>
      </c>
      <c r="I327" t="s">
        <v>15</v>
      </c>
      <c r="J327" t="s">
        <v>16</v>
      </c>
      <c r="K327">
        <v>187346</v>
      </c>
    </row>
    <row r="328" spans="1:11" x14ac:dyDescent="0.35">
      <c r="A328" t="s">
        <v>375</v>
      </c>
      <c r="B328">
        <v>16</v>
      </c>
      <c r="C328" t="s">
        <v>12</v>
      </c>
      <c r="D328" t="s">
        <v>13</v>
      </c>
      <c r="E328" t="s">
        <v>43</v>
      </c>
      <c r="F328" s="1">
        <v>45467</v>
      </c>
      <c r="G328" s="1">
        <v>45481</v>
      </c>
      <c r="H328">
        <v>37</v>
      </c>
      <c r="I328" t="s">
        <v>36</v>
      </c>
      <c r="J328" t="s">
        <v>26</v>
      </c>
      <c r="K328">
        <v>28417</v>
      </c>
    </row>
    <row r="329" spans="1:11" x14ac:dyDescent="0.35">
      <c r="A329" t="s">
        <v>376</v>
      </c>
      <c r="B329">
        <v>41</v>
      </c>
      <c r="C329" t="s">
        <v>12</v>
      </c>
      <c r="D329" t="s">
        <v>38</v>
      </c>
      <c r="E329" t="s">
        <v>106</v>
      </c>
      <c r="F329" s="1">
        <v>45344</v>
      </c>
      <c r="G329" s="1">
        <v>45346</v>
      </c>
      <c r="H329">
        <v>196</v>
      </c>
      <c r="I329" t="s">
        <v>36</v>
      </c>
      <c r="J329" t="s">
        <v>16</v>
      </c>
      <c r="K329">
        <v>22933</v>
      </c>
    </row>
    <row r="330" spans="1:11" x14ac:dyDescent="0.35">
      <c r="A330" t="s">
        <v>377</v>
      </c>
      <c r="B330">
        <v>2</v>
      </c>
      <c r="C330" t="s">
        <v>18</v>
      </c>
      <c r="D330" t="s">
        <v>31</v>
      </c>
      <c r="E330" t="s">
        <v>63</v>
      </c>
      <c r="F330" s="1">
        <v>45563</v>
      </c>
      <c r="G330" s="1">
        <v>45573</v>
      </c>
      <c r="H330">
        <v>110</v>
      </c>
      <c r="I330" t="s">
        <v>36</v>
      </c>
      <c r="J330" t="s">
        <v>26</v>
      </c>
      <c r="K330">
        <v>166500</v>
      </c>
    </row>
    <row r="331" spans="1:11" x14ac:dyDescent="0.35">
      <c r="A331" t="s">
        <v>378</v>
      </c>
      <c r="B331">
        <v>28</v>
      </c>
      <c r="C331" t="s">
        <v>18</v>
      </c>
      <c r="D331" t="s">
        <v>24</v>
      </c>
      <c r="E331" t="s">
        <v>106</v>
      </c>
      <c r="F331" s="1">
        <v>45643</v>
      </c>
      <c r="G331" s="1">
        <v>45651</v>
      </c>
      <c r="H331">
        <v>64</v>
      </c>
      <c r="I331" t="s">
        <v>46</v>
      </c>
      <c r="J331" t="s">
        <v>16</v>
      </c>
      <c r="K331">
        <v>117561</v>
      </c>
    </row>
    <row r="332" spans="1:11" x14ac:dyDescent="0.35">
      <c r="A332" t="s">
        <v>379</v>
      </c>
      <c r="B332">
        <v>18</v>
      </c>
      <c r="C332" t="s">
        <v>18</v>
      </c>
      <c r="D332" t="s">
        <v>38</v>
      </c>
      <c r="E332" t="s">
        <v>68</v>
      </c>
      <c r="F332" s="1">
        <v>45453</v>
      </c>
      <c r="G332" s="1">
        <v>45466</v>
      </c>
      <c r="H332">
        <v>44</v>
      </c>
      <c r="I332" t="s">
        <v>36</v>
      </c>
      <c r="J332" t="s">
        <v>16</v>
      </c>
      <c r="K332">
        <v>186004</v>
      </c>
    </row>
    <row r="333" spans="1:11" x14ac:dyDescent="0.35">
      <c r="A333" t="s">
        <v>380</v>
      </c>
      <c r="B333">
        <v>85</v>
      </c>
      <c r="C333" t="s">
        <v>12</v>
      </c>
      <c r="D333" t="s">
        <v>13</v>
      </c>
      <c r="E333" t="s">
        <v>49</v>
      </c>
      <c r="F333" s="1">
        <v>45305</v>
      </c>
      <c r="G333" s="1">
        <v>45319</v>
      </c>
      <c r="H333">
        <v>261</v>
      </c>
      <c r="I333" t="s">
        <v>36</v>
      </c>
      <c r="J333" t="s">
        <v>26</v>
      </c>
      <c r="K333">
        <v>82474</v>
      </c>
    </row>
    <row r="334" spans="1:11" x14ac:dyDescent="0.35">
      <c r="A334" t="s">
        <v>381</v>
      </c>
      <c r="B334">
        <v>31</v>
      </c>
      <c r="C334" t="s">
        <v>12</v>
      </c>
      <c r="D334" t="s">
        <v>31</v>
      </c>
      <c r="E334" t="s">
        <v>90</v>
      </c>
      <c r="F334" s="1">
        <v>45622</v>
      </c>
      <c r="G334" s="1">
        <v>45623</v>
      </c>
      <c r="H334">
        <v>124</v>
      </c>
      <c r="I334" t="s">
        <v>46</v>
      </c>
      <c r="J334" t="s">
        <v>16</v>
      </c>
      <c r="K334">
        <v>143487</v>
      </c>
    </row>
    <row r="335" spans="1:11" x14ac:dyDescent="0.35">
      <c r="A335" t="s">
        <v>382</v>
      </c>
      <c r="B335">
        <v>41</v>
      </c>
      <c r="C335" t="s">
        <v>18</v>
      </c>
      <c r="D335" t="s">
        <v>31</v>
      </c>
      <c r="E335" t="s">
        <v>58</v>
      </c>
      <c r="F335" s="1">
        <v>45298</v>
      </c>
      <c r="G335" s="1">
        <v>45304</v>
      </c>
      <c r="H335">
        <v>216</v>
      </c>
      <c r="I335" t="s">
        <v>33</v>
      </c>
      <c r="J335" t="s">
        <v>16</v>
      </c>
      <c r="K335">
        <v>128473</v>
      </c>
    </row>
    <row r="336" spans="1:11" x14ac:dyDescent="0.35">
      <c r="A336" t="s">
        <v>383</v>
      </c>
      <c r="B336">
        <v>76</v>
      </c>
      <c r="C336" t="s">
        <v>18</v>
      </c>
      <c r="D336" t="s">
        <v>24</v>
      </c>
      <c r="E336" t="s">
        <v>32</v>
      </c>
      <c r="F336" s="1">
        <v>45329</v>
      </c>
      <c r="G336" s="1">
        <v>45330</v>
      </c>
      <c r="H336">
        <v>111</v>
      </c>
      <c r="I336" t="s">
        <v>15</v>
      </c>
      <c r="J336" t="s">
        <v>16</v>
      </c>
      <c r="K336">
        <v>109326</v>
      </c>
    </row>
    <row r="337" spans="1:11" x14ac:dyDescent="0.35">
      <c r="A337" t="s">
        <v>384</v>
      </c>
      <c r="B337">
        <v>81</v>
      </c>
      <c r="C337" t="s">
        <v>12</v>
      </c>
      <c r="D337" t="s">
        <v>31</v>
      </c>
      <c r="E337" t="s">
        <v>40</v>
      </c>
      <c r="F337" s="1">
        <v>45551</v>
      </c>
      <c r="G337" s="1">
        <v>45556</v>
      </c>
      <c r="H337">
        <v>206</v>
      </c>
      <c r="I337" t="s">
        <v>15</v>
      </c>
      <c r="J337" t="s">
        <v>16</v>
      </c>
      <c r="K337">
        <v>77736</v>
      </c>
    </row>
    <row r="338" spans="1:11" x14ac:dyDescent="0.35">
      <c r="A338" t="s">
        <v>385</v>
      </c>
      <c r="B338">
        <v>11</v>
      </c>
      <c r="C338" t="s">
        <v>18</v>
      </c>
      <c r="D338" t="s">
        <v>13</v>
      </c>
      <c r="E338" t="s">
        <v>61</v>
      </c>
      <c r="F338" s="1">
        <v>45334</v>
      </c>
      <c r="G338" s="1">
        <v>45339</v>
      </c>
      <c r="H338">
        <v>168</v>
      </c>
      <c r="I338" t="s">
        <v>46</v>
      </c>
      <c r="J338" t="s">
        <v>16</v>
      </c>
      <c r="K338">
        <v>86309</v>
      </c>
    </row>
    <row r="339" spans="1:11" x14ac:dyDescent="0.35">
      <c r="A339" t="s">
        <v>386</v>
      </c>
      <c r="B339">
        <v>31</v>
      </c>
      <c r="C339" t="s">
        <v>18</v>
      </c>
      <c r="D339" t="s">
        <v>13</v>
      </c>
      <c r="E339" t="s">
        <v>45</v>
      </c>
      <c r="F339" s="1">
        <v>45649</v>
      </c>
      <c r="G339" s="1">
        <v>45656</v>
      </c>
      <c r="H339">
        <v>223</v>
      </c>
      <c r="I339" t="s">
        <v>15</v>
      </c>
      <c r="J339" t="s">
        <v>26</v>
      </c>
      <c r="K339">
        <v>165509</v>
      </c>
    </row>
    <row r="340" spans="1:11" x14ac:dyDescent="0.35">
      <c r="A340" t="s">
        <v>387</v>
      </c>
      <c r="B340">
        <v>40</v>
      </c>
      <c r="C340" t="s">
        <v>18</v>
      </c>
      <c r="D340" t="s">
        <v>24</v>
      </c>
      <c r="E340" t="s">
        <v>80</v>
      </c>
      <c r="F340" s="1">
        <v>45603</v>
      </c>
      <c r="G340" s="1">
        <v>45604</v>
      </c>
      <c r="H340">
        <v>71</v>
      </c>
      <c r="I340" t="s">
        <v>15</v>
      </c>
      <c r="J340" t="s">
        <v>16</v>
      </c>
      <c r="K340">
        <v>135131</v>
      </c>
    </row>
    <row r="341" spans="1:11" x14ac:dyDescent="0.35">
      <c r="A341" t="s">
        <v>388</v>
      </c>
      <c r="B341">
        <v>67</v>
      </c>
      <c r="C341" t="s">
        <v>12</v>
      </c>
      <c r="D341" t="s">
        <v>13</v>
      </c>
      <c r="E341" t="s">
        <v>63</v>
      </c>
      <c r="F341" s="1">
        <v>45469</v>
      </c>
      <c r="G341" s="1">
        <v>45478</v>
      </c>
      <c r="H341">
        <v>65</v>
      </c>
      <c r="I341" t="s">
        <v>33</v>
      </c>
      <c r="J341" t="s">
        <v>16</v>
      </c>
      <c r="K341">
        <v>12695</v>
      </c>
    </row>
    <row r="342" spans="1:11" x14ac:dyDescent="0.35">
      <c r="A342" t="s">
        <v>389</v>
      </c>
      <c r="B342">
        <v>55</v>
      </c>
      <c r="C342" t="s">
        <v>12</v>
      </c>
      <c r="D342" t="s">
        <v>28</v>
      </c>
      <c r="E342" t="s">
        <v>45</v>
      </c>
      <c r="F342" s="1">
        <v>45463</v>
      </c>
      <c r="G342" s="1">
        <v>45476</v>
      </c>
      <c r="H342">
        <v>135</v>
      </c>
      <c r="I342" t="s">
        <v>15</v>
      </c>
      <c r="J342" t="s">
        <v>26</v>
      </c>
      <c r="K342">
        <v>124327</v>
      </c>
    </row>
    <row r="343" spans="1:11" x14ac:dyDescent="0.35">
      <c r="A343" t="s">
        <v>390</v>
      </c>
      <c r="B343">
        <v>8</v>
      </c>
      <c r="C343" t="s">
        <v>12</v>
      </c>
      <c r="D343" t="s">
        <v>28</v>
      </c>
      <c r="E343" t="s">
        <v>66</v>
      </c>
      <c r="F343" s="1">
        <v>45553</v>
      </c>
      <c r="G343" s="1">
        <v>45559</v>
      </c>
      <c r="H343">
        <v>189</v>
      </c>
      <c r="I343" t="s">
        <v>36</v>
      </c>
      <c r="J343" t="s">
        <v>16</v>
      </c>
      <c r="K343">
        <v>31975</v>
      </c>
    </row>
    <row r="344" spans="1:11" x14ac:dyDescent="0.35">
      <c r="A344" t="s">
        <v>391</v>
      </c>
      <c r="B344">
        <v>15</v>
      </c>
      <c r="C344" t="s">
        <v>18</v>
      </c>
      <c r="D344" t="s">
        <v>28</v>
      </c>
      <c r="E344" t="s">
        <v>80</v>
      </c>
      <c r="F344" s="1">
        <v>45585</v>
      </c>
      <c r="G344" s="1">
        <v>45596</v>
      </c>
      <c r="H344">
        <v>23</v>
      </c>
      <c r="I344" t="s">
        <v>15</v>
      </c>
      <c r="J344" t="s">
        <v>16</v>
      </c>
      <c r="K344">
        <v>17053</v>
      </c>
    </row>
    <row r="345" spans="1:11" x14ac:dyDescent="0.35">
      <c r="A345" t="s">
        <v>392</v>
      </c>
      <c r="B345">
        <v>50</v>
      </c>
      <c r="C345" t="s">
        <v>18</v>
      </c>
      <c r="D345" t="s">
        <v>13</v>
      </c>
      <c r="E345" t="s">
        <v>52</v>
      </c>
      <c r="F345" s="1">
        <v>45533</v>
      </c>
      <c r="G345" s="1">
        <v>45539</v>
      </c>
      <c r="H345">
        <v>284</v>
      </c>
      <c r="I345" t="s">
        <v>46</v>
      </c>
      <c r="J345" t="s">
        <v>16</v>
      </c>
      <c r="K345">
        <v>89358</v>
      </c>
    </row>
    <row r="346" spans="1:11" x14ac:dyDescent="0.35">
      <c r="A346" t="s">
        <v>393</v>
      </c>
      <c r="B346">
        <v>41</v>
      </c>
      <c r="C346" t="s">
        <v>12</v>
      </c>
      <c r="D346" t="s">
        <v>24</v>
      </c>
      <c r="E346" t="s">
        <v>58</v>
      </c>
      <c r="F346" s="1">
        <v>45419</v>
      </c>
      <c r="G346" s="1">
        <v>45426</v>
      </c>
      <c r="H346">
        <v>191</v>
      </c>
      <c r="I346" t="s">
        <v>15</v>
      </c>
      <c r="J346" t="s">
        <v>16</v>
      </c>
      <c r="K346">
        <v>52014</v>
      </c>
    </row>
    <row r="347" spans="1:11" x14ac:dyDescent="0.35">
      <c r="A347" t="s">
        <v>394</v>
      </c>
      <c r="B347">
        <v>67</v>
      </c>
      <c r="C347" t="s">
        <v>18</v>
      </c>
      <c r="D347" t="s">
        <v>31</v>
      </c>
      <c r="E347" t="s">
        <v>45</v>
      </c>
      <c r="F347" s="1">
        <v>45406</v>
      </c>
      <c r="G347" s="1">
        <v>45419</v>
      </c>
      <c r="H347">
        <v>239</v>
      </c>
      <c r="I347" t="s">
        <v>33</v>
      </c>
      <c r="J347" t="s">
        <v>16</v>
      </c>
      <c r="K347">
        <v>90799</v>
      </c>
    </row>
    <row r="348" spans="1:11" x14ac:dyDescent="0.35">
      <c r="A348" t="s">
        <v>395</v>
      </c>
      <c r="B348">
        <v>59</v>
      </c>
      <c r="C348" t="s">
        <v>18</v>
      </c>
      <c r="D348" t="s">
        <v>38</v>
      </c>
      <c r="E348" t="s">
        <v>29</v>
      </c>
      <c r="F348" s="1">
        <v>45336</v>
      </c>
      <c r="G348" s="1">
        <v>45345</v>
      </c>
      <c r="H348">
        <v>150</v>
      </c>
      <c r="I348" t="s">
        <v>33</v>
      </c>
      <c r="J348" t="s">
        <v>16</v>
      </c>
      <c r="K348">
        <v>126615</v>
      </c>
    </row>
    <row r="349" spans="1:11" x14ac:dyDescent="0.35">
      <c r="A349" t="s">
        <v>396</v>
      </c>
      <c r="B349">
        <v>64</v>
      </c>
      <c r="C349" t="s">
        <v>18</v>
      </c>
      <c r="D349" t="s">
        <v>28</v>
      </c>
      <c r="E349" t="s">
        <v>22</v>
      </c>
      <c r="F349" s="1">
        <v>45480</v>
      </c>
      <c r="G349" s="1">
        <v>45490</v>
      </c>
      <c r="H349">
        <v>126</v>
      </c>
      <c r="I349" t="s">
        <v>36</v>
      </c>
      <c r="J349" t="s">
        <v>16</v>
      </c>
      <c r="K349">
        <v>112488</v>
      </c>
    </row>
    <row r="350" spans="1:11" x14ac:dyDescent="0.35">
      <c r="A350" t="s">
        <v>397</v>
      </c>
      <c r="B350">
        <v>70</v>
      </c>
      <c r="C350" t="s">
        <v>12</v>
      </c>
      <c r="D350" t="s">
        <v>24</v>
      </c>
      <c r="E350" t="s">
        <v>95</v>
      </c>
      <c r="F350" s="1">
        <v>45304</v>
      </c>
      <c r="G350" s="1">
        <v>45308</v>
      </c>
      <c r="H350">
        <v>1</v>
      </c>
      <c r="I350" t="s">
        <v>46</v>
      </c>
      <c r="J350" t="s">
        <v>16</v>
      </c>
      <c r="K350">
        <v>32249</v>
      </c>
    </row>
    <row r="351" spans="1:11" x14ac:dyDescent="0.35">
      <c r="A351" t="s">
        <v>398</v>
      </c>
      <c r="B351">
        <v>31</v>
      </c>
      <c r="C351" t="s">
        <v>12</v>
      </c>
      <c r="D351" t="s">
        <v>31</v>
      </c>
      <c r="E351" t="s">
        <v>52</v>
      </c>
      <c r="F351" s="1">
        <v>45397</v>
      </c>
      <c r="G351" s="1">
        <v>45406</v>
      </c>
      <c r="H351">
        <v>73</v>
      </c>
      <c r="I351" t="s">
        <v>33</v>
      </c>
      <c r="J351" t="s">
        <v>16</v>
      </c>
      <c r="K351">
        <v>16508</v>
      </c>
    </row>
    <row r="352" spans="1:11" x14ac:dyDescent="0.35">
      <c r="A352" t="s">
        <v>399</v>
      </c>
      <c r="B352">
        <v>67</v>
      </c>
      <c r="C352" t="s">
        <v>12</v>
      </c>
      <c r="D352" t="s">
        <v>38</v>
      </c>
      <c r="E352" t="s">
        <v>20</v>
      </c>
      <c r="F352" s="1">
        <v>45410</v>
      </c>
      <c r="G352" s="1">
        <v>45425</v>
      </c>
      <c r="H352">
        <v>44</v>
      </c>
      <c r="I352" t="s">
        <v>15</v>
      </c>
      <c r="J352" t="s">
        <v>16</v>
      </c>
      <c r="K352">
        <v>172042</v>
      </c>
    </row>
    <row r="353" spans="1:11" x14ac:dyDescent="0.35">
      <c r="A353" t="s">
        <v>400</v>
      </c>
      <c r="B353">
        <v>76</v>
      </c>
      <c r="C353" t="s">
        <v>18</v>
      </c>
      <c r="D353" t="s">
        <v>31</v>
      </c>
      <c r="E353" t="s">
        <v>54</v>
      </c>
      <c r="F353" s="1">
        <v>45493</v>
      </c>
      <c r="G353" s="1">
        <v>45495</v>
      </c>
      <c r="H353">
        <v>67</v>
      </c>
      <c r="I353" t="s">
        <v>36</v>
      </c>
      <c r="J353" t="s">
        <v>16</v>
      </c>
      <c r="K353">
        <v>73417</v>
      </c>
    </row>
    <row r="354" spans="1:11" x14ac:dyDescent="0.35">
      <c r="A354" t="s">
        <v>401</v>
      </c>
      <c r="B354">
        <v>51</v>
      </c>
      <c r="C354" t="s">
        <v>12</v>
      </c>
      <c r="D354" t="s">
        <v>38</v>
      </c>
      <c r="E354" t="s">
        <v>20</v>
      </c>
      <c r="F354" s="1">
        <v>45453</v>
      </c>
      <c r="G354" s="1">
        <v>45468</v>
      </c>
      <c r="H354">
        <v>140</v>
      </c>
      <c r="I354" t="s">
        <v>36</v>
      </c>
      <c r="J354" t="s">
        <v>16</v>
      </c>
      <c r="K354">
        <v>58139</v>
      </c>
    </row>
    <row r="355" spans="1:11" x14ac:dyDescent="0.35">
      <c r="A355" t="s">
        <v>402</v>
      </c>
      <c r="B355">
        <v>75</v>
      </c>
      <c r="C355" t="s">
        <v>18</v>
      </c>
      <c r="D355" t="s">
        <v>13</v>
      </c>
      <c r="E355" t="s">
        <v>90</v>
      </c>
      <c r="F355" s="1">
        <v>45361</v>
      </c>
      <c r="G355" s="1">
        <v>45374</v>
      </c>
      <c r="H355">
        <v>85</v>
      </c>
      <c r="I355" t="s">
        <v>46</v>
      </c>
      <c r="J355" t="s">
        <v>26</v>
      </c>
      <c r="K355">
        <v>87321</v>
      </c>
    </row>
    <row r="356" spans="1:11" x14ac:dyDescent="0.35">
      <c r="A356" t="s">
        <v>403</v>
      </c>
      <c r="B356">
        <v>69</v>
      </c>
      <c r="C356" t="s">
        <v>12</v>
      </c>
      <c r="D356" t="s">
        <v>13</v>
      </c>
      <c r="E356" t="s">
        <v>20</v>
      </c>
      <c r="F356" s="1">
        <v>45500</v>
      </c>
      <c r="G356" s="1">
        <v>45502</v>
      </c>
      <c r="H356">
        <v>158</v>
      </c>
      <c r="I356" t="s">
        <v>46</v>
      </c>
      <c r="J356" t="s">
        <v>16</v>
      </c>
      <c r="K356">
        <v>36434</v>
      </c>
    </row>
    <row r="357" spans="1:11" x14ac:dyDescent="0.35">
      <c r="A357" t="s">
        <v>404</v>
      </c>
      <c r="B357">
        <v>88</v>
      </c>
      <c r="C357" t="s">
        <v>12</v>
      </c>
      <c r="D357" t="s">
        <v>28</v>
      </c>
      <c r="E357" t="s">
        <v>52</v>
      </c>
      <c r="F357" s="1">
        <v>45338</v>
      </c>
      <c r="G357" s="1">
        <v>45341</v>
      </c>
      <c r="H357">
        <v>111</v>
      </c>
      <c r="I357" t="s">
        <v>33</v>
      </c>
      <c r="J357" t="s">
        <v>16</v>
      </c>
      <c r="K357">
        <v>28910</v>
      </c>
    </row>
    <row r="358" spans="1:11" x14ac:dyDescent="0.35">
      <c r="A358" t="s">
        <v>405</v>
      </c>
      <c r="B358">
        <v>46</v>
      </c>
      <c r="C358" t="s">
        <v>12</v>
      </c>
      <c r="D358" t="s">
        <v>28</v>
      </c>
      <c r="E358" t="s">
        <v>52</v>
      </c>
      <c r="F358" s="1">
        <v>45656</v>
      </c>
      <c r="G358" s="1">
        <v>45660</v>
      </c>
      <c r="H358">
        <v>154</v>
      </c>
      <c r="I358" t="s">
        <v>33</v>
      </c>
      <c r="J358" t="s">
        <v>16</v>
      </c>
      <c r="K358">
        <v>13147</v>
      </c>
    </row>
    <row r="359" spans="1:11" x14ac:dyDescent="0.35">
      <c r="A359" t="s">
        <v>406</v>
      </c>
      <c r="B359">
        <v>58</v>
      </c>
      <c r="C359" t="s">
        <v>18</v>
      </c>
      <c r="D359" t="s">
        <v>24</v>
      </c>
      <c r="E359" t="s">
        <v>20</v>
      </c>
      <c r="F359" s="1">
        <v>45499</v>
      </c>
      <c r="G359" s="1">
        <v>45513</v>
      </c>
      <c r="H359">
        <v>53</v>
      </c>
      <c r="I359" t="s">
        <v>36</v>
      </c>
      <c r="J359" t="s">
        <v>16</v>
      </c>
      <c r="K359">
        <v>8134</v>
      </c>
    </row>
    <row r="360" spans="1:11" x14ac:dyDescent="0.35">
      <c r="A360" t="s">
        <v>407</v>
      </c>
      <c r="B360">
        <v>29</v>
      </c>
      <c r="C360" t="s">
        <v>18</v>
      </c>
      <c r="D360" t="s">
        <v>13</v>
      </c>
      <c r="E360" t="s">
        <v>56</v>
      </c>
      <c r="F360" s="1">
        <v>45323</v>
      </c>
      <c r="G360" s="1">
        <v>45337</v>
      </c>
      <c r="H360">
        <v>191</v>
      </c>
      <c r="I360" t="s">
        <v>15</v>
      </c>
      <c r="J360" t="s">
        <v>16</v>
      </c>
      <c r="K360">
        <v>24657</v>
      </c>
    </row>
    <row r="361" spans="1:11" x14ac:dyDescent="0.35">
      <c r="A361" t="s">
        <v>408</v>
      </c>
      <c r="B361">
        <v>26</v>
      </c>
      <c r="C361" t="s">
        <v>12</v>
      </c>
      <c r="D361" t="s">
        <v>13</v>
      </c>
      <c r="E361" t="s">
        <v>45</v>
      </c>
      <c r="F361" s="1">
        <v>45303</v>
      </c>
      <c r="G361" s="1">
        <v>45305</v>
      </c>
      <c r="H361">
        <v>170</v>
      </c>
      <c r="I361" t="s">
        <v>15</v>
      </c>
      <c r="J361" t="s">
        <v>16</v>
      </c>
      <c r="K361">
        <v>125847</v>
      </c>
    </row>
    <row r="362" spans="1:11" x14ac:dyDescent="0.35">
      <c r="A362" t="s">
        <v>409</v>
      </c>
      <c r="B362">
        <v>74</v>
      </c>
      <c r="C362" t="s">
        <v>12</v>
      </c>
      <c r="D362" t="s">
        <v>31</v>
      </c>
      <c r="E362" t="s">
        <v>43</v>
      </c>
      <c r="F362" s="1">
        <v>45317</v>
      </c>
      <c r="G362" s="1">
        <v>45320</v>
      </c>
      <c r="H362">
        <v>16</v>
      </c>
      <c r="I362" t="s">
        <v>46</v>
      </c>
      <c r="J362" t="s">
        <v>26</v>
      </c>
      <c r="K362">
        <v>50300</v>
      </c>
    </row>
    <row r="363" spans="1:11" x14ac:dyDescent="0.35">
      <c r="A363" t="s">
        <v>410</v>
      </c>
      <c r="B363">
        <v>24</v>
      </c>
      <c r="C363" t="s">
        <v>12</v>
      </c>
      <c r="D363" t="s">
        <v>38</v>
      </c>
      <c r="E363" t="s">
        <v>20</v>
      </c>
      <c r="F363" s="1">
        <v>45473</v>
      </c>
      <c r="G363" s="1">
        <v>45477</v>
      </c>
      <c r="H363">
        <v>77</v>
      </c>
      <c r="I363" t="s">
        <v>15</v>
      </c>
      <c r="J363" t="s">
        <v>16</v>
      </c>
      <c r="K363">
        <v>174680</v>
      </c>
    </row>
    <row r="364" spans="1:11" x14ac:dyDescent="0.35">
      <c r="A364" t="s">
        <v>411</v>
      </c>
      <c r="B364">
        <v>53</v>
      </c>
      <c r="C364" t="s">
        <v>12</v>
      </c>
      <c r="D364" t="s">
        <v>24</v>
      </c>
      <c r="E364" t="s">
        <v>45</v>
      </c>
      <c r="F364" s="1">
        <v>45443</v>
      </c>
      <c r="G364" s="1">
        <v>45451</v>
      </c>
      <c r="H364">
        <v>144</v>
      </c>
      <c r="I364" t="s">
        <v>46</v>
      </c>
      <c r="J364" t="s">
        <v>16</v>
      </c>
      <c r="K364">
        <v>114899</v>
      </c>
    </row>
    <row r="365" spans="1:11" x14ac:dyDescent="0.35">
      <c r="A365" t="s">
        <v>412</v>
      </c>
      <c r="B365">
        <v>68</v>
      </c>
      <c r="C365" t="s">
        <v>18</v>
      </c>
      <c r="D365" t="s">
        <v>28</v>
      </c>
      <c r="E365" t="s">
        <v>80</v>
      </c>
      <c r="F365" s="1">
        <v>45394</v>
      </c>
      <c r="G365" s="1">
        <v>45405</v>
      </c>
      <c r="H365">
        <v>196</v>
      </c>
      <c r="I365" t="s">
        <v>33</v>
      </c>
      <c r="J365" t="s">
        <v>26</v>
      </c>
      <c r="K365">
        <v>147742</v>
      </c>
    </row>
    <row r="366" spans="1:11" x14ac:dyDescent="0.35">
      <c r="A366" t="s">
        <v>413</v>
      </c>
      <c r="B366">
        <v>73</v>
      </c>
      <c r="C366" t="s">
        <v>12</v>
      </c>
      <c r="D366" t="s">
        <v>31</v>
      </c>
      <c r="E366" t="s">
        <v>32</v>
      </c>
      <c r="F366" s="1">
        <v>45540</v>
      </c>
      <c r="G366" s="1">
        <v>45546</v>
      </c>
      <c r="H366">
        <v>93</v>
      </c>
      <c r="I366" t="s">
        <v>15</v>
      </c>
      <c r="J366" t="s">
        <v>16</v>
      </c>
      <c r="K366">
        <v>161530</v>
      </c>
    </row>
    <row r="367" spans="1:11" x14ac:dyDescent="0.35">
      <c r="A367" t="s">
        <v>414</v>
      </c>
      <c r="B367">
        <v>36</v>
      </c>
      <c r="C367" t="s">
        <v>18</v>
      </c>
      <c r="D367" t="s">
        <v>31</v>
      </c>
      <c r="E367" t="s">
        <v>49</v>
      </c>
      <c r="F367" s="1">
        <v>45404</v>
      </c>
      <c r="G367" s="1">
        <v>45405</v>
      </c>
      <c r="H367">
        <v>184</v>
      </c>
      <c r="I367" t="s">
        <v>36</v>
      </c>
      <c r="J367" t="s">
        <v>16</v>
      </c>
      <c r="K367">
        <v>31249</v>
      </c>
    </row>
    <row r="368" spans="1:11" x14ac:dyDescent="0.35">
      <c r="A368" t="s">
        <v>415</v>
      </c>
      <c r="B368">
        <v>31</v>
      </c>
      <c r="C368" t="s">
        <v>12</v>
      </c>
      <c r="D368" t="s">
        <v>28</v>
      </c>
      <c r="E368" t="s">
        <v>25</v>
      </c>
      <c r="F368" s="1">
        <v>45418</v>
      </c>
      <c r="G368" s="1">
        <v>45429</v>
      </c>
      <c r="H368">
        <v>29</v>
      </c>
      <c r="I368" t="s">
        <v>36</v>
      </c>
      <c r="J368" t="s">
        <v>26</v>
      </c>
      <c r="K368">
        <v>98009</v>
      </c>
    </row>
    <row r="369" spans="1:11" x14ac:dyDescent="0.35">
      <c r="A369" t="s">
        <v>416</v>
      </c>
      <c r="B369">
        <v>31</v>
      </c>
      <c r="C369" t="s">
        <v>12</v>
      </c>
      <c r="D369" t="s">
        <v>38</v>
      </c>
      <c r="E369" t="s">
        <v>58</v>
      </c>
      <c r="F369" s="1">
        <v>45380</v>
      </c>
      <c r="G369" s="1">
        <v>45383</v>
      </c>
      <c r="H369">
        <v>15</v>
      </c>
      <c r="I369" t="s">
        <v>33</v>
      </c>
      <c r="J369" t="s">
        <v>16</v>
      </c>
      <c r="K369">
        <v>152615</v>
      </c>
    </row>
    <row r="370" spans="1:11" x14ac:dyDescent="0.35">
      <c r="A370" t="s">
        <v>417</v>
      </c>
      <c r="B370">
        <v>64</v>
      </c>
      <c r="C370" t="s">
        <v>12</v>
      </c>
      <c r="D370" t="s">
        <v>13</v>
      </c>
      <c r="E370" t="s">
        <v>43</v>
      </c>
      <c r="F370" s="1">
        <v>45388</v>
      </c>
      <c r="G370" s="1">
        <v>45402</v>
      </c>
      <c r="H370">
        <v>20</v>
      </c>
      <c r="I370" t="s">
        <v>15</v>
      </c>
      <c r="J370" t="s">
        <v>16</v>
      </c>
      <c r="K370">
        <v>65980</v>
      </c>
    </row>
    <row r="371" spans="1:11" x14ac:dyDescent="0.35">
      <c r="A371" t="s">
        <v>418</v>
      </c>
      <c r="B371">
        <v>3</v>
      </c>
      <c r="C371" t="s">
        <v>12</v>
      </c>
      <c r="D371" t="s">
        <v>24</v>
      </c>
      <c r="E371" t="s">
        <v>95</v>
      </c>
      <c r="F371" s="1">
        <v>45600</v>
      </c>
      <c r="G371" s="1">
        <v>45604</v>
      </c>
      <c r="H371">
        <v>104</v>
      </c>
      <c r="I371" t="s">
        <v>36</v>
      </c>
      <c r="J371" t="s">
        <v>16</v>
      </c>
      <c r="K371">
        <v>192940</v>
      </c>
    </row>
    <row r="372" spans="1:11" x14ac:dyDescent="0.35">
      <c r="A372" t="s">
        <v>419</v>
      </c>
      <c r="B372">
        <v>42</v>
      </c>
      <c r="C372" t="s">
        <v>18</v>
      </c>
      <c r="D372" t="s">
        <v>24</v>
      </c>
      <c r="E372" t="s">
        <v>106</v>
      </c>
      <c r="F372" s="1">
        <v>45382</v>
      </c>
      <c r="G372" s="1">
        <v>45397</v>
      </c>
      <c r="H372">
        <v>73</v>
      </c>
      <c r="I372" t="s">
        <v>15</v>
      </c>
      <c r="J372" t="s">
        <v>16</v>
      </c>
      <c r="K372">
        <v>24013</v>
      </c>
    </row>
    <row r="373" spans="1:11" x14ac:dyDescent="0.35">
      <c r="A373" t="s">
        <v>420</v>
      </c>
      <c r="B373">
        <v>85</v>
      </c>
      <c r="C373" t="s">
        <v>12</v>
      </c>
      <c r="D373" t="s">
        <v>28</v>
      </c>
      <c r="E373" t="s">
        <v>90</v>
      </c>
      <c r="F373" s="1">
        <v>45483</v>
      </c>
      <c r="G373" s="1">
        <v>45495</v>
      </c>
      <c r="H373">
        <v>173</v>
      </c>
      <c r="I373" t="s">
        <v>33</v>
      </c>
      <c r="J373" t="s">
        <v>16</v>
      </c>
      <c r="K373">
        <v>40769</v>
      </c>
    </row>
    <row r="374" spans="1:11" x14ac:dyDescent="0.35">
      <c r="A374" t="s">
        <v>421</v>
      </c>
      <c r="B374">
        <v>56</v>
      </c>
      <c r="C374" t="s">
        <v>12</v>
      </c>
      <c r="D374" t="s">
        <v>38</v>
      </c>
      <c r="E374" t="s">
        <v>66</v>
      </c>
      <c r="F374" s="1">
        <v>45372</v>
      </c>
      <c r="G374" s="1">
        <v>45384</v>
      </c>
      <c r="H374">
        <v>288</v>
      </c>
      <c r="I374" t="s">
        <v>33</v>
      </c>
      <c r="J374" t="s">
        <v>16</v>
      </c>
      <c r="K374">
        <v>179465</v>
      </c>
    </row>
    <row r="375" spans="1:11" x14ac:dyDescent="0.35">
      <c r="A375" t="s">
        <v>422</v>
      </c>
      <c r="B375">
        <v>23</v>
      </c>
      <c r="C375" t="s">
        <v>12</v>
      </c>
      <c r="D375" t="s">
        <v>38</v>
      </c>
      <c r="E375" t="s">
        <v>25</v>
      </c>
      <c r="F375" s="1">
        <v>45593</v>
      </c>
      <c r="G375" s="1">
        <v>45607</v>
      </c>
      <c r="H375">
        <v>151</v>
      </c>
      <c r="I375" t="s">
        <v>36</v>
      </c>
      <c r="J375" t="s">
        <v>16</v>
      </c>
      <c r="K375">
        <v>196058</v>
      </c>
    </row>
    <row r="376" spans="1:11" x14ac:dyDescent="0.35">
      <c r="A376" t="s">
        <v>423</v>
      </c>
      <c r="B376">
        <v>74</v>
      </c>
      <c r="C376" t="s">
        <v>12</v>
      </c>
      <c r="D376" t="s">
        <v>28</v>
      </c>
      <c r="E376" t="s">
        <v>52</v>
      </c>
      <c r="F376" s="1">
        <v>45292</v>
      </c>
      <c r="G376" s="1">
        <v>45304</v>
      </c>
      <c r="H376">
        <v>94</v>
      </c>
      <c r="I376" t="s">
        <v>33</v>
      </c>
      <c r="J376" t="s">
        <v>16</v>
      </c>
      <c r="K376">
        <v>172679</v>
      </c>
    </row>
    <row r="377" spans="1:11" x14ac:dyDescent="0.35">
      <c r="A377" t="s">
        <v>424</v>
      </c>
      <c r="B377">
        <v>64</v>
      </c>
      <c r="C377" t="s">
        <v>18</v>
      </c>
      <c r="D377" t="s">
        <v>38</v>
      </c>
      <c r="E377" t="s">
        <v>25</v>
      </c>
      <c r="F377" s="1">
        <v>45581</v>
      </c>
      <c r="G377" s="1">
        <v>45583</v>
      </c>
      <c r="H377">
        <v>40</v>
      </c>
      <c r="I377" t="s">
        <v>36</v>
      </c>
      <c r="J377" t="s">
        <v>16</v>
      </c>
      <c r="K377">
        <v>88759</v>
      </c>
    </row>
    <row r="378" spans="1:11" x14ac:dyDescent="0.35">
      <c r="A378" t="s">
        <v>425</v>
      </c>
      <c r="B378">
        <v>12</v>
      </c>
      <c r="C378" t="s">
        <v>12</v>
      </c>
      <c r="D378" t="s">
        <v>31</v>
      </c>
      <c r="E378" t="s">
        <v>80</v>
      </c>
      <c r="F378" s="1">
        <v>45377</v>
      </c>
      <c r="G378" s="1">
        <v>45388</v>
      </c>
      <c r="H378">
        <v>136</v>
      </c>
      <c r="I378" t="s">
        <v>36</v>
      </c>
      <c r="J378" t="s">
        <v>16</v>
      </c>
      <c r="K378">
        <v>186711</v>
      </c>
    </row>
    <row r="379" spans="1:11" x14ac:dyDescent="0.35">
      <c r="A379" t="s">
        <v>426</v>
      </c>
      <c r="B379">
        <v>33</v>
      </c>
      <c r="C379" t="s">
        <v>18</v>
      </c>
      <c r="D379" t="s">
        <v>24</v>
      </c>
      <c r="E379" t="s">
        <v>52</v>
      </c>
      <c r="F379" s="1">
        <v>45326</v>
      </c>
      <c r="G379" s="1">
        <v>45332</v>
      </c>
      <c r="H379">
        <v>198</v>
      </c>
      <c r="I379" t="s">
        <v>46</v>
      </c>
      <c r="J379" t="s">
        <v>26</v>
      </c>
      <c r="K379">
        <v>48604</v>
      </c>
    </row>
    <row r="380" spans="1:11" x14ac:dyDescent="0.35">
      <c r="A380" t="s">
        <v>427</v>
      </c>
      <c r="B380">
        <v>49</v>
      </c>
      <c r="C380" t="s">
        <v>12</v>
      </c>
      <c r="D380" t="s">
        <v>28</v>
      </c>
      <c r="E380" t="s">
        <v>56</v>
      </c>
      <c r="F380" s="1">
        <v>45503</v>
      </c>
      <c r="G380" s="1">
        <v>45511</v>
      </c>
      <c r="H380">
        <v>52</v>
      </c>
      <c r="I380" t="s">
        <v>46</v>
      </c>
      <c r="J380" t="s">
        <v>16</v>
      </c>
      <c r="K380">
        <v>47639</v>
      </c>
    </row>
    <row r="381" spans="1:11" x14ac:dyDescent="0.35">
      <c r="A381" t="s">
        <v>428</v>
      </c>
      <c r="B381">
        <v>5</v>
      </c>
      <c r="C381" t="s">
        <v>12</v>
      </c>
      <c r="D381" t="s">
        <v>24</v>
      </c>
      <c r="E381" t="s">
        <v>95</v>
      </c>
      <c r="F381" s="1">
        <v>45523</v>
      </c>
      <c r="G381" s="1">
        <v>45525</v>
      </c>
      <c r="H381">
        <v>134</v>
      </c>
      <c r="I381" t="s">
        <v>15</v>
      </c>
      <c r="J381" t="s">
        <v>16</v>
      </c>
      <c r="K381">
        <v>94602</v>
      </c>
    </row>
    <row r="382" spans="1:11" x14ac:dyDescent="0.35">
      <c r="A382" t="s">
        <v>429</v>
      </c>
      <c r="B382">
        <v>49</v>
      </c>
      <c r="C382" t="s">
        <v>18</v>
      </c>
      <c r="D382" t="s">
        <v>24</v>
      </c>
      <c r="E382" t="s">
        <v>61</v>
      </c>
      <c r="F382" s="1">
        <v>45379</v>
      </c>
      <c r="G382" s="1">
        <v>45394</v>
      </c>
      <c r="H382">
        <v>48</v>
      </c>
      <c r="I382" t="s">
        <v>33</v>
      </c>
      <c r="J382" t="s">
        <v>26</v>
      </c>
      <c r="K382">
        <v>189681</v>
      </c>
    </row>
    <row r="383" spans="1:11" x14ac:dyDescent="0.35">
      <c r="A383" t="s">
        <v>430</v>
      </c>
      <c r="B383">
        <v>84</v>
      </c>
      <c r="C383" t="s">
        <v>18</v>
      </c>
      <c r="D383" t="s">
        <v>28</v>
      </c>
      <c r="E383" t="s">
        <v>93</v>
      </c>
      <c r="F383" s="1">
        <v>45307</v>
      </c>
      <c r="G383" s="1">
        <v>45314</v>
      </c>
      <c r="H383">
        <v>81</v>
      </c>
      <c r="I383" t="s">
        <v>15</v>
      </c>
      <c r="J383" t="s">
        <v>16</v>
      </c>
      <c r="K383">
        <v>91794</v>
      </c>
    </row>
    <row r="384" spans="1:11" x14ac:dyDescent="0.35">
      <c r="A384" t="s">
        <v>431</v>
      </c>
      <c r="B384">
        <v>53</v>
      </c>
      <c r="C384" t="s">
        <v>12</v>
      </c>
      <c r="D384" t="s">
        <v>38</v>
      </c>
      <c r="E384" t="s">
        <v>83</v>
      </c>
      <c r="F384" s="1">
        <v>45397</v>
      </c>
      <c r="G384" s="1">
        <v>45401</v>
      </c>
      <c r="H384">
        <v>122</v>
      </c>
      <c r="I384" t="s">
        <v>15</v>
      </c>
      <c r="J384" t="s">
        <v>16</v>
      </c>
      <c r="K384">
        <v>107996</v>
      </c>
    </row>
    <row r="385" spans="1:11" x14ac:dyDescent="0.35">
      <c r="A385" t="s">
        <v>432</v>
      </c>
      <c r="B385">
        <v>63</v>
      </c>
      <c r="C385" t="s">
        <v>18</v>
      </c>
      <c r="D385" t="s">
        <v>24</v>
      </c>
      <c r="E385" t="s">
        <v>63</v>
      </c>
      <c r="F385" s="1">
        <v>45584</v>
      </c>
      <c r="G385" s="1">
        <v>45593</v>
      </c>
      <c r="H385">
        <v>2</v>
      </c>
      <c r="I385" t="s">
        <v>46</v>
      </c>
      <c r="J385" t="s">
        <v>16</v>
      </c>
      <c r="K385">
        <v>82214</v>
      </c>
    </row>
    <row r="386" spans="1:11" x14ac:dyDescent="0.35">
      <c r="A386" t="s">
        <v>433</v>
      </c>
      <c r="B386">
        <v>77</v>
      </c>
      <c r="C386" t="s">
        <v>12</v>
      </c>
      <c r="D386" t="s">
        <v>13</v>
      </c>
      <c r="E386" t="s">
        <v>90</v>
      </c>
      <c r="F386" s="1">
        <v>45630</v>
      </c>
      <c r="G386" s="1">
        <v>45641</v>
      </c>
      <c r="H386">
        <v>14</v>
      </c>
      <c r="I386" t="s">
        <v>36</v>
      </c>
      <c r="J386" t="s">
        <v>16</v>
      </c>
      <c r="K386">
        <v>172297</v>
      </c>
    </row>
    <row r="387" spans="1:11" x14ac:dyDescent="0.35">
      <c r="A387" t="s">
        <v>434</v>
      </c>
      <c r="B387">
        <v>61</v>
      </c>
      <c r="C387" t="s">
        <v>18</v>
      </c>
      <c r="D387" t="s">
        <v>38</v>
      </c>
      <c r="E387" t="s">
        <v>56</v>
      </c>
      <c r="F387" s="1">
        <v>45441</v>
      </c>
      <c r="G387" s="1">
        <v>45443</v>
      </c>
      <c r="H387">
        <v>242</v>
      </c>
      <c r="I387" t="s">
        <v>46</v>
      </c>
      <c r="J387" t="s">
        <v>16</v>
      </c>
      <c r="K387">
        <v>28890</v>
      </c>
    </row>
    <row r="388" spans="1:11" x14ac:dyDescent="0.35">
      <c r="A388" t="s">
        <v>435</v>
      </c>
      <c r="B388">
        <v>50</v>
      </c>
      <c r="C388" t="s">
        <v>18</v>
      </c>
      <c r="D388" t="s">
        <v>38</v>
      </c>
      <c r="E388" t="s">
        <v>56</v>
      </c>
      <c r="F388" s="1">
        <v>45620</v>
      </c>
      <c r="G388" s="1">
        <v>45629</v>
      </c>
      <c r="H388">
        <v>190</v>
      </c>
      <c r="I388" t="s">
        <v>36</v>
      </c>
      <c r="J388" t="s">
        <v>26</v>
      </c>
      <c r="K388">
        <v>16696</v>
      </c>
    </row>
    <row r="389" spans="1:11" x14ac:dyDescent="0.35">
      <c r="A389" t="s">
        <v>436</v>
      </c>
      <c r="B389">
        <v>60</v>
      </c>
      <c r="C389" t="s">
        <v>12</v>
      </c>
      <c r="D389" t="s">
        <v>13</v>
      </c>
      <c r="E389" t="s">
        <v>32</v>
      </c>
      <c r="F389" s="1">
        <v>45426</v>
      </c>
      <c r="G389" s="1">
        <v>45434</v>
      </c>
      <c r="H389">
        <v>289</v>
      </c>
      <c r="I389" t="s">
        <v>15</v>
      </c>
      <c r="J389" t="s">
        <v>16</v>
      </c>
      <c r="K389">
        <v>187575</v>
      </c>
    </row>
    <row r="390" spans="1:11" x14ac:dyDescent="0.35">
      <c r="A390" t="s">
        <v>437</v>
      </c>
      <c r="B390">
        <v>11</v>
      </c>
      <c r="C390" t="s">
        <v>12</v>
      </c>
      <c r="D390" t="s">
        <v>28</v>
      </c>
      <c r="E390" t="s">
        <v>93</v>
      </c>
      <c r="F390" s="1">
        <v>45633</v>
      </c>
      <c r="G390" s="1">
        <v>45635</v>
      </c>
      <c r="H390">
        <v>117</v>
      </c>
      <c r="I390" t="s">
        <v>15</v>
      </c>
      <c r="J390" t="s">
        <v>26</v>
      </c>
      <c r="K390">
        <v>141991</v>
      </c>
    </row>
    <row r="391" spans="1:11" x14ac:dyDescent="0.35">
      <c r="A391" t="s">
        <v>438</v>
      </c>
      <c r="B391">
        <v>88</v>
      </c>
      <c r="C391" t="s">
        <v>12</v>
      </c>
      <c r="D391" t="s">
        <v>28</v>
      </c>
      <c r="E391" t="s">
        <v>14</v>
      </c>
      <c r="F391" s="1">
        <v>45506</v>
      </c>
      <c r="G391" s="1">
        <v>45515</v>
      </c>
      <c r="H391">
        <v>244</v>
      </c>
      <c r="I391" t="s">
        <v>33</v>
      </c>
      <c r="J391" t="s">
        <v>16</v>
      </c>
      <c r="K391">
        <v>108495</v>
      </c>
    </row>
    <row r="392" spans="1:11" x14ac:dyDescent="0.35">
      <c r="A392" t="s">
        <v>439</v>
      </c>
      <c r="B392">
        <v>74</v>
      </c>
      <c r="C392" t="s">
        <v>18</v>
      </c>
      <c r="D392" t="s">
        <v>24</v>
      </c>
      <c r="E392" t="s">
        <v>22</v>
      </c>
      <c r="F392" s="1">
        <v>45309</v>
      </c>
      <c r="G392" s="1">
        <v>45318</v>
      </c>
      <c r="H392">
        <v>230</v>
      </c>
      <c r="I392" t="s">
        <v>36</v>
      </c>
      <c r="J392" t="s">
        <v>16</v>
      </c>
      <c r="K392">
        <v>60545</v>
      </c>
    </row>
    <row r="393" spans="1:11" x14ac:dyDescent="0.35">
      <c r="A393" t="s">
        <v>440</v>
      </c>
      <c r="B393">
        <v>6</v>
      </c>
      <c r="C393" t="s">
        <v>12</v>
      </c>
      <c r="D393" t="s">
        <v>24</v>
      </c>
      <c r="E393" t="s">
        <v>54</v>
      </c>
      <c r="F393" s="1">
        <v>45390</v>
      </c>
      <c r="G393" s="1">
        <v>45393</v>
      </c>
      <c r="H393">
        <v>223</v>
      </c>
      <c r="I393" t="s">
        <v>36</v>
      </c>
      <c r="J393" t="s">
        <v>16</v>
      </c>
      <c r="K393">
        <v>160988</v>
      </c>
    </row>
    <row r="394" spans="1:11" x14ac:dyDescent="0.35">
      <c r="A394" t="s">
        <v>441</v>
      </c>
      <c r="B394">
        <v>9</v>
      </c>
      <c r="C394" t="s">
        <v>18</v>
      </c>
      <c r="D394" t="s">
        <v>31</v>
      </c>
      <c r="E394" t="s">
        <v>61</v>
      </c>
      <c r="F394" s="1">
        <v>45424</v>
      </c>
      <c r="G394" s="1">
        <v>45430</v>
      </c>
      <c r="H394">
        <v>204</v>
      </c>
      <c r="I394" t="s">
        <v>33</v>
      </c>
      <c r="J394" t="s">
        <v>16</v>
      </c>
      <c r="K394">
        <v>141233</v>
      </c>
    </row>
    <row r="395" spans="1:11" x14ac:dyDescent="0.35">
      <c r="A395" t="s">
        <v>442</v>
      </c>
      <c r="B395">
        <v>2</v>
      </c>
      <c r="C395" t="s">
        <v>12</v>
      </c>
      <c r="D395" t="s">
        <v>24</v>
      </c>
      <c r="E395" t="s">
        <v>93</v>
      </c>
      <c r="F395" s="1">
        <v>45526</v>
      </c>
      <c r="G395" s="1">
        <v>45541</v>
      </c>
      <c r="H395">
        <v>77</v>
      </c>
      <c r="I395" t="s">
        <v>36</v>
      </c>
      <c r="J395" t="s">
        <v>16</v>
      </c>
      <c r="K395">
        <v>32691</v>
      </c>
    </row>
    <row r="396" spans="1:11" x14ac:dyDescent="0.35">
      <c r="A396" t="s">
        <v>443</v>
      </c>
      <c r="B396">
        <v>13</v>
      </c>
      <c r="C396" t="s">
        <v>12</v>
      </c>
      <c r="D396" t="s">
        <v>28</v>
      </c>
      <c r="E396" t="s">
        <v>63</v>
      </c>
      <c r="F396" s="1">
        <v>45580</v>
      </c>
      <c r="G396" s="1">
        <v>45593</v>
      </c>
      <c r="H396">
        <v>211</v>
      </c>
      <c r="I396" t="s">
        <v>33</v>
      </c>
      <c r="J396" t="s">
        <v>26</v>
      </c>
      <c r="K396">
        <v>176648</v>
      </c>
    </row>
    <row r="397" spans="1:11" x14ac:dyDescent="0.35">
      <c r="A397" t="s">
        <v>444</v>
      </c>
      <c r="B397">
        <v>78</v>
      </c>
      <c r="C397" t="s">
        <v>12</v>
      </c>
      <c r="D397" t="s">
        <v>24</v>
      </c>
      <c r="E397" t="s">
        <v>66</v>
      </c>
      <c r="F397" s="1">
        <v>45540</v>
      </c>
      <c r="G397" s="1">
        <v>45550</v>
      </c>
      <c r="H397">
        <v>142</v>
      </c>
      <c r="I397" t="s">
        <v>46</v>
      </c>
      <c r="J397" t="s">
        <v>16</v>
      </c>
      <c r="K397">
        <v>167069</v>
      </c>
    </row>
    <row r="398" spans="1:11" x14ac:dyDescent="0.35">
      <c r="A398" t="s">
        <v>445</v>
      </c>
      <c r="B398">
        <v>89</v>
      </c>
      <c r="C398" t="s">
        <v>12</v>
      </c>
      <c r="D398" t="s">
        <v>24</v>
      </c>
      <c r="E398" t="s">
        <v>56</v>
      </c>
      <c r="F398" s="1">
        <v>45603</v>
      </c>
      <c r="G398" s="1">
        <v>45614</v>
      </c>
      <c r="H398">
        <v>170</v>
      </c>
      <c r="I398" t="s">
        <v>36</v>
      </c>
      <c r="J398" t="s">
        <v>16</v>
      </c>
      <c r="K398">
        <v>129575</v>
      </c>
    </row>
    <row r="399" spans="1:11" x14ac:dyDescent="0.35">
      <c r="A399" t="s">
        <v>446</v>
      </c>
      <c r="B399">
        <v>48</v>
      </c>
      <c r="C399" t="s">
        <v>18</v>
      </c>
      <c r="D399" t="s">
        <v>38</v>
      </c>
      <c r="E399" t="s">
        <v>83</v>
      </c>
      <c r="F399" s="1">
        <v>45429</v>
      </c>
      <c r="G399" s="1">
        <v>45444</v>
      </c>
      <c r="H399">
        <v>160</v>
      </c>
      <c r="I399" t="s">
        <v>33</v>
      </c>
      <c r="J399" t="s">
        <v>26</v>
      </c>
      <c r="K399">
        <v>187500</v>
      </c>
    </row>
    <row r="400" spans="1:11" x14ac:dyDescent="0.35">
      <c r="A400" t="s">
        <v>447</v>
      </c>
      <c r="B400">
        <v>30</v>
      </c>
      <c r="C400" t="s">
        <v>18</v>
      </c>
      <c r="D400" t="s">
        <v>38</v>
      </c>
      <c r="E400" t="s">
        <v>25</v>
      </c>
      <c r="F400" s="1">
        <v>45642</v>
      </c>
      <c r="G400" s="1">
        <v>45644</v>
      </c>
      <c r="H400">
        <v>227</v>
      </c>
      <c r="I400" t="s">
        <v>33</v>
      </c>
      <c r="J400" t="s">
        <v>16</v>
      </c>
      <c r="K400">
        <v>196050</v>
      </c>
    </row>
    <row r="401" spans="1:11" x14ac:dyDescent="0.35">
      <c r="A401" t="s">
        <v>448</v>
      </c>
      <c r="B401">
        <v>83</v>
      </c>
      <c r="C401" t="s">
        <v>18</v>
      </c>
      <c r="D401" t="s">
        <v>13</v>
      </c>
      <c r="E401" t="s">
        <v>20</v>
      </c>
      <c r="F401" s="1">
        <v>45505</v>
      </c>
      <c r="G401" s="1">
        <v>45515</v>
      </c>
      <c r="H401">
        <v>109</v>
      </c>
      <c r="I401" t="s">
        <v>46</v>
      </c>
      <c r="J401" t="s">
        <v>26</v>
      </c>
      <c r="K401">
        <v>140397</v>
      </c>
    </row>
    <row r="402" spans="1:11" x14ac:dyDescent="0.35">
      <c r="A402" t="s">
        <v>449</v>
      </c>
      <c r="B402">
        <v>8</v>
      </c>
      <c r="C402" t="s">
        <v>18</v>
      </c>
      <c r="D402" t="s">
        <v>24</v>
      </c>
      <c r="E402" t="s">
        <v>83</v>
      </c>
      <c r="F402" s="1">
        <v>45483</v>
      </c>
      <c r="G402" s="1">
        <v>45497</v>
      </c>
      <c r="H402">
        <v>260</v>
      </c>
      <c r="I402" t="s">
        <v>46</v>
      </c>
      <c r="J402" t="s">
        <v>16</v>
      </c>
      <c r="K402">
        <v>142438</v>
      </c>
    </row>
    <row r="403" spans="1:11" x14ac:dyDescent="0.35">
      <c r="A403" t="s">
        <v>450</v>
      </c>
      <c r="B403">
        <v>23</v>
      </c>
      <c r="C403" t="s">
        <v>18</v>
      </c>
      <c r="D403" t="s">
        <v>13</v>
      </c>
      <c r="E403" t="s">
        <v>52</v>
      </c>
      <c r="F403" s="1">
        <v>45583</v>
      </c>
      <c r="G403" s="1">
        <v>45584</v>
      </c>
      <c r="H403">
        <v>128</v>
      </c>
      <c r="I403" t="s">
        <v>15</v>
      </c>
      <c r="J403" t="s">
        <v>26</v>
      </c>
      <c r="K403">
        <v>18253</v>
      </c>
    </row>
    <row r="404" spans="1:11" x14ac:dyDescent="0.35">
      <c r="A404" t="s">
        <v>451</v>
      </c>
      <c r="B404">
        <v>26</v>
      </c>
      <c r="C404" t="s">
        <v>12</v>
      </c>
      <c r="D404" t="s">
        <v>38</v>
      </c>
      <c r="E404" t="s">
        <v>20</v>
      </c>
      <c r="F404" s="1">
        <v>45476</v>
      </c>
      <c r="G404" s="1">
        <v>45488</v>
      </c>
      <c r="H404">
        <v>259</v>
      </c>
      <c r="I404" t="s">
        <v>46</v>
      </c>
      <c r="J404" t="s">
        <v>16</v>
      </c>
      <c r="K404">
        <v>183565</v>
      </c>
    </row>
    <row r="405" spans="1:11" x14ac:dyDescent="0.35">
      <c r="A405" t="s">
        <v>452</v>
      </c>
      <c r="B405">
        <v>48</v>
      </c>
      <c r="C405" t="s">
        <v>12</v>
      </c>
      <c r="D405" t="s">
        <v>28</v>
      </c>
      <c r="E405" t="s">
        <v>20</v>
      </c>
      <c r="F405" s="1">
        <v>45307</v>
      </c>
      <c r="G405" s="1">
        <v>45311</v>
      </c>
      <c r="H405">
        <v>91</v>
      </c>
      <c r="I405" t="s">
        <v>46</v>
      </c>
      <c r="J405" t="s">
        <v>16</v>
      </c>
      <c r="K405">
        <v>95242</v>
      </c>
    </row>
    <row r="406" spans="1:11" x14ac:dyDescent="0.35">
      <c r="A406" t="s">
        <v>453</v>
      </c>
      <c r="B406">
        <v>34</v>
      </c>
      <c r="C406" t="s">
        <v>18</v>
      </c>
      <c r="D406" t="s">
        <v>38</v>
      </c>
      <c r="E406" t="s">
        <v>80</v>
      </c>
      <c r="F406" s="1">
        <v>45375</v>
      </c>
      <c r="G406" s="1">
        <v>45389</v>
      </c>
      <c r="H406">
        <v>198</v>
      </c>
      <c r="I406" t="s">
        <v>15</v>
      </c>
      <c r="J406" t="s">
        <v>16</v>
      </c>
      <c r="K406">
        <v>155014</v>
      </c>
    </row>
    <row r="407" spans="1:11" x14ac:dyDescent="0.35">
      <c r="A407" t="s">
        <v>454</v>
      </c>
      <c r="B407">
        <v>29</v>
      </c>
      <c r="C407" t="s">
        <v>18</v>
      </c>
      <c r="D407" t="s">
        <v>13</v>
      </c>
      <c r="E407" t="s">
        <v>32</v>
      </c>
      <c r="F407" s="1">
        <v>45401</v>
      </c>
      <c r="G407" s="1">
        <v>45415</v>
      </c>
      <c r="H407">
        <v>210</v>
      </c>
      <c r="I407" t="s">
        <v>15</v>
      </c>
      <c r="J407" t="s">
        <v>16</v>
      </c>
      <c r="K407">
        <v>129281</v>
      </c>
    </row>
    <row r="408" spans="1:11" x14ac:dyDescent="0.35">
      <c r="A408" t="s">
        <v>455</v>
      </c>
      <c r="B408">
        <v>23</v>
      </c>
      <c r="C408" t="s">
        <v>18</v>
      </c>
      <c r="D408" t="s">
        <v>13</v>
      </c>
      <c r="E408" t="s">
        <v>32</v>
      </c>
      <c r="F408" s="1">
        <v>45359</v>
      </c>
      <c r="G408" s="1">
        <v>45370</v>
      </c>
      <c r="H408">
        <v>157</v>
      </c>
      <c r="I408" t="s">
        <v>33</v>
      </c>
      <c r="J408" t="s">
        <v>26</v>
      </c>
      <c r="K408">
        <v>103690</v>
      </c>
    </row>
    <row r="409" spans="1:11" x14ac:dyDescent="0.35">
      <c r="A409" t="s">
        <v>456</v>
      </c>
      <c r="B409">
        <v>33</v>
      </c>
      <c r="C409" t="s">
        <v>18</v>
      </c>
      <c r="D409" t="s">
        <v>31</v>
      </c>
      <c r="E409" t="s">
        <v>83</v>
      </c>
      <c r="F409" s="1">
        <v>45470</v>
      </c>
      <c r="G409" s="1">
        <v>45478</v>
      </c>
      <c r="H409">
        <v>267</v>
      </c>
      <c r="I409" t="s">
        <v>46</v>
      </c>
      <c r="J409" t="s">
        <v>16</v>
      </c>
      <c r="K409">
        <v>6926</v>
      </c>
    </row>
    <row r="410" spans="1:11" x14ac:dyDescent="0.35">
      <c r="A410" t="s">
        <v>457</v>
      </c>
      <c r="B410">
        <v>48</v>
      </c>
      <c r="C410" t="s">
        <v>12</v>
      </c>
      <c r="D410" t="s">
        <v>38</v>
      </c>
      <c r="E410" t="s">
        <v>54</v>
      </c>
      <c r="F410" s="1">
        <v>45553</v>
      </c>
      <c r="G410" s="1">
        <v>45564</v>
      </c>
      <c r="H410">
        <v>56</v>
      </c>
      <c r="I410" t="s">
        <v>46</v>
      </c>
      <c r="J410" t="s">
        <v>16</v>
      </c>
      <c r="K410">
        <v>93154</v>
      </c>
    </row>
    <row r="411" spans="1:11" x14ac:dyDescent="0.35">
      <c r="A411" t="s">
        <v>458</v>
      </c>
      <c r="B411">
        <v>42</v>
      </c>
      <c r="C411" t="s">
        <v>12</v>
      </c>
      <c r="D411" t="s">
        <v>38</v>
      </c>
      <c r="E411" t="s">
        <v>68</v>
      </c>
      <c r="F411" s="1">
        <v>45433</v>
      </c>
      <c r="G411" s="1">
        <v>45444</v>
      </c>
      <c r="H411">
        <v>153</v>
      </c>
      <c r="I411" t="s">
        <v>36</v>
      </c>
      <c r="J411" t="s">
        <v>16</v>
      </c>
      <c r="K411">
        <v>140605</v>
      </c>
    </row>
    <row r="412" spans="1:11" x14ac:dyDescent="0.35">
      <c r="A412" t="s">
        <v>459</v>
      </c>
      <c r="B412">
        <v>8</v>
      </c>
      <c r="C412" t="s">
        <v>12</v>
      </c>
      <c r="D412" t="s">
        <v>38</v>
      </c>
      <c r="E412" t="s">
        <v>54</v>
      </c>
      <c r="F412" s="1">
        <v>45415</v>
      </c>
      <c r="G412" s="1">
        <v>45430</v>
      </c>
      <c r="H412">
        <v>72</v>
      </c>
      <c r="I412" t="s">
        <v>15</v>
      </c>
      <c r="J412" t="s">
        <v>26</v>
      </c>
      <c r="K412">
        <v>82490</v>
      </c>
    </row>
    <row r="413" spans="1:11" x14ac:dyDescent="0.35">
      <c r="A413" t="s">
        <v>460</v>
      </c>
      <c r="B413">
        <v>54</v>
      </c>
      <c r="C413" t="s">
        <v>12</v>
      </c>
      <c r="D413" t="s">
        <v>31</v>
      </c>
      <c r="E413" t="s">
        <v>25</v>
      </c>
      <c r="F413" s="1">
        <v>45424</v>
      </c>
      <c r="G413" s="1">
        <v>45439</v>
      </c>
      <c r="H413">
        <v>19</v>
      </c>
      <c r="I413" t="s">
        <v>36</v>
      </c>
      <c r="J413" t="s">
        <v>16</v>
      </c>
      <c r="K413">
        <v>195460</v>
      </c>
    </row>
    <row r="414" spans="1:11" x14ac:dyDescent="0.35">
      <c r="A414" t="s">
        <v>461</v>
      </c>
      <c r="B414">
        <v>69</v>
      </c>
      <c r="C414" t="s">
        <v>12</v>
      </c>
      <c r="D414" t="s">
        <v>38</v>
      </c>
      <c r="E414" t="s">
        <v>49</v>
      </c>
      <c r="F414" s="1">
        <v>45405</v>
      </c>
      <c r="G414" s="1">
        <v>45416</v>
      </c>
      <c r="H414">
        <v>154</v>
      </c>
      <c r="I414" t="s">
        <v>36</v>
      </c>
      <c r="J414" t="s">
        <v>16</v>
      </c>
      <c r="K414">
        <v>82013</v>
      </c>
    </row>
    <row r="415" spans="1:11" x14ac:dyDescent="0.35">
      <c r="A415" t="s">
        <v>462</v>
      </c>
      <c r="B415">
        <v>17</v>
      </c>
      <c r="C415" t="s">
        <v>12</v>
      </c>
      <c r="D415" t="s">
        <v>28</v>
      </c>
      <c r="E415" t="s">
        <v>22</v>
      </c>
      <c r="F415" s="1">
        <v>45341</v>
      </c>
      <c r="G415" s="1">
        <v>45349</v>
      </c>
      <c r="H415">
        <v>94</v>
      </c>
      <c r="I415" t="s">
        <v>33</v>
      </c>
      <c r="J415" t="s">
        <v>16</v>
      </c>
      <c r="K415">
        <v>63262</v>
      </c>
    </row>
    <row r="416" spans="1:11" x14ac:dyDescent="0.35">
      <c r="A416" t="s">
        <v>463</v>
      </c>
      <c r="B416">
        <v>40</v>
      </c>
      <c r="C416" t="s">
        <v>12</v>
      </c>
      <c r="D416" t="s">
        <v>38</v>
      </c>
      <c r="E416" t="s">
        <v>63</v>
      </c>
      <c r="F416" s="1">
        <v>45473</v>
      </c>
      <c r="G416" s="1">
        <v>45477</v>
      </c>
      <c r="H416">
        <v>134</v>
      </c>
      <c r="I416" t="s">
        <v>33</v>
      </c>
      <c r="J416" t="s">
        <v>26</v>
      </c>
      <c r="K416">
        <v>35875</v>
      </c>
    </row>
    <row r="417" spans="1:11" x14ac:dyDescent="0.35">
      <c r="A417" t="s">
        <v>464</v>
      </c>
      <c r="B417">
        <v>82</v>
      </c>
      <c r="C417" t="s">
        <v>18</v>
      </c>
      <c r="D417" t="s">
        <v>31</v>
      </c>
      <c r="E417" t="s">
        <v>29</v>
      </c>
      <c r="F417" s="1">
        <v>45532</v>
      </c>
      <c r="G417" s="1">
        <v>45533</v>
      </c>
      <c r="H417">
        <v>257</v>
      </c>
      <c r="I417" t="s">
        <v>15</v>
      </c>
      <c r="J417" t="s">
        <v>26</v>
      </c>
      <c r="K417">
        <v>143893</v>
      </c>
    </row>
    <row r="418" spans="1:11" x14ac:dyDescent="0.35">
      <c r="A418" t="s">
        <v>465</v>
      </c>
      <c r="B418">
        <v>7</v>
      </c>
      <c r="C418" t="s">
        <v>18</v>
      </c>
      <c r="D418" t="s">
        <v>13</v>
      </c>
      <c r="E418" t="s">
        <v>29</v>
      </c>
      <c r="F418" s="1">
        <v>45444</v>
      </c>
      <c r="G418" s="1">
        <v>45451</v>
      </c>
      <c r="H418">
        <v>176</v>
      </c>
      <c r="I418" t="s">
        <v>46</v>
      </c>
      <c r="J418" t="s">
        <v>26</v>
      </c>
      <c r="K418">
        <v>42545</v>
      </c>
    </row>
    <row r="419" spans="1:11" x14ac:dyDescent="0.35">
      <c r="A419" t="s">
        <v>466</v>
      </c>
      <c r="B419">
        <v>24</v>
      </c>
      <c r="C419" t="s">
        <v>18</v>
      </c>
      <c r="D419" t="s">
        <v>31</v>
      </c>
      <c r="E419" t="s">
        <v>95</v>
      </c>
      <c r="F419" s="1">
        <v>45453</v>
      </c>
      <c r="G419" s="1">
        <v>45467</v>
      </c>
      <c r="H419">
        <v>91</v>
      </c>
      <c r="I419" t="s">
        <v>33</v>
      </c>
      <c r="J419" t="s">
        <v>16</v>
      </c>
      <c r="K419">
        <v>6235</v>
      </c>
    </row>
    <row r="420" spans="1:11" x14ac:dyDescent="0.35">
      <c r="A420" t="s">
        <v>467</v>
      </c>
      <c r="B420">
        <v>27</v>
      </c>
      <c r="C420" t="s">
        <v>18</v>
      </c>
      <c r="D420" t="s">
        <v>28</v>
      </c>
      <c r="E420" t="s">
        <v>22</v>
      </c>
      <c r="F420" s="1">
        <v>45523</v>
      </c>
      <c r="G420" s="1">
        <v>45528</v>
      </c>
      <c r="H420">
        <v>82</v>
      </c>
      <c r="I420" t="s">
        <v>46</v>
      </c>
      <c r="J420" t="s">
        <v>16</v>
      </c>
      <c r="K420">
        <v>38922</v>
      </c>
    </row>
    <row r="421" spans="1:11" x14ac:dyDescent="0.35">
      <c r="A421" t="s">
        <v>468</v>
      </c>
      <c r="B421">
        <v>82</v>
      </c>
      <c r="C421" t="s">
        <v>12</v>
      </c>
      <c r="D421" t="s">
        <v>31</v>
      </c>
      <c r="E421" t="s">
        <v>93</v>
      </c>
      <c r="F421" s="1">
        <v>45606</v>
      </c>
      <c r="G421" s="1">
        <v>45613</v>
      </c>
      <c r="H421">
        <v>245</v>
      </c>
      <c r="I421" t="s">
        <v>46</v>
      </c>
      <c r="J421" t="s">
        <v>16</v>
      </c>
      <c r="K421">
        <v>14889</v>
      </c>
    </row>
    <row r="422" spans="1:11" x14ac:dyDescent="0.35">
      <c r="A422" t="s">
        <v>469</v>
      </c>
      <c r="B422">
        <v>48</v>
      </c>
      <c r="C422" t="s">
        <v>18</v>
      </c>
      <c r="D422" t="s">
        <v>38</v>
      </c>
      <c r="E422" t="s">
        <v>22</v>
      </c>
      <c r="F422" s="1">
        <v>45565</v>
      </c>
      <c r="G422" s="1">
        <v>45569</v>
      </c>
      <c r="H422">
        <v>272</v>
      </c>
      <c r="I422" t="s">
        <v>36</v>
      </c>
      <c r="J422" t="s">
        <v>16</v>
      </c>
      <c r="K422">
        <v>182405</v>
      </c>
    </row>
    <row r="423" spans="1:11" x14ac:dyDescent="0.35">
      <c r="A423" t="s">
        <v>470</v>
      </c>
      <c r="B423">
        <v>32</v>
      </c>
      <c r="C423" t="s">
        <v>18</v>
      </c>
      <c r="D423" t="s">
        <v>38</v>
      </c>
      <c r="E423" t="s">
        <v>83</v>
      </c>
      <c r="F423" s="1">
        <v>45294</v>
      </c>
      <c r="G423" s="1">
        <v>45305</v>
      </c>
      <c r="H423">
        <v>67</v>
      </c>
      <c r="I423" t="s">
        <v>15</v>
      </c>
      <c r="J423" t="s">
        <v>26</v>
      </c>
      <c r="K423">
        <v>136946</v>
      </c>
    </row>
    <row r="424" spans="1:11" x14ac:dyDescent="0.35">
      <c r="A424" t="s">
        <v>471</v>
      </c>
      <c r="B424">
        <v>22</v>
      </c>
      <c r="C424" t="s">
        <v>18</v>
      </c>
      <c r="D424" t="s">
        <v>24</v>
      </c>
      <c r="E424" t="s">
        <v>83</v>
      </c>
      <c r="F424" s="1">
        <v>45593</v>
      </c>
      <c r="G424" s="1">
        <v>45598</v>
      </c>
      <c r="H424">
        <v>149</v>
      </c>
      <c r="I424" t="s">
        <v>46</v>
      </c>
      <c r="J424" t="s">
        <v>16</v>
      </c>
      <c r="K424">
        <v>118682</v>
      </c>
    </row>
    <row r="425" spans="1:11" x14ac:dyDescent="0.35">
      <c r="A425" t="s">
        <v>472</v>
      </c>
      <c r="B425">
        <v>44</v>
      </c>
      <c r="C425" t="s">
        <v>12</v>
      </c>
      <c r="D425" t="s">
        <v>38</v>
      </c>
      <c r="E425" t="s">
        <v>22</v>
      </c>
      <c r="F425" s="1">
        <v>45643</v>
      </c>
      <c r="G425" s="1">
        <v>45646</v>
      </c>
      <c r="H425">
        <v>97</v>
      </c>
      <c r="I425" t="s">
        <v>36</v>
      </c>
      <c r="J425" t="s">
        <v>26</v>
      </c>
      <c r="K425">
        <v>10013</v>
      </c>
    </row>
    <row r="426" spans="1:11" x14ac:dyDescent="0.35">
      <c r="A426" t="s">
        <v>473</v>
      </c>
      <c r="B426">
        <v>17</v>
      </c>
      <c r="C426" t="s">
        <v>18</v>
      </c>
      <c r="D426" t="s">
        <v>24</v>
      </c>
      <c r="E426" t="s">
        <v>58</v>
      </c>
      <c r="F426" s="1">
        <v>45408</v>
      </c>
      <c r="G426" s="1">
        <v>45412</v>
      </c>
      <c r="H426">
        <v>259</v>
      </c>
      <c r="I426" t="s">
        <v>36</v>
      </c>
      <c r="J426" t="s">
        <v>16</v>
      </c>
      <c r="K426">
        <v>101099</v>
      </c>
    </row>
    <row r="427" spans="1:11" x14ac:dyDescent="0.35">
      <c r="A427" t="s">
        <v>474</v>
      </c>
      <c r="B427">
        <v>5</v>
      </c>
      <c r="C427" t="s">
        <v>12</v>
      </c>
      <c r="D427" t="s">
        <v>38</v>
      </c>
      <c r="E427" t="s">
        <v>22</v>
      </c>
      <c r="F427" s="1">
        <v>45656</v>
      </c>
      <c r="G427" s="1">
        <v>45667</v>
      </c>
      <c r="H427">
        <v>274</v>
      </c>
      <c r="I427" t="s">
        <v>15</v>
      </c>
      <c r="J427" t="s">
        <v>16</v>
      </c>
      <c r="K427">
        <v>178531</v>
      </c>
    </row>
    <row r="428" spans="1:11" x14ac:dyDescent="0.35">
      <c r="A428" t="s">
        <v>475</v>
      </c>
      <c r="B428">
        <v>3</v>
      </c>
      <c r="C428" t="s">
        <v>18</v>
      </c>
      <c r="D428" t="s">
        <v>24</v>
      </c>
      <c r="E428" t="s">
        <v>93</v>
      </c>
      <c r="F428" s="1">
        <v>45347</v>
      </c>
      <c r="G428" s="1">
        <v>45358</v>
      </c>
      <c r="H428">
        <v>228</v>
      </c>
      <c r="I428" t="s">
        <v>46</v>
      </c>
      <c r="J428" t="s">
        <v>16</v>
      </c>
      <c r="K428">
        <v>148466</v>
      </c>
    </row>
    <row r="429" spans="1:11" x14ac:dyDescent="0.35">
      <c r="A429" t="s">
        <v>476</v>
      </c>
      <c r="B429">
        <v>90</v>
      </c>
      <c r="C429" t="s">
        <v>18</v>
      </c>
      <c r="D429" t="s">
        <v>13</v>
      </c>
      <c r="E429" t="s">
        <v>40</v>
      </c>
      <c r="F429" s="1">
        <v>45421</v>
      </c>
      <c r="G429" s="1">
        <v>45429</v>
      </c>
      <c r="H429">
        <v>5</v>
      </c>
      <c r="I429" t="s">
        <v>33</v>
      </c>
      <c r="J429" t="s">
        <v>26</v>
      </c>
      <c r="K429">
        <v>178451</v>
      </c>
    </row>
    <row r="430" spans="1:11" x14ac:dyDescent="0.35">
      <c r="A430" t="s">
        <v>477</v>
      </c>
      <c r="B430">
        <v>67</v>
      </c>
      <c r="C430" t="s">
        <v>12</v>
      </c>
      <c r="D430" t="s">
        <v>28</v>
      </c>
      <c r="E430" t="s">
        <v>35</v>
      </c>
      <c r="F430" s="1">
        <v>45343</v>
      </c>
      <c r="G430" s="1">
        <v>45354</v>
      </c>
      <c r="H430">
        <v>71</v>
      </c>
      <c r="I430" t="s">
        <v>46</v>
      </c>
      <c r="J430" t="s">
        <v>16</v>
      </c>
      <c r="K430">
        <v>139108</v>
      </c>
    </row>
    <row r="431" spans="1:11" x14ac:dyDescent="0.35">
      <c r="A431" t="s">
        <v>478</v>
      </c>
      <c r="B431">
        <v>37</v>
      </c>
      <c r="C431" t="s">
        <v>18</v>
      </c>
      <c r="D431" t="s">
        <v>24</v>
      </c>
      <c r="E431" t="s">
        <v>43</v>
      </c>
      <c r="F431" s="1">
        <v>45608</v>
      </c>
      <c r="G431" s="1">
        <v>45610</v>
      </c>
      <c r="H431">
        <v>102</v>
      </c>
      <c r="I431" t="s">
        <v>36</v>
      </c>
      <c r="J431" t="s">
        <v>16</v>
      </c>
      <c r="K431">
        <v>142139</v>
      </c>
    </row>
    <row r="432" spans="1:11" x14ac:dyDescent="0.35">
      <c r="A432" t="s">
        <v>479</v>
      </c>
      <c r="B432">
        <v>53</v>
      </c>
      <c r="C432" t="s">
        <v>12</v>
      </c>
      <c r="D432" t="s">
        <v>13</v>
      </c>
      <c r="E432" t="s">
        <v>52</v>
      </c>
      <c r="F432" s="1">
        <v>45395</v>
      </c>
      <c r="G432" s="1">
        <v>45401</v>
      </c>
      <c r="H432">
        <v>281</v>
      </c>
      <c r="I432" t="s">
        <v>46</v>
      </c>
      <c r="J432" t="s">
        <v>16</v>
      </c>
      <c r="K432">
        <v>185408</v>
      </c>
    </row>
    <row r="433" spans="1:11" x14ac:dyDescent="0.35">
      <c r="A433" t="s">
        <v>480</v>
      </c>
      <c r="B433">
        <v>31</v>
      </c>
      <c r="C433" t="s">
        <v>18</v>
      </c>
      <c r="D433" t="s">
        <v>24</v>
      </c>
      <c r="E433" t="s">
        <v>54</v>
      </c>
      <c r="F433" s="1">
        <v>45538</v>
      </c>
      <c r="G433" s="1">
        <v>45544</v>
      </c>
      <c r="H433">
        <v>46</v>
      </c>
      <c r="I433" t="s">
        <v>15</v>
      </c>
      <c r="J433" t="s">
        <v>26</v>
      </c>
      <c r="K433">
        <v>44097</v>
      </c>
    </row>
    <row r="434" spans="1:11" x14ac:dyDescent="0.35">
      <c r="A434" t="s">
        <v>481</v>
      </c>
      <c r="B434">
        <v>66</v>
      </c>
      <c r="C434" t="s">
        <v>18</v>
      </c>
      <c r="D434" t="s">
        <v>24</v>
      </c>
      <c r="E434" t="s">
        <v>32</v>
      </c>
      <c r="F434" s="1">
        <v>45338</v>
      </c>
      <c r="G434" s="1">
        <v>45351</v>
      </c>
      <c r="H434">
        <v>119</v>
      </c>
      <c r="I434" t="s">
        <v>46</v>
      </c>
      <c r="J434" t="s">
        <v>16</v>
      </c>
      <c r="K434">
        <v>74238</v>
      </c>
    </row>
    <row r="435" spans="1:11" x14ac:dyDescent="0.35">
      <c r="A435" t="s">
        <v>482</v>
      </c>
      <c r="B435">
        <v>13</v>
      </c>
      <c r="C435" t="s">
        <v>18</v>
      </c>
      <c r="D435" t="s">
        <v>24</v>
      </c>
      <c r="E435" t="s">
        <v>83</v>
      </c>
      <c r="F435" s="1">
        <v>45529</v>
      </c>
      <c r="G435" s="1">
        <v>45530</v>
      </c>
      <c r="H435">
        <v>185</v>
      </c>
      <c r="I435" t="s">
        <v>33</v>
      </c>
      <c r="J435" t="s">
        <v>26</v>
      </c>
      <c r="K435">
        <v>198603</v>
      </c>
    </row>
    <row r="436" spans="1:11" x14ac:dyDescent="0.35">
      <c r="A436" t="s">
        <v>483</v>
      </c>
      <c r="B436">
        <v>6</v>
      </c>
      <c r="C436" t="s">
        <v>18</v>
      </c>
      <c r="D436" t="s">
        <v>13</v>
      </c>
      <c r="E436" t="s">
        <v>54</v>
      </c>
      <c r="F436" s="1">
        <v>45351</v>
      </c>
      <c r="G436" s="1">
        <v>45353</v>
      </c>
      <c r="H436">
        <v>88</v>
      </c>
      <c r="I436" t="s">
        <v>33</v>
      </c>
      <c r="J436" t="s">
        <v>16</v>
      </c>
      <c r="K436">
        <v>119744</v>
      </c>
    </row>
    <row r="437" spans="1:11" x14ac:dyDescent="0.35">
      <c r="A437" t="s">
        <v>484</v>
      </c>
      <c r="B437">
        <v>12</v>
      </c>
      <c r="C437" t="s">
        <v>12</v>
      </c>
      <c r="D437" t="s">
        <v>38</v>
      </c>
      <c r="E437" t="s">
        <v>66</v>
      </c>
      <c r="F437" s="1">
        <v>45610</v>
      </c>
      <c r="G437" s="1">
        <v>45615</v>
      </c>
      <c r="H437">
        <v>59</v>
      </c>
      <c r="I437" t="s">
        <v>46</v>
      </c>
      <c r="J437" t="s">
        <v>26</v>
      </c>
      <c r="K437">
        <v>124678</v>
      </c>
    </row>
    <row r="438" spans="1:11" x14ac:dyDescent="0.35">
      <c r="A438" t="s">
        <v>485</v>
      </c>
      <c r="B438">
        <v>50</v>
      </c>
      <c r="C438" t="s">
        <v>12</v>
      </c>
      <c r="D438" t="s">
        <v>31</v>
      </c>
      <c r="E438" t="s">
        <v>68</v>
      </c>
      <c r="F438" s="1">
        <v>45431</v>
      </c>
      <c r="G438" s="1">
        <v>45445</v>
      </c>
      <c r="H438">
        <v>86</v>
      </c>
      <c r="I438" t="s">
        <v>15</v>
      </c>
      <c r="J438" t="s">
        <v>16</v>
      </c>
      <c r="K438">
        <v>187496</v>
      </c>
    </row>
    <row r="439" spans="1:11" x14ac:dyDescent="0.35">
      <c r="A439" t="s">
        <v>486</v>
      </c>
      <c r="B439">
        <v>21</v>
      </c>
      <c r="C439" t="s">
        <v>18</v>
      </c>
      <c r="D439" t="s">
        <v>31</v>
      </c>
      <c r="E439" t="s">
        <v>58</v>
      </c>
      <c r="F439" s="1">
        <v>45322</v>
      </c>
      <c r="G439" s="1">
        <v>45336</v>
      </c>
      <c r="H439">
        <v>248</v>
      </c>
      <c r="I439" t="s">
        <v>46</v>
      </c>
      <c r="J439" t="s">
        <v>16</v>
      </c>
      <c r="K439">
        <v>165254</v>
      </c>
    </row>
    <row r="440" spans="1:11" x14ac:dyDescent="0.35">
      <c r="A440" t="s">
        <v>487</v>
      </c>
      <c r="B440">
        <v>46</v>
      </c>
      <c r="C440" t="s">
        <v>18</v>
      </c>
      <c r="D440" t="s">
        <v>13</v>
      </c>
      <c r="E440" t="s">
        <v>43</v>
      </c>
      <c r="F440" s="1">
        <v>45486</v>
      </c>
      <c r="G440" s="1">
        <v>45499</v>
      </c>
      <c r="H440">
        <v>250</v>
      </c>
      <c r="I440" t="s">
        <v>15</v>
      </c>
      <c r="J440" t="s">
        <v>26</v>
      </c>
      <c r="K440">
        <v>120523</v>
      </c>
    </row>
    <row r="441" spans="1:11" x14ac:dyDescent="0.35">
      <c r="A441" t="s">
        <v>488</v>
      </c>
      <c r="B441">
        <v>34</v>
      </c>
      <c r="C441" t="s">
        <v>12</v>
      </c>
      <c r="D441" t="s">
        <v>24</v>
      </c>
      <c r="E441" t="s">
        <v>40</v>
      </c>
      <c r="F441" s="1">
        <v>45315</v>
      </c>
      <c r="G441" s="1">
        <v>45317</v>
      </c>
      <c r="H441">
        <v>269</v>
      </c>
      <c r="I441" t="s">
        <v>36</v>
      </c>
      <c r="J441" t="s">
        <v>16</v>
      </c>
      <c r="K441">
        <v>141078</v>
      </c>
    </row>
    <row r="442" spans="1:11" x14ac:dyDescent="0.35">
      <c r="A442" t="s">
        <v>489</v>
      </c>
      <c r="B442">
        <v>90</v>
      </c>
      <c r="C442" t="s">
        <v>18</v>
      </c>
      <c r="D442" t="s">
        <v>31</v>
      </c>
      <c r="E442" t="s">
        <v>54</v>
      </c>
      <c r="F442" s="1">
        <v>45559</v>
      </c>
      <c r="G442" s="1">
        <v>45571</v>
      </c>
      <c r="H442">
        <v>128</v>
      </c>
      <c r="I442" t="s">
        <v>46</v>
      </c>
      <c r="J442" t="s">
        <v>16</v>
      </c>
      <c r="K442">
        <v>178987</v>
      </c>
    </row>
    <row r="443" spans="1:11" x14ac:dyDescent="0.35">
      <c r="A443" t="s">
        <v>490</v>
      </c>
      <c r="B443">
        <v>50</v>
      </c>
      <c r="C443" t="s">
        <v>18</v>
      </c>
      <c r="D443" t="s">
        <v>28</v>
      </c>
      <c r="E443" t="s">
        <v>35</v>
      </c>
      <c r="F443" s="1">
        <v>45638</v>
      </c>
      <c r="G443" s="1">
        <v>45649</v>
      </c>
      <c r="H443">
        <v>28</v>
      </c>
      <c r="I443" t="s">
        <v>15</v>
      </c>
      <c r="J443" t="s">
        <v>16</v>
      </c>
      <c r="K443">
        <v>137531</v>
      </c>
    </row>
    <row r="444" spans="1:11" x14ac:dyDescent="0.35">
      <c r="A444" t="s">
        <v>491</v>
      </c>
      <c r="B444">
        <v>64</v>
      </c>
      <c r="C444" t="s">
        <v>18</v>
      </c>
      <c r="D444" t="s">
        <v>24</v>
      </c>
      <c r="E444" t="s">
        <v>22</v>
      </c>
      <c r="F444" s="1">
        <v>45532</v>
      </c>
      <c r="G444" s="1">
        <v>45546</v>
      </c>
      <c r="H444">
        <v>252</v>
      </c>
      <c r="I444" t="s">
        <v>33</v>
      </c>
      <c r="J444" t="s">
        <v>16</v>
      </c>
      <c r="K444">
        <v>91742</v>
      </c>
    </row>
    <row r="445" spans="1:11" x14ac:dyDescent="0.35">
      <c r="A445" t="s">
        <v>492</v>
      </c>
      <c r="B445">
        <v>65</v>
      </c>
      <c r="C445" t="s">
        <v>18</v>
      </c>
      <c r="D445" t="s">
        <v>28</v>
      </c>
      <c r="E445" t="s">
        <v>68</v>
      </c>
      <c r="F445" s="1">
        <v>45434</v>
      </c>
      <c r="G445" s="1">
        <v>45435</v>
      </c>
      <c r="H445">
        <v>194</v>
      </c>
      <c r="I445" t="s">
        <v>46</v>
      </c>
      <c r="J445" t="s">
        <v>16</v>
      </c>
      <c r="K445">
        <v>25664</v>
      </c>
    </row>
    <row r="446" spans="1:11" x14ac:dyDescent="0.35">
      <c r="A446" t="s">
        <v>493</v>
      </c>
      <c r="B446">
        <v>74</v>
      </c>
      <c r="C446" t="s">
        <v>12</v>
      </c>
      <c r="D446" t="s">
        <v>24</v>
      </c>
      <c r="E446" t="s">
        <v>43</v>
      </c>
      <c r="F446" s="1">
        <v>45527</v>
      </c>
      <c r="G446" s="1">
        <v>45535</v>
      </c>
      <c r="H446">
        <v>229</v>
      </c>
      <c r="I446" t="s">
        <v>33</v>
      </c>
      <c r="J446" t="s">
        <v>16</v>
      </c>
      <c r="K446">
        <v>135383</v>
      </c>
    </row>
    <row r="447" spans="1:11" x14ac:dyDescent="0.35">
      <c r="A447" t="s">
        <v>494</v>
      </c>
      <c r="B447">
        <v>14</v>
      </c>
      <c r="C447" t="s">
        <v>12</v>
      </c>
      <c r="D447" t="s">
        <v>31</v>
      </c>
      <c r="E447" t="s">
        <v>52</v>
      </c>
      <c r="F447" s="1">
        <v>45626</v>
      </c>
      <c r="G447" s="1">
        <v>45627</v>
      </c>
      <c r="H447">
        <v>286</v>
      </c>
      <c r="I447" t="s">
        <v>15</v>
      </c>
      <c r="J447" t="s">
        <v>16</v>
      </c>
      <c r="K447">
        <v>163388</v>
      </c>
    </row>
    <row r="448" spans="1:11" x14ac:dyDescent="0.35">
      <c r="A448" t="s">
        <v>495</v>
      </c>
      <c r="B448">
        <v>39</v>
      </c>
      <c r="C448" t="s">
        <v>18</v>
      </c>
      <c r="D448" t="s">
        <v>31</v>
      </c>
      <c r="E448" t="s">
        <v>95</v>
      </c>
      <c r="F448" s="1">
        <v>45608</v>
      </c>
      <c r="G448" s="1">
        <v>45619</v>
      </c>
      <c r="H448">
        <v>187</v>
      </c>
      <c r="I448" t="s">
        <v>15</v>
      </c>
      <c r="J448" t="s">
        <v>16</v>
      </c>
      <c r="K448">
        <v>124133</v>
      </c>
    </row>
    <row r="449" spans="1:11" x14ac:dyDescent="0.35">
      <c r="A449" t="s">
        <v>496</v>
      </c>
      <c r="B449">
        <v>80</v>
      </c>
      <c r="C449" t="s">
        <v>12</v>
      </c>
      <c r="D449" t="s">
        <v>38</v>
      </c>
      <c r="E449" t="s">
        <v>40</v>
      </c>
      <c r="F449" s="1">
        <v>45461</v>
      </c>
      <c r="G449" s="1">
        <v>45470</v>
      </c>
      <c r="H449">
        <v>232</v>
      </c>
      <c r="I449" t="s">
        <v>15</v>
      </c>
      <c r="J449" t="s">
        <v>16</v>
      </c>
      <c r="K449">
        <v>177729</v>
      </c>
    </row>
    <row r="450" spans="1:11" x14ac:dyDescent="0.35">
      <c r="A450" t="s">
        <v>497</v>
      </c>
      <c r="B450">
        <v>44</v>
      </c>
      <c r="C450" t="s">
        <v>12</v>
      </c>
      <c r="D450" t="s">
        <v>38</v>
      </c>
      <c r="E450" t="s">
        <v>61</v>
      </c>
      <c r="F450" s="1">
        <v>45405</v>
      </c>
      <c r="G450" s="1">
        <v>45406</v>
      </c>
      <c r="H450">
        <v>268</v>
      </c>
      <c r="I450" t="s">
        <v>33</v>
      </c>
      <c r="J450" t="s">
        <v>16</v>
      </c>
      <c r="K450">
        <v>17000</v>
      </c>
    </row>
    <row r="451" spans="1:11" x14ac:dyDescent="0.35">
      <c r="A451" t="s">
        <v>498</v>
      </c>
      <c r="B451">
        <v>18</v>
      </c>
      <c r="C451" t="s">
        <v>12</v>
      </c>
      <c r="D451" t="s">
        <v>24</v>
      </c>
      <c r="E451" t="s">
        <v>32</v>
      </c>
      <c r="F451" s="1">
        <v>45376</v>
      </c>
      <c r="G451" s="1">
        <v>45384</v>
      </c>
      <c r="H451">
        <v>101</v>
      </c>
      <c r="I451" t="s">
        <v>36</v>
      </c>
      <c r="J451" t="s">
        <v>16</v>
      </c>
      <c r="K451">
        <v>107995</v>
      </c>
    </row>
    <row r="452" spans="1:11" x14ac:dyDescent="0.35">
      <c r="A452" t="s">
        <v>499</v>
      </c>
      <c r="B452">
        <v>25</v>
      </c>
      <c r="C452" t="s">
        <v>12</v>
      </c>
      <c r="D452" t="s">
        <v>24</v>
      </c>
      <c r="E452" t="s">
        <v>22</v>
      </c>
      <c r="F452" s="1">
        <v>45402</v>
      </c>
      <c r="G452" s="1">
        <v>45410</v>
      </c>
      <c r="H452">
        <v>213</v>
      </c>
      <c r="I452" t="s">
        <v>15</v>
      </c>
      <c r="J452" t="s">
        <v>16</v>
      </c>
      <c r="K452">
        <v>123097</v>
      </c>
    </row>
    <row r="453" spans="1:11" x14ac:dyDescent="0.35">
      <c r="A453" t="s">
        <v>500</v>
      </c>
      <c r="B453">
        <v>76</v>
      </c>
      <c r="C453" t="s">
        <v>18</v>
      </c>
      <c r="D453" t="s">
        <v>31</v>
      </c>
      <c r="E453" t="s">
        <v>80</v>
      </c>
      <c r="F453" s="1">
        <v>45526</v>
      </c>
      <c r="G453" s="1">
        <v>45537</v>
      </c>
      <c r="H453">
        <v>272</v>
      </c>
      <c r="I453" t="s">
        <v>15</v>
      </c>
      <c r="J453" t="s">
        <v>26</v>
      </c>
      <c r="K453">
        <v>158385</v>
      </c>
    </row>
    <row r="454" spans="1:11" x14ac:dyDescent="0.35">
      <c r="A454" t="s">
        <v>501</v>
      </c>
      <c r="B454">
        <v>66</v>
      </c>
      <c r="C454" t="s">
        <v>18</v>
      </c>
      <c r="D454" t="s">
        <v>28</v>
      </c>
      <c r="E454" t="s">
        <v>66</v>
      </c>
      <c r="F454" s="1">
        <v>45539</v>
      </c>
      <c r="G454" s="1">
        <v>45554</v>
      </c>
      <c r="H454">
        <v>66</v>
      </c>
      <c r="I454" t="s">
        <v>15</v>
      </c>
      <c r="J454" t="s">
        <v>26</v>
      </c>
      <c r="K454">
        <v>177365</v>
      </c>
    </row>
    <row r="455" spans="1:11" x14ac:dyDescent="0.35">
      <c r="A455" t="s">
        <v>502</v>
      </c>
      <c r="B455">
        <v>42</v>
      </c>
      <c r="C455" t="s">
        <v>12</v>
      </c>
      <c r="D455" t="s">
        <v>31</v>
      </c>
      <c r="E455" t="s">
        <v>35</v>
      </c>
      <c r="F455" s="1">
        <v>45599</v>
      </c>
      <c r="G455" s="1">
        <v>45609</v>
      </c>
      <c r="H455">
        <v>128</v>
      </c>
      <c r="I455" t="s">
        <v>33</v>
      </c>
      <c r="J455" t="s">
        <v>26</v>
      </c>
      <c r="K455">
        <v>94878</v>
      </c>
    </row>
    <row r="456" spans="1:11" x14ac:dyDescent="0.35">
      <c r="A456" t="s">
        <v>503</v>
      </c>
      <c r="B456">
        <v>18</v>
      </c>
      <c r="C456" t="s">
        <v>18</v>
      </c>
      <c r="D456" t="s">
        <v>31</v>
      </c>
      <c r="E456" t="s">
        <v>35</v>
      </c>
      <c r="F456" s="1">
        <v>45442</v>
      </c>
      <c r="G456" s="1">
        <v>45450</v>
      </c>
      <c r="H456">
        <v>263</v>
      </c>
      <c r="I456" t="s">
        <v>33</v>
      </c>
      <c r="J456" t="s">
        <v>16</v>
      </c>
      <c r="K456">
        <v>191613</v>
      </c>
    </row>
    <row r="457" spans="1:11" x14ac:dyDescent="0.35">
      <c r="A457" t="s">
        <v>504</v>
      </c>
      <c r="B457">
        <v>28</v>
      </c>
      <c r="C457" t="s">
        <v>18</v>
      </c>
      <c r="D457" t="s">
        <v>13</v>
      </c>
      <c r="E457" t="s">
        <v>35</v>
      </c>
      <c r="F457" s="1">
        <v>45575</v>
      </c>
      <c r="G457" s="1">
        <v>45586</v>
      </c>
      <c r="H457">
        <v>149</v>
      </c>
      <c r="I457" t="s">
        <v>33</v>
      </c>
      <c r="J457" t="s">
        <v>16</v>
      </c>
      <c r="K457">
        <v>191226</v>
      </c>
    </row>
    <row r="458" spans="1:11" x14ac:dyDescent="0.35">
      <c r="A458" t="s">
        <v>505</v>
      </c>
      <c r="B458">
        <v>65</v>
      </c>
      <c r="C458" t="s">
        <v>12</v>
      </c>
      <c r="D458" t="s">
        <v>24</v>
      </c>
      <c r="E458" t="s">
        <v>22</v>
      </c>
      <c r="F458" s="1">
        <v>45624</v>
      </c>
      <c r="G458" s="1">
        <v>45627</v>
      </c>
      <c r="H458">
        <v>181</v>
      </c>
      <c r="I458" t="s">
        <v>46</v>
      </c>
      <c r="J458" t="s">
        <v>26</v>
      </c>
      <c r="K458">
        <v>181748</v>
      </c>
    </row>
    <row r="459" spans="1:11" x14ac:dyDescent="0.35">
      <c r="A459" t="s">
        <v>506</v>
      </c>
      <c r="B459">
        <v>55</v>
      </c>
      <c r="C459" t="s">
        <v>18</v>
      </c>
      <c r="D459" t="s">
        <v>28</v>
      </c>
      <c r="E459" t="s">
        <v>90</v>
      </c>
      <c r="F459" s="1">
        <v>45565</v>
      </c>
      <c r="G459" s="1">
        <v>45570</v>
      </c>
      <c r="H459">
        <v>13</v>
      </c>
      <c r="I459" t="s">
        <v>46</v>
      </c>
      <c r="J459" t="s">
        <v>16</v>
      </c>
      <c r="K459">
        <v>18910</v>
      </c>
    </row>
    <row r="460" spans="1:11" x14ac:dyDescent="0.35">
      <c r="A460" t="s">
        <v>507</v>
      </c>
      <c r="B460">
        <v>26</v>
      </c>
      <c r="C460" t="s">
        <v>12</v>
      </c>
      <c r="D460" t="s">
        <v>13</v>
      </c>
      <c r="E460" t="s">
        <v>83</v>
      </c>
      <c r="F460" s="1">
        <v>45635</v>
      </c>
      <c r="G460" s="1">
        <v>45636</v>
      </c>
      <c r="H460">
        <v>129</v>
      </c>
      <c r="I460" t="s">
        <v>36</v>
      </c>
      <c r="J460" t="s">
        <v>16</v>
      </c>
      <c r="K460">
        <v>186035</v>
      </c>
    </row>
    <row r="461" spans="1:11" x14ac:dyDescent="0.35">
      <c r="A461" t="s">
        <v>508</v>
      </c>
      <c r="B461">
        <v>70</v>
      </c>
      <c r="C461" t="s">
        <v>18</v>
      </c>
      <c r="D461" t="s">
        <v>38</v>
      </c>
      <c r="E461" t="s">
        <v>20</v>
      </c>
      <c r="F461" s="1">
        <v>45443</v>
      </c>
      <c r="G461" s="1">
        <v>45447</v>
      </c>
      <c r="H461">
        <v>53</v>
      </c>
      <c r="I461" t="s">
        <v>36</v>
      </c>
      <c r="J461" t="s">
        <v>26</v>
      </c>
      <c r="K461">
        <v>67284</v>
      </c>
    </row>
    <row r="462" spans="1:11" x14ac:dyDescent="0.35">
      <c r="A462" t="s">
        <v>509</v>
      </c>
      <c r="B462">
        <v>90</v>
      </c>
      <c r="C462" t="s">
        <v>12</v>
      </c>
      <c r="D462" t="s">
        <v>24</v>
      </c>
      <c r="E462" t="s">
        <v>56</v>
      </c>
      <c r="F462" s="1">
        <v>45553</v>
      </c>
      <c r="G462" s="1">
        <v>45566</v>
      </c>
      <c r="H462">
        <v>199</v>
      </c>
      <c r="I462" t="s">
        <v>46</v>
      </c>
      <c r="J462" t="s">
        <v>16</v>
      </c>
      <c r="K462">
        <v>149736</v>
      </c>
    </row>
    <row r="463" spans="1:11" x14ac:dyDescent="0.35">
      <c r="A463" t="s">
        <v>510</v>
      </c>
      <c r="B463">
        <v>33</v>
      </c>
      <c r="C463" t="s">
        <v>18</v>
      </c>
      <c r="D463" t="s">
        <v>28</v>
      </c>
      <c r="E463" t="s">
        <v>22</v>
      </c>
      <c r="F463" s="1">
        <v>45319</v>
      </c>
      <c r="G463" s="1">
        <v>45320</v>
      </c>
      <c r="H463">
        <v>227</v>
      </c>
      <c r="I463" t="s">
        <v>36</v>
      </c>
      <c r="J463" t="s">
        <v>16</v>
      </c>
      <c r="K463">
        <v>159241</v>
      </c>
    </row>
    <row r="464" spans="1:11" x14ac:dyDescent="0.35">
      <c r="A464" t="s">
        <v>511</v>
      </c>
      <c r="B464">
        <v>78</v>
      </c>
      <c r="C464" t="s">
        <v>18</v>
      </c>
      <c r="D464" t="s">
        <v>13</v>
      </c>
      <c r="E464" t="s">
        <v>83</v>
      </c>
      <c r="F464" s="1">
        <v>45571</v>
      </c>
      <c r="G464" s="1">
        <v>45583</v>
      </c>
      <c r="H464">
        <v>230</v>
      </c>
      <c r="I464" t="s">
        <v>36</v>
      </c>
      <c r="J464" t="s">
        <v>16</v>
      </c>
      <c r="K464">
        <v>54014</v>
      </c>
    </row>
    <row r="465" spans="1:11" x14ac:dyDescent="0.35">
      <c r="A465" t="s">
        <v>512</v>
      </c>
      <c r="B465">
        <v>66</v>
      </c>
      <c r="C465" t="s">
        <v>18</v>
      </c>
      <c r="D465" t="s">
        <v>31</v>
      </c>
      <c r="E465" t="s">
        <v>52</v>
      </c>
      <c r="F465" s="1">
        <v>45380</v>
      </c>
      <c r="G465" s="1">
        <v>45392</v>
      </c>
      <c r="H465">
        <v>220</v>
      </c>
      <c r="I465" t="s">
        <v>33</v>
      </c>
      <c r="J465" t="s">
        <v>16</v>
      </c>
      <c r="K465">
        <v>39096</v>
      </c>
    </row>
    <row r="466" spans="1:11" x14ac:dyDescent="0.35">
      <c r="A466" t="s">
        <v>513</v>
      </c>
      <c r="B466">
        <v>33</v>
      </c>
      <c r="C466" t="s">
        <v>18</v>
      </c>
      <c r="D466" t="s">
        <v>38</v>
      </c>
      <c r="E466" t="s">
        <v>20</v>
      </c>
      <c r="F466" s="1">
        <v>45374</v>
      </c>
      <c r="G466" s="1">
        <v>45384</v>
      </c>
      <c r="H466">
        <v>80</v>
      </c>
      <c r="I466" t="s">
        <v>15</v>
      </c>
      <c r="J466" t="s">
        <v>16</v>
      </c>
      <c r="K466">
        <v>89575</v>
      </c>
    </row>
    <row r="467" spans="1:11" x14ac:dyDescent="0.35">
      <c r="A467" t="s">
        <v>514</v>
      </c>
      <c r="B467">
        <v>81</v>
      </c>
      <c r="C467" t="s">
        <v>12</v>
      </c>
      <c r="D467" t="s">
        <v>31</v>
      </c>
      <c r="E467" t="s">
        <v>58</v>
      </c>
      <c r="F467" s="1">
        <v>45597</v>
      </c>
      <c r="G467" s="1">
        <v>45598</v>
      </c>
      <c r="H467">
        <v>282</v>
      </c>
      <c r="I467" t="s">
        <v>33</v>
      </c>
      <c r="J467" t="s">
        <v>16</v>
      </c>
      <c r="K467">
        <v>190514</v>
      </c>
    </row>
    <row r="468" spans="1:11" x14ac:dyDescent="0.35">
      <c r="A468" t="s">
        <v>515</v>
      </c>
      <c r="B468">
        <v>29</v>
      </c>
      <c r="C468" t="s">
        <v>18</v>
      </c>
      <c r="D468" t="s">
        <v>28</v>
      </c>
      <c r="E468" t="s">
        <v>45</v>
      </c>
      <c r="F468" s="1">
        <v>45454</v>
      </c>
      <c r="G468" s="1">
        <v>45463</v>
      </c>
      <c r="H468">
        <v>259</v>
      </c>
      <c r="I468" t="s">
        <v>36</v>
      </c>
      <c r="J468" t="s">
        <v>26</v>
      </c>
      <c r="K468">
        <v>147365</v>
      </c>
    </row>
    <row r="469" spans="1:11" x14ac:dyDescent="0.35">
      <c r="A469" t="s">
        <v>516</v>
      </c>
      <c r="B469">
        <v>12</v>
      </c>
      <c r="C469" t="s">
        <v>12</v>
      </c>
      <c r="D469" t="s">
        <v>13</v>
      </c>
      <c r="E469" t="s">
        <v>29</v>
      </c>
      <c r="F469" s="1">
        <v>45566</v>
      </c>
      <c r="G469" s="1">
        <v>45573</v>
      </c>
      <c r="H469">
        <v>170</v>
      </c>
      <c r="I469" t="s">
        <v>33</v>
      </c>
      <c r="J469" t="s">
        <v>16</v>
      </c>
      <c r="K469">
        <v>81958</v>
      </c>
    </row>
    <row r="470" spans="1:11" x14ac:dyDescent="0.35">
      <c r="A470" t="s">
        <v>517</v>
      </c>
      <c r="B470">
        <v>80</v>
      </c>
      <c r="C470" t="s">
        <v>12</v>
      </c>
      <c r="D470" t="s">
        <v>28</v>
      </c>
      <c r="E470" t="s">
        <v>22</v>
      </c>
      <c r="F470" s="1">
        <v>45403</v>
      </c>
      <c r="G470" s="1">
        <v>45416</v>
      </c>
      <c r="H470">
        <v>5</v>
      </c>
      <c r="I470" t="s">
        <v>15</v>
      </c>
      <c r="J470" t="s">
        <v>16</v>
      </c>
      <c r="K470">
        <v>121828</v>
      </c>
    </row>
    <row r="471" spans="1:11" x14ac:dyDescent="0.35">
      <c r="A471" t="s">
        <v>518</v>
      </c>
      <c r="B471">
        <v>83</v>
      </c>
      <c r="C471" t="s">
        <v>18</v>
      </c>
      <c r="D471" t="s">
        <v>24</v>
      </c>
      <c r="E471" t="s">
        <v>54</v>
      </c>
      <c r="F471" s="1">
        <v>45415</v>
      </c>
      <c r="G471" s="1">
        <v>45430</v>
      </c>
      <c r="H471">
        <v>165</v>
      </c>
      <c r="I471" t="s">
        <v>46</v>
      </c>
      <c r="J471" t="s">
        <v>16</v>
      </c>
      <c r="K471">
        <v>106155</v>
      </c>
    </row>
    <row r="472" spans="1:11" x14ac:dyDescent="0.35">
      <c r="A472" t="s">
        <v>519</v>
      </c>
      <c r="B472">
        <v>37</v>
      </c>
      <c r="C472" t="s">
        <v>18</v>
      </c>
      <c r="D472" t="s">
        <v>28</v>
      </c>
      <c r="E472" t="s">
        <v>22</v>
      </c>
      <c r="F472" s="1">
        <v>45423</v>
      </c>
      <c r="G472" s="1">
        <v>45432</v>
      </c>
      <c r="H472">
        <v>192</v>
      </c>
      <c r="I472" t="s">
        <v>46</v>
      </c>
      <c r="J472" t="s">
        <v>26</v>
      </c>
      <c r="K472">
        <v>16495</v>
      </c>
    </row>
    <row r="473" spans="1:11" x14ac:dyDescent="0.35">
      <c r="A473" t="s">
        <v>520</v>
      </c>
      <c r="B473">
        <v>84</v>
      </c>
      <c r="C473" t="s">
        <v>18</v>
      </c>
      <c r="D473" t="s">
        <v>38</v>
      </c>
      <c r="E473" t="s">
        <v>49</v>
      </c>
      <c r="F473" s="1">
        <v>45443</v>
      </c>
      <c r="G473" s="1">
        <v>45458</v>
      </c>
      <c r="H473">
        <v>43</v>
      </c>
      <c r="I473" t="s">
        <v>15</v>
      </c>
      <c r="J473" t="s">
        <v>16</v>
      </c>
      <c r="K473">
        <v>146026</v>
      </c>
    </row>
    <row r="474" spans="1:11" x14ac:dyDescent="0.35">
      <c r="A474" t="s">
        <v>521</v>
      </c>
      <c r="B474">
        <v>81</v>
      </c>
      <c r="C474" t="s">
        <v>18</v>
      </c>
      <c r="D474" t="s">
        <v>13</v>
      </c>
      <c r="E474" t="s">
        <v>54</v>
      </c>
      <c r="F474" s="1">
        <v>45565</v>
      </c>
      <c r="G474" s="1">
        <v>45566</v>
      </c>
      <c r="H474">
        <v>110</v>
      </c>
      <c r="I474" t="s">
        <v>46</v>
      </c>
      <c r="J474" t="s">
        <v>16</v>
      </c>
      <c r="K474">
        <v>58891</v>
      </c>
    </row>
    <row r="475" spans="1:11" x14ac:dyDescent="0.35">
      <c r="A475" t="s">
        <v>522</v>
      </c>
      <c r="B475">
        <v>90</v>
      </c>
      <c r="C475" t="s">
        <v>12</v>
      </c>
      <c r="D475" t="s">
        <v>24</v>
      </c>
      <c r="E475" t="s">
        <v>25</v>
      </c>
      <c r="F475" s="1">
        <v>45567</v>
      </c>
      <c r="G475" s="1">
        <v>45581</v>
      </c>
      <c r="H475">
        <v>79</v>
      </c>
      <c r="I475" t="s">
        <v>15</v>
      </c>
      <c r="J475" t="s">
        <v>26</v>
      </c>
      <c r="K475">
        <v>192922</v>
      </c>
    </row>
    <row r="476" spans="1:11" x14ac:dyDescent="0.35">
      <c r="A476" t="s">
        <v>523</v>
      </c>
      <c r="B476">
        <v>12</v>
      </c>
      <c r="C476" t="s">
        <v>18</v>
      </c>
      <c r="D476" t="s">
        <v>24</v>
      </c>
      <c r="E476" t="s">
        <v>66</v>
      </c>
      <c r="F476" s="1">
        <v>45461</v>
      </c>
      <c r="G476" s="1">
        <v>45462</v>
      </c>
      <c r="H476">
        <v>129</v>
      </c>
      <c r="I476" t="s">
        <v>15</v>
      </c>
      <c r="J476" t="s">
        <v>16</v>
      </c>
      <c r="K476">
        <v>72803</v>
      </c>
    </row>
    <row r="477" spans="1:11" x14ac:dyDescent="0.35">
      <c r="A477" t="s">
        <v>524</v>
      </c>
      <c r="B477">
        <v>58</v>
      </c>
      <c r="C477" t="s">
        <v>12</v>
      </c>
      <c r="D477" t="s">
        <v>31</v>
      </c>
      <c r="E477" t="s">
        <v>95</v>
      </c>
      <c r="F477" s="1">
        <v>45500</v>
      </c>
      <c r="G477" s="1">
        <v>45507</v>
      </c>
      <c r="H477">
        <v>9</v>
      </c>
      <c r="I477" t="s">
        <v>46</v>
      </c>
      <c r="J477" t="s">
        <v>16</v>
      </c>
      <c r="K477">
        <v>145203</v>
      </c>
    </row>
    <row r="478" spans="1:11" x14ac:dyDescent="0.35">
      <c r="A478" t="s">
        <v>525</v>
      </c>
      <c r="B478">
        <v>80</v>
      </c>
      <c r="C478" t="s">
        <v>18</v>
      </c>
      <c r="D478" t="s">
        <v>28</v>
      </c>
      <c r="E478" t="s">
        <v>52</v>
      </c>
      <c r="F478" s="1">
        <v>45295</v>
      </c>
      <c r="G478" s="1">
        <v>45306</v>
      </c>
      <c r="H478">
        <v>38</v>
      </c>
      <c r="I478" t="s">
        <v>33</v>
      </c>
      <c r="J478" t="s">
        <v>16</v>
      </c>
      <c r="K478">
        <v>80978</v>
      </c>
    </row>
    <row r="479" spans="1:11" x14ac:dyDescent="0.35">
      <c r="A479" t="s">
        <v>526</v>
      </c>
      <c r="B479">
        <v>78</v>
      </c>
      <c r="C479" t="s">
        <v>18</v>
      </c>
      <c r="D479" t="s">
        <v>38</v>
      </c>
      <c r="E479" t="s">
        <v>22</v>
      </c>
      <c r="F479" s="1">
        <v>45643</v>
      </c>
      <c r="G479" s="1">
        <v>45648</v>
      </c>
      <c r="H479">
        <v>225</v>
      </c>
      <c r="I479" t="s">
        <v>46</v>
      </c>
      <c r="J479" t="s">
        <v>26</v>
      </c>
      <c r="K479">
        <v>178204</v>
      </c>
    </row>
    <row r="480" spans="1:11" x14ac:dyDescent="0.35">
      <c r="A480" t="s">
        <v>527</v>
      </c>
      <c r="B480">
        <v>21</v>
      </c>
      <c r="C480" t="s">
        <v>18</v>
      </c>
      <c r="D480" t="s">
        <v>13</v>
      </c>
      <c r="E480" t="s">
        <v>25</v>
      </c>
      <c r="F480" s="1">
        <v>45307</v>
      </c>
      <c r="G480" s="1">
        <v>45315</v>
      </c>
      <c r="H480">
        <v>201</v>
      </c>
      <c r="I480" t="s">
        <v>33</v>
      </c>
      <c r="J480" t="s">
        <v>16</v>
      </c>
      <c r="K480">
        <v>83133</v>
      </c>
    </row>
    <row r="481" spans="1:11" x14ac:dyDescent="0.35">
      <c r="A481" t="s">
        <v>528</v>
      </c>
      <c r="B481">
        <v>83</v>
      </c>
      <c r="C481" t="s">
        <v>12</v>
      </c>
      <c r="D481" t="s">
        <v>24</v>
      </c>
      <c r="E481" t="s">
        <v>61</v>
      </c>
      <c r="F481" s="1">
        <v>45638</v>
      </c>
      <c r="G481" s="1">
        <v>45653</v>
      </c>
      <c r="H481">
        <v>285</v>
      </c>
      <c r="I481" t="s">
        <v>36</v>
      </c>
      <c r="J481" t="s">
        <v>16</v>
      </c>
      <c r="K481">
        <v>15950</v>
      </c>
    </row>
    <row r="482" spans="1:11" x14ac:dyDescent="0.35">
      <c r="A482" t="s">
        <v>529</v>
      </c>
      <c r="B482">
        <v>77</v>
      </c>
      <c r="C482" t="s">
        <v>12</v>
      </c>
      <c r="D482" t="s">
        <v>28</v>
      </c>
      <c r="E482" t="s">
        <v>61</v>
      </c>
      <c r="F482" s="1">
        <v>45294</v>
      </c>
      <c r="G482" s="1">
        <v>45304</v>
      </c>
      <c r="H482">
        <v>44</v>
      </c>
      <c r="I482" t="s">
        <v>33</v>
      </c>
      <c r="J482" t="s">
        <v>16</v>
      </c>
      <c r="K482">
        <v>199361</v>
      </c>
    </row>
    <row r="483" spans="1:11" x14ac:dyDescent="0.35">
      <c r="A483" t="s">
        <v>530</v>
      </c>
      <c r="B483">
        <v>53</v>
      </c>
      <c r="C483" t="s">
        <v>18</v>
      </c>
      <c r="D483" t="s">
        <v>13</v>
      </c>
      <c r="E483" t="s">
        <v>66</v>
      </c>
      <c r="F483" s="1">
        <v>45468</v>
      </c>
      <c r="G483" s="1">
        <v>45472</v>
      </c>
      <c r="H483">
        <v>114</v>
      </c>
      <c r="I483" t="s">
        <v>33</v>
      </c>
      <c r="J483" t="s">
        <v>16</v>
      </c>
      <c r="K483">
        <v>35047</v>
      </c>
    </row>
    <row r="484" spans="1:11" x14ac:dyDescent="0.35">
      <c r="A484" t="s">
        <v>531</v>
      </c>
      <c r="B484">
        <v>73</v>
      </c>
      <c r="C484" t="s">
        <v>18</v>
      </c>
      <c r="D484" t="s">
        <v>28</v>
      </c>
      <c r="E484" t="s">
        <v>20</v>
      </c>
      <c r="F484" s="1">
        <v>45384</v>
      </c>
      <c r="G484" s="1">
        <v>45395</v>
      </c>
      <c r="H484">
        <v>282</v>
      </c>
      <c r="I484" t="s">
        <v>15</v>
      </c>
      <c r="J484" t="s">
        <v>16</v>
      </c>
      <c r="K484">
        <v>181078</v>
      </c>
    </row>
    <row r="485" spans="1:11" x14ac:dyDescent="0.35">
      <c r="A485" t="s">
        <v>532</v>
      </c>
      <c r="B485">
        <v>13</v>
      </c>
      <c r="C485" t="s">
        <v>18</v>
      </c>
      <c r="D485" t="s">
        <v>28</v>
      </c>
      <c r="E485" t="s">
        <v>43</v>
      </c>
      <c r="F485" s="1">
        <v>45326</v>
      </c>
      <c r="G485" s="1">
        <v>45331</v>
      </c>
      <c r="H485">
        <v>170</v>
      </c>
      <c r="I485" t="s">
        <v>33</v>
      </c>
      <c r="J485" t="s">
        <v>16</v>
      </c>
      <c r="K485">
        <v>180976</v>
      </c>
    </row>
    <row r="486" spans="1:11" x14ac:dyDescent="0.35">
      <c r="A486" t="s">
        <v>533</v>
      </c>
      <c r="B486">
        <v>13</v>
      </c>
      <c r="C486" t="s">
        <v>12</v>
      </c>
      <c r="D486" t="s">
        <v>28</v>
      </c>
      <c r="E486" t="s">
        <v>45</v>
      </c>
      <c r="F486" s="1">
        <v>45627</v>
      </c>
      <c r="G486" s="1">
        <v>45631</v>
      </c>
      <c r="H486">
        <v>100</v>
      </c>
      <c r="I486" t="s">
        <v>33</v>
      </c>
      <c r="J486" t="s">
        <v>26</v>
      </c>
      <c r="K486">
        <v>123134</v>
      </c>
    </row>
    <row r="487" spans="1:11" x14ac:dyDescent="0.35">
      <c r="A487" t="s">
        <v>534</v>
      </c>
      <c r="B487">
        <v>85</v>
      </c>
      <c r="C487" t="s">
        <v>12</v>
      </c>
      <c r="D487" t="s">
        <v>28</v>
      </c>
      <c r="E487" t="s">
        <v>106</v>
      </c>
      <c r="F487" s="1">
        <v>45460</v>
      </c>
      <c r="G487" s="1">
        <v>45470</v>
      </c>
      <c r="H487">
        <v>290</v>
      </c>
      <c r="I487" t="s">
        <v>33</v>
      </c>
      <c r="J487" t="s">
        <v>16</v>
      </c>
      <c r="K487">
        <v>117278</v>
      </c>
    </row>
    <row r="488" spans="1:11" x14ac:dyDescent="0.35">
      <c r="A488" t="s">
        <v>535</v>
      </c>
      <c r="B488">
        <v>41</v>
      </c>
      <c r="C488" t="s">
        <v>18</v>
      </c>
      <c r="D488" t="s">
        <v>13</v>
      </c>
      <c r="E488" t="s">
        <v>40</v>
      </c>
      <c r="F488" s="1">
        <v>45378</v>
      </c>
      <c r="G488" s="1">
        <v>45379</v>
      </c>
      <c r="H488">
        <v>224</v>
      </c>
      <c r="I488" t="s">
        <v>33</v>
      </c>
      <c r="J488" t="s">
        <v>16</v>
      </c>
      <c r="K488">
        <v>40207</v>
      </c>
    </row>
    <row r="489" spans="1:11" x14ac:dyDescent="0.35">
      <c r="A489" t="s">
        <v>536</v>
      </c>
      <c r="B489">
        <v>43</v>
      </c>
      <c r="C489" t="s">
        <v>12</v>
      </c>
      <c r="D489" t="s">
        <v>31</v>
      </c>
      <c r="E489" t="s">
        <v>20</v>
      </c>
      <c r="F489" s="1">
        <v>45639</v>
      </c>
      <c r="G489" s="1">
        <v>45651</v>
      </c>
      <c r="H489">
        <v>184</v>
      </c>
      <c r="I489" t="s">
        <v>33</v>
      </c>
      <c r="J489" t="s">
        <v>26</v>
      </c>
      <c r="K489">
        <v>149617</v>
      </c>
    </row>
    <row r="490" spans="1:11" x14ac:dyDescent="0.35">
      <c r="A490" t="s">
        <v>537</v>
      </c>
      <c r="B490">
        <v>83</v>
      </c>
      <c r="C490" t="s">
        <v>18</v>
      </c>
      <c r="D490" t="s">
        <v>38</v>
      </c>
      <c r="E490" t="s">
        <v>106</v>
      </c>
      <c r="F490" s="1">
        <v>45347</v>
      </c>
      <c r="G490" s="1">
        <v>45350</v>
      </c>
      <c r="H490">
        <v>276</v>
      </c>
      <c r="I490" t="s">
        <v>36</v>
      </c>
      <c r="J490" t="s">
        <v>16</v>
      </c>
      <c r="K490">
        <v>197294</v>
      </c>
    </row>
    <row r="491" spans="1:11" x14ac:dyDescent="0.35">
      <c r="A491" t="s">
        <v>538</v>
      </c>
      <c r="B491">
        <v>10</v>
      </c>
      <c r="C491" t="s">
        <v>18</v>
      </c>
      <c r="D491" t="s">
        <v>28</v>
      </c>
      <c r="E491" t="s">
        <v>68</v>
      </c>
      <c r="F491" s="1">
        <v>45612</v>
      </c>
      <c r="G491" s="1">
        <v>45614</v>
      </c>
      <c r="H491">
        <v>16</v>
      </c>
      <c r="I491" t="s">
        <v>46</v>
      </c>
      <c r="J491" t="s">
        <v>16</v>
      </c>
      <c r="K491">
        <v>14609</v>
      </c>
    </row>
    <row r="492" spans="1:11" x14ac:dyDescent="0.35">
      <c r="A492" t="s">
        <v>539</v>
      </c>
      <c r="B492">
        <v>70</v>
      </c>
      <c r="C492" t="s">
        <v>12</v>
      </c>
      <c r="D492" t="s">
        <v>13</v>
      </c>
      <c r="E492" t="s">
        <v>63</v>
      </c>
      <c r="F492" s="1">
        <v>45574</v>
      </c>
      <c r="G492" s="1">
        <v>45579</v>
      </c>
      <c r="H492">
        <v>201</v>
      </c>
      <c r="I492" t="s">
        <v>36</v>
      </c>
      <c r="J492" t="s">
        <v>16</v>
      </c>
      <c r="K492">
        <v>40096</v>
      </c>
    </row>
    <row r="493" spans="1:11" x14ac:dyDescent="0.35">
      <c r="A493" t="s">
        <v>540</v>
      </c>
      <c r="B493">
        <v>66</v>
      </c>
      <c r="C493" t="s">
        <v>18</v>
      </c>
      <c r="D493" t="s">
        <v>31</v>
      </c>
      <c r="E493" t="s">
        <v>63</v>
      </c>
      <c r="F493" s="1">
        <v>45529</v>
      </c>
      <c r="G493" s="1">
        <v>45538</v>
      </c>
      <c r="H493">
        <v>258</v>
      </c>
      <c r="I493" t="s">
        <v>15</v>
      </c>
      <c r="J493" t="s">
        <v>16</v>
      </c>
      <c r="K493">
        <v>165965</v>
      </c>
    </row>
    <row r="494" spans="1:11" x14ac:dyDescent="0.35">
      <c r="A494" t="s">
        <v>541</v>
      </c>
      <c r="B494">
        <v>66</v>
      </c>
      <c r="C494" t="s">
        <v>18</v>
      </c>
      <c r="D494" t="s">
        <v>31</v>
      </c>
      <c r="E494" t="s">
        <v>66</v>
      </c>
      <c r="F494" s="1">
        <v>45642</v>
      </c>
      <c r="G494" s="1">
        <v>45645</v>
      </c>
      <c r="H494">
        <v>92</v>
      </c>
      <c r="I494" t="s">
        <v>36</v>
      </c>
      <c r="J494" t="s">
        <v>26</v>
      </c>
      <c r="K494">
        <v>99056</v>
      </c>
    </row>
    <row r="495" spans="1:11" x14ac:dyDescent="0.35">
      <c r="A495" t="s">
        <v>542</v>
      </c>
      <c r="B495">
        <v>63</v>
      </c>
      <c r="C495" t="s">
        <v>18</v>
      </c>
      <c r="D495" t="s">
        <v>24</v>
      </c>
      <c r="E495" t="s">
        <v>32</v>
      </c>
      <c r="F495" s="1">
        <v>45312</v>
      </c>
      <c r="G495" s="1">
        <v>45316</v>
      </c>
      <c r="H495">
        <v>190</v>
      </c>
      <c r="I495" t="s">
        <v>36</v>
      </c>
      <c r="J495" t="s">
        <v>16</v>
      </c>
      <c r="K495">
        <v>180265</v>
      </c>
    </row>
    <row r="496" spans="1:11" x14ac:dyDescent="0.35">
      <c r="A496" t="s">
        <v>543</v>
      </c>
      <c r="B496">
        <v>47</v>
      </c>
      <c r="C496" t="s">
        <v>12</v>
      </c>
      <c r="D496" t="s">
        <v>31</v>
      </c>
      <c r="E496" t="s">
        <v>20</v>
      </c>
      <c r="F496" s="1">
        <v>45397</v>
      </c>
      <c r="G496" s="1">
        <v>45406</v>
      </c>
      <c r="H496">
        <v>24</v>
      </c>
      <c r="I496" t="s">
        <v>15</v>
      </c>
      <c r="J496" t="s">
        <v>16</v>
      </c>
      <c r="K496">
        <v>32059</v>
      </c>
    </row>
    <row r="497" spans="1:11" x14ac:dyDescent="0.35">
      <c r="A497" t="s">
        <v>544</v>
      </c>
      <c r="B497">
        <v>82</v>
      </c>
      <c r="C497" t="s">
        <v>12</v>
      </c>
      <c r="D497" t="s">
        <v>38</v>
      </c>
      <c r="E497" t="s">
        <v>58</v>
      </c>
      <c r="F497" s="1">
        <v>45652</v>
      </c>
      <c r="G497" s="1">
        <v>45661</v>
      </c>
      <c r="H497">
        <v>279</v>
      </c>
      <c r="I497" t="s">
        <v>36</v>
      </c>
      <c r="J497" t="s">
        <v>26</v>
      </c>
      <c r="K497">
        <v>176357</v>
      </c>
    </row>
    <row r="498" spans="1:11" x14ac:dyDescent="0.35">
      <c r="A498" t="s">
        <v>545</v>
      </c>
      <c r="B498">
        <v>76</v>
      </c>
      <c r="C498" t="s">
        <v>18</v>
      </c>
      <c r="D498" t="s">
        <v>28</v>
      </c>
      <c r="E498" t="s">
        <v>32</v>
      </c>
      <c r="F498" s="1">
        <v>45485</v>
      </c>
      <c r="G498" s="1">
        <v>45491</v>
      </c>
      <c r="H498">
        <v>193</v>
      </c>
      <c r="I498" t="s">
        <v>36</v>
      </c>
      <c r="J498" t="s">
        <v>26</v>
      </c>
      <c r="K498">
        <v>97510</v>
      </c>
    </row>
    <row r="499" spans="1:11" x14ac:dyDescent="0.35">
      <c r="A499" t="s">
        <v>546</v>
      </c>
      <c r="B499">
        <v>62</v>
      </c>
      <c r="C499" t="s">
        <v>18</v>
      </c>
      <c r="D499" t="s">
        <v>28</v>
      </c>
      <c r="E499" t="s">
        <v>106</v>
      </c>
      <c r="F499" s="1">
        <v>45468</v>
      </c>
      <c r="G499" s="1">
        <v>45476</v>
      </c>
      <c r="H499">
        <v>226</v>
      </c>
      <c r="I499" t="s">
        <v>36</v>
      </c>
      <c r="J499" t="s">
        <v>16</v>
      </c>
      <c r="K499">
        <v>25208</v>
      </c>
    </row>
    <row r="500" spans="1:11" x14ac:dyDescent="0.35">
      <c r="A500" t="s">
        <v>547</v>
      </c>
      <c r="B500">
        <v>36</v>
      </c>
      <c r="C500" t="s">
        <v>18</v>
      </c>
      <c r="D500" t="s">
        <v>13</v>
      </c>
      <c r="E500" t="s">
        <v>66</v>
      </c>
      <c r="F500" s="1">
        <v>45555</v>
      </c>
      <c r="G500" s="1">
        <v>45566</v>
      </c>
      <c r="H500">
        <v>81</v>
      </c>
      <c r="I500" t="s">
        <v>33</v>
      </c>
      <c r="J500" t="s">
        <v>16</v>
      </c>
      <c r="K500">
        <v>178305</v>
      </c>
    </row>
    <row r="501" spans="1:11" x14ac:dyDescent="0.35">
      <c r="A501" t="s">
        <v>548</v>
      </c>
      <c r="B501">
        <v>43</v>
      </c>
      <c r="C501" t="s">
        <v>18</v>
      </c>
      <c r="D501" t="s">
        <v>31</v>
      </c>
      <c r="E501" t="s">
        <v>54</v>
      </c>
      <c r="F501" s="1">
        <v>45409</v>
      </c>
      <c r="G501" s="1">
        <v>45416</v>
      </c>
      <c r="H501">
        <v>246</v>
      </c>
      <c r="I501" t="s">
        <v>46</v>
      </c>
      <c r="J501" t="s">
        <v>16</v>
      </c>
      <c r="K501">
        <v>159872</v>
      </c>
    </row>
    <row r="502" spans="1:11" x14ac:dyDescent="0.35">
      <c r="A502" t="s">
        <v>549</v>
      </c>
      <c r="B502">
        <v>53</v>
      </c>
      <c r="C502" t="s">
        <v>18</v>
      </c>
      <c r="D502" t="s">
        <v>13</v>
      </c>
      <c r="E502" t="s">
        <v>52</v>
      </c>
      <c r="F502" s="1">
        <v>45374</v>
      </c>
      <c r="G502" s="1">
        <v>45385</v>
      </c>
      <c r="H502">
        <v>66</v>
      </c>
      <c r="I502" t="s">
        <v>36</v>
      </c>
      <c r="J502" t="s">
        <v>16</v>
      </c>
      <c r="K502">
        <v>170030</v>
      </c>
    </row>
    <row r="503" spans="1:11" x14ac:dyDescent="0.35">
      <c r="A503" t="s">
        <v>550</v>
      </c>
      <c r="B503">
        <v>74</v>
      </c>
      <c r="C503" t="s">
        <v>18</v>
      </c>
      <c r="D503" t="s">
        <v>24</v>
      </c>
      <c r="E503" t="s">
        <v>66</v>
      </c>
      <c r="F503" s="1">
        <v>45554</v>
      </c>
      <c r="G503" s="1">
        <v>45555</v>
      </c>
      <c r="H503">
        <v>133</v>
      </c>
      <c r="I503" t="s">
        <v>36</v>
      </c>
      <c r="J503" t="s">
        <v>26</v>
      </c>
      <c r="K503">
        <v>162117</v>
      </c>
    </row>
    <row r="504" spans="1:11" x14ac:dyDescent="0.35">
      <c r="A504" t="s">
        <v>551</v>
      </c>
      <c r="B504">
        <v>3</v>
      </c>
      <c r="C504" t="s">
        <v>12</v>
      </c>
      <c r="D504" t="s">
        <v>24</v>
      </c>
      <c r="E504" t="s">
        <v>29</v>
      </c>
      <c r="F504" s="1">
        <v>45580</v>
      </c>
      <c r="G504" s="1">
        <v>45591</v>
      </c>
      <c r="H504">
        <v>230</v>
      </c>
      <c r="I504" t="s">
        <v>46</v>
      </c>
      <c r="J504" t="s">
        <v>26</v>
      </c>
      <c r="K504">
        <v>49713</v>
      </c>
    </row>
    <row r="505" spans="1:11" x14ac:dyDescent="0.35">
      <c r="A505" t="s">
        <v>552</v>
      </c>
      <c r="B505">
        <v>53</v>
      </c>
      <c r="C505" t="s">
        <v>18</v>
      </c>
      <c r="D505" t="s">
        <v>28</v>
      </c>
      <c r="E505" t="s">
        <v>22</v>
      </c>
      <c r="F505" s="1">
        <v>45404</v>
      </c>
      <c r="G505" s="1">
        <v>45418</v>
      </c>
      <c r="H505">
        <v>94</v>
      </c>
      <c r="I505" t="s">
        <v>33</v>
      </c>
      <c r="J505" t="s">
        <v>16</v>
      </c>
      <c r="K505">
        <v>194841</v>
      </c>
    </row>
    <row r="506" spans="1:11" x14ac:dyDescent="0.35">
      <c r="A506" t="s">
        <v>553</v>
      </c>
      <c r="B506">
        <v>59</v>
      </c>
      <c r="C506" t="s">
        <v>18</v>
      </c>
      <c r="D506" t="s">
        <v>13</v>
      </c>
      <c r="E506" t="s">
        <v>56</v>
      </c>
      <c r="F506" s="1">
        <v>45643</v>
      </c>
      <c r="G506" s="1">
        <v>45649</v>
      </c>
      <c r="H506">
        <v>198</v>
      </c>
      <c r="I506" t="s">
        <v>36</v>
      </c>
      <c r="J506" t="s">
        <v>16</v>
      </c>
      <c r="K506">
        <v>9341</v>
      </c>
    </row>
    <row r="507" spans="1:11" x14ac:dyDescent="0.35">
      <c r="A507" t="s">
        <v>554</v>
      </c>
      <c r="B507">
        <v>65</v>
      </c>
      <c r="C507" t="s">
        <v>12</v>
      </c>
      <c r="D507" t="s">
        <v>13</v>
      </c>
      <c r="E507" t="s">
        <v>35</v>
      </c>
      <c r="F507" s="1">
        <v>45395</v>
      </c>
      <c r="G507" s="1">
        <v>45404</v>
      </c>
      <c r="H507">
        <v>50</v>
      </c>
      <c r="I507" t="s">
        <v>36</v>
      </c>
      <c r="J507" t="s">
        <v>26</v>
      </c>
      <c r="K507">
        <v>166152</v>
      </c>
    </row>
    <row r="508" spans="1:11" x14ac:dyDescent="0.35">
      <c r="A508" t="s">
        <v>555</v>
      </c>
      <c r="B508">
        <v>69</v>
      </c>
      <c r="C508" t="s">
        <v>18</v>
      </c>
      <c r="D508" t="s">
        <v>24</v>
      </c>
      <c r="E508" t="s">
        <v>43</v>
      </c>
      <c r="F508" s="1">
        <v>45599</v>
      </c>
      <c r="G508" s="1">
        <v>45600</v>
      </c>
      <c r="H508">
        <v>67</v>
      </c>
      <c r="I508" t="s">
        <v>15</v>
      </c>
      <c r="J508" t="s">
        <v>26</v>
      </c>
      <c r="K508">
        <v>141850</v>
      </c>
    </row>
    <row r="509" spans="1:11" x14ac:dyDescent="0.35">
      <c r="A509" t="s">
        <v>556</v>
      </c>
      <c r="B509">
        <v>6</v>
      </c>
      <c r="C509" t="s">
        <v>12</v>
      </c>
      <c r="D509" t="s">
        <v>13</v>
      </c>
      <c r="E509" t="s">
        <v>43</v>
      </c>
      <c r="F509" s="1">
        <v>45507</v>
      </c>
      <c r="G509" s="1">
        <v>45513</v>
      </c>
      <c r="H509">
        <v>196</v>
      </c>
      <c r="I509" t="s">
        <v>33</v>
      </c>
      <c r="J509" t="s">
        <v>16</v>
      </c>
      <c r="K509">
        <v>116539</v>
      </c>
    </row>
    <row r="510" spans="1:11" x14ac:dyDescent="0.35">
      <c r="A510" t="s">
        <v>557</v>
      </c>
      <c r="B510">
        <v>62</v>
      </c>
      <c r="C510" t="s">
        <v>18</v>
      </c>
      <c r="D510" t="s">
        <v>24</v>
      </c>
      <c r="E510" t="s">
        <v>83</v>
      </c>
      <c r="F510" s="1">
        <v>45360</v>
      </c>
      <c r="G510" s="1">
        <v>45365</v>
      </c>
      <c r="H510">
        <v>279</v>
      </c>
      <c r="I510" t="s">
        <v>46</v>
      </c>
      <c r="J510" t="s">
        <v>16</v>
      </c>
      <c r="K510">
        <v>54550</v>
      </c>
    </row>
    <row r="511" spans="1:11" x14ac:dyDescent="0.35">
      <c r="A511" t="s">
        <v>558</v>
      </c>
      <c r="B511">
        <v>1</v>
      </c>
      <c r="C511" t="s">
        <v>18</v>
      </c>
      <c r="D511" t="s">
        <v>28</v>
      </c>
      <c r="E511" t="s">
        <v>80</v>
      </c>
      <c r="F511" s="1">
        <v>45294</v>
      </c>
      <c r="G511" s="1">
        <v>45306</v>
      </c>
      <c r="H511">
        <v>193</v>
      </c>
      <c r="I511" t="s">
        <v>36</v>
      </c>
      <c r="J511" t="s">
        <v>16</v>
      </c>
      <c r="K511">
        <v>112176</v>
      </c>
    </row>
    <row r="512" spans="1:11" x14ac:dyDescent="0.35">
      <c r="A512" t="s">
        <v>559</v>
      </c>
      <c r="B512">
        <v>20</v>
      </c>
      <c r="C512" t="s">
        <v>12</v>
      </c>
      <c r="D512" t="s">
        <v>28</v>
      </c>
      <c r="E512" t="s">
        <v>32</v>
      </c>
      <c r="F512" s="1">
        <v>45477</v>
      </c>
      <c r="G512" s="1">
        <v>45479</v>
      </c>
      <c r="H512">
        <v>134</v>
      </c>
      <c r="I512" t="s">
        <v>46</v>
      </c>
      <c r="J512" t="s">
        <v>16</v>
      </c>
      <c r="K512">
        <v>165400</v>
      </c>
    </row>
    <row r="513" spans="1:11" x14ac:dyDescent="0.35">
      <c r="A513" t="s">
        <v>560</v>
      </c>
      <c r="B513">
        <v>51</v>
      </c>
      <c r="C513" t="s">
        <v>18</v>
      </c>
      <c r="D513" t="s">
        <v>31</v>
      </c>
      <c r="E513" t="s">
        <v>61</v>
      </c>
      <c r="F513" s="1">
        <v>45433</v>
      </c>
      <c r="G513" s="1">
        <v>45444</v>
      </c>
      <c r="H513">
        <v>286</v>
      </c>
      <c r="I513" t="s">
        <v>46</v>
      </c>
      <c r="J513" t="s">
        <v>16</v>
      </c>
      <c r="K513">
        <v>102049</v>
      </c>
    </row>
    <row r="514" spans="1:11" x14ac:dyDescent="0.35">
      <c r="A514" t="s">
        <v>561</v>
      </c>
      <c r="B514">
        <v>62</v>
      </c>
      <c r="C514" t="s">
        <v>12</v>
      </c>
      <c r="D514" t="s">
        <v>38</v>
      </c>
      <c r="E514" t="s">
        <v>58</v>
      </c>
      <c r="F514" s="1">
        <v>45578</v>
      </c>
      <c r="G514" s="1">
        <v>45587</v>
      </c>
      <c r="H514">
        <v>177</v>
      </c>
      <c r="I514" t="s">
        <v>46</v>
      </c>
      <c r="J514" t="s">
        <v>16</v>
      </c>
      <c r="K514">
        <v>177827</v>
      </c>
    </row>
    <row r="515" spans="1:11" x14ac:dyDescent="0.35">
      <c r="A515" t="s">
        <v>562</v>
      </c>
      <c r="B515">
        <v>30</v>
      </c>
      <c r="C515" t="s">
        <v>12</v>
      </c>
      <c r="D515" t="s">
        <v>13</v>
      </c>
      <c r="E515" t="s">
        <v>90</v>
      </c>
      <c r="F515" s="1">
        <v>45352</v>
      </c>
      <c r="G515" s="1">
        <v>45364</v>
      </c>
      <c r="H515">
        <v>110</v>
      </c>
      <c r="I515" t="s">
        <v>46</v>
      </c>
      <c r="J515" t="s">
        <v>16</v>
      </c>
      <c r="K515">
        <v>149330</v>
      </c>
    </row>
    <row r="516" spans="1:11" x14ac:dyDescent="0.35">
      <c r="A516" t="s">
        <v>563</v>
      </c>
      <c r="B516">
        <v>88</v>
      </c>
      <c r="C516" t="s">
        <v>18</v>
      </c>
      <c r="D516" t="s">
        <v>13</v>
      </c>
      <c r="E516" t="s">
        <v>56</v>
      </c>
      <c r="F516" s="1">
        <v>45606</v>
      </c>
      <c r="G516" s="1">
        <v>45618</v>
      </c>
      <c r="H516">
        <v>3</v>
      </c>
      <c r="I516" t="s">
        <v>15</v>
      </c>
      <c r="J516" t="s">
        <v>16</v>
      </c>
      <c r="K516">
        <v>128645</v>
      </c>
    </row>
    <row r="517" spans="1:11" x14ac:dyDescent="0.35">
      <c r="A517" t="s">
        <v>564</v>
      </c>
      <c r="B517">
        <v>12</v>
      </c>
      <c r="C517" t="s">
        <v>18</v>
      </c>
      <c r="D517" t="s">
        <v>38</v>
      </c>
      <c r="E517" t="s">
        <v>14</v>
      </c>
      <c r="F517" s="1">
        <v>45599</v>
      </c>
      <c r="G517" s="1">
        <v>45606</v>
      </c>
      <c r="H517">
        <v>190</v>
      </c>
      <c r="I517" t="s">
        <v>15</v>
      </c>
      <c r="J517" t="s">
        <v>16</v>
      </c>
      <c r="K517">
        <v>194921</v>
      </c>
    </row>
    <row r="518" spans="1:11" x14ac:dyDescent="0.35">
      <c r="A518" t="s">
        <v>565</v>
      </c>
      <c r="B518">
        <v>52</v>
      </c>
      <c r="C518" t="s">
        <v>12</v>
      </c>
      <c r="D518" t="s">
        <v>28</v>
      </c>
      <c r="E518" t="s">
        <v>52</v>
      </c>
      <c r="F518" s="1">
        <v>45488</v>
      </c>
      <c r="G518" s="1">
        <v>45503</v>
      </c>
      <c r="H518">
        <v>90</v>
      </c>
      <c r="I518" t="s">
        <v>46</v>
      </c>
      <c r="J518" t="s">
        <v>26</v>
      </c>
      <c r="K518">
        <v>7807</v>
      </c>
    </row>
    <row r="519" spans="1:11" x14ac:dyDescent="0.35">
      <c r="A519" t="s">
        <v>566</v>
      </c>
      <c r="B519">
        <v>85</v>
      </c>
      <c r="C519" t="s">
        <v>12</v>
      </c>
      <c r="D519" t="s">
        <v>13</v>
      </c>
      <c r="E519" t="s">
        <v>52</v>
      </c>
      <c r="F519" s="1">
        <v>45395</v>
      </c>
      <c r="G519" s="1">
        <v>45409</v>
      </c>
      <c r="H519">
        <v>262</v>
      </c>
      <c r="I519" t="s">
        <v>36</v>
      </c>
      <c r="J519" t="s">
        <v>16</v>
      </c>
      <c r="K519">
        <v>181691</v>
      </c>
    </row>
    <row r="520" spans="1:11" x14ac:dyDescent="0.35">
      <c r="A520" t="s">
        <v>567</v>
      </c>
      <c r="B520">
        <v>31</v>
      </c>
      <c r="C520" t="s">
        <v>18</v>
      </c>
      <c r="D520" t="s">
        <v>13</v>
      </c>
      <c r="E520" t="s">
        <v>45</v>
      </c>
      <c r="F520" s="1">
        <v>45310</v>
      </c>
      <c r="G520" s="1">
        <v>45316</v>
      </c>
      <c r="H520">
        <v>142</v>
      </c>
      <c r="I520" t="s">
        <v>46</v>
      </c>
      <c r="J520" t="s">
        <v>16</v>
      </c>
      <c r="K520">
        <v>180547</v>
      </c>
    </row>
    <row r="521" spans="1:11" x14ac:dyDescent="0.35">
      <c r="A521" t="s">
        <v>568</v>
      </c>
      <c r="B521">
        <v>76</v>
      </c>
      <c r="C521" t="s">
        <v>18</v>
      </c>
      <c r="D521" t="s">
        <v>28</v>
      </c>
      <c r="E521" t="s">
        <v>80</v>
      </c>
      <c r="F521" s="1">
        <v>45494</v>
      </c>
      <c r="G521" s="1">
        <v>45501</v>
      </c>
      <c r="H521">
        <v>36</v>
      </c>
      <c r="I521" t="s">
        <v>15</v>
      </c>
      <c r="J521" t="s">
        <v>16</v>
      </c>
      <c r="K521">
        <v>195352</v>
      </c>
    </row>
    <row r="522" spans="1:11" x14ac:dyDescent="0.35">
      <c r="A522" t="s">
        <v>569</v>
      </c>
      <c r="B522">
        <v>75</v>
      </c>
      <c r="C522" t="s">
        <v>12</v>
      </c>
      <c r="D522" t="s">
        <v>38</v>
      </c>
      <c r="E522" t="s">
        <v>32</v>
      </c>
      <c r="F522" s="1">
        <v>45578</v>
      </c>
      <c r="G522" s="1">
        <v>45593</v>
      </c>
      <c r="H522">
        <v>116</v>
      </c>
      <c r="I522" t="s">
        <v>36</v>
      </c>
      <c r="J522" t="s">
        <v>26</v>
      </c>
      <c r="K522">
        <v>110894</v>
      </c>
    </row>
    <row r="523" spans="1:11" x14ac:dyDescent="0.35">
      <c r="A523" t="s">
        <v>570</v>
      </c>
      <c r="B523">
        <v>34</v>
      </c>
      <c r="C523" t="s">
        <v>18</v>
      </c>
      <c r="D523" t="s">
        <v>31</v>
      </c>
      <c r="E523" t="s">
        <v>49</v>
      </c>
      <c r="F523" s="1">
        <v>45586</v>
      </c>
      <c r="G523" s="1">
        <v>45587</v>
      </c>
      <c r="H523">
        <v>55</v>
      </c>
      <c r="I523" t="s">
        <v>15</v>
      </c>
      <c r="J523" t="s">
        <v>16</v>
      </c>
      <c r="K523">
        <v>94120</v>
      </c>
    </row>
    <row r="524" spans="1:11" x14ac:dyDescent="0.35">
      <c r="A524" t="s">
        <v>571</v>
      </c>
      <c r="B524">
        <v>66</v>
      </c>
      <c r="C524" t="s">
        <v>12</v>
      </c>
      <c r="D524" t="s">
        <v>28</v>
      </c>
      <c r="E524" t="s">
        <v>58</v>
      </c>
      <c r="F524" s="1">
        <v>45351</v>
      </c>
      <c r="G524" s="1">
        <v>45364</v>
      </c>
      <c r="H524">
        <v>129</v>
      </c>
      <c r="I524" t="s">
        <v>46</v>
      </c>
      <c r="J524" t="s">
        <v>26</v>
      </c>
      <c r="K524">
        <v>152631</v>
      </c>
    </row>
    <row r="525" spans="1:11" x14ac:dyDescent="0.35">
      <c r="A525" t="s">
        <v>572</v>
      </c>
      <c r="B525">
        <v>32</v>
      </c>
      <c r="C525" t="s">
        <v>12</v>
      </c>
      <c r="D525" t="s">
        <v>31</v>
      </c>
      <c r="E525" t="s">
        <v>54</v>
      </c>
      <c r="F525" s="1">
        <v>45539</v>
      </c>
      <c r="G525" s="1">
        <v>45552</v>
      </c>
      <c r="H525">
        <v>236</v>
      </c>
      <c r="I525" t="s">
        <v>15</v>
      </c>
      <c r="J525" t="s">
        <v>26</v>
      </c>
      <c r="K525">
        <v>35479</v>
      </c>
    </row>
    <row r="526" spans="1:11" x14ac:dyDescent="0.35">
      <c r="A526" t="s">
        <v>573</v>
      </c>
      <c r="B526">
        <v>49</v>
      </c>
      <c r="C526" t="s">
        <v>18</v>
      </c>
      <c r="D526" t="s">
        <v>13</v>
      </c>
      <c r="E526" t="s">
        <v>95</v>
      </c>
      <c r="F526" s="1">
        <v>45424</v>
      </c>
      <c r="G526" s="1">
        <v>45426</v>
      </c>
      <c r="H526">
        <v>212</v>
      </c>
      <c r="I526" t="s">
        <v>33</v>
      </c>
      <c r="J526" t="s">
        <v>16</v>
      </c>
      <c r="K526">
        <v>188715</v>
      </c>
    </row>
    <row r="527" spans="1:11" x14ac:dyDescent="0.35">
      <c r="A527" t="s">
        <v>574</v>
      </c>
      <c r="B527">
        <v>37</v>
      </c>
      <c r="C527" t="s">
        <v>18</v>
      </c>
      <c r="D527" t="s">
        <v>31</v>
      </c>
      <c r="E527" t="s">
        <v>54</v>
      </c>
      <c r="F527" s="1">
        <v>45426</v>
      </c>
      <c r="G527" s="1">
        <v>45430</v>
      </c>
      <c r="H527">
        <v>176</v>
      </c>
      <c r="I527" t="s">
        <v>15</v>
      </c>
      <c r="J527" t="s">
        <v>16</v>
      </c>
      <c r="K527">
        <v>129926</v>
      </c>
    </row>
    <row r="528" spans="1:11" x14ac:dyDescent="0.35">
      <c r="A528" t="s">
        <v>575</v>
      </c>
      <c r="B528">
        <v>28</v>
      </c>
      <c r="C528" t="s">
        <v>12</v>
      </c>
      <c r="D528" t="s">
        <v>13</v>
      </c>
      <c r="E528" t="s">
        <v>25</v>
      </c>
      <c r="F528" s="1">
        <v>45452</v>
      </c>
      <c r="G528" s="1">
        <v>45458</v>
      </c>
      <c r="H528">
        <v>98</v>
      </c>
      <c r="I528" t="s">
        <v>46</v>
      </c>
      <c r="J528" t="s">
        <v>16</v>
      </c>
      <c r="K528">
        <v>66567</v>
      </c>
    </row>
    <row r="529" spans="1:11" x14ac:dyDescent="0.35">
      <c r="A529" t="s">
        <v>576</v>
      </c>
      <c r="B529">
        <v>34</v>
      </c>
      <c r="C529" t="s">
        <v>18</v>
      </c>
      <c r="D529" t="s">
        <v>13</v>
      </c>
      <c r="E529" t="s">
        <v>29</v>
      </c>
      <c r="F529" s="1">
        <v>45415</v>
      </c>
      <c r="G529" s="1">
        <v>45429</v>
      </c>
      <c r="H529">
        <v>128</v>
      </c>
      <c r="I529" t="s">
        <v>33</v>
      </c>
      <c r="J529" t="s">
        <v>16</v>
      </c>
      <c r="K529">
        <v>32967</v>
      </c>
    </row>
    <row r="530" spans="1:11" x14ac:dyDescent="0.35">
      <c r="A530" t="s">
        <v>577</v>
      </c>
      <c r="B530">
        <v>11</v>
      </c>
      <c r="C530" t="s">
        <v>12</v>
      </c>
      <c r="D530" t="s">
        <v>28</v>
      </c>
      <c r="E530" t="s">
        <v>80</v>
      </c>
      <c r="F530" s="1">
        <v>45353</v>
      </c>
      <c r="G530" s="1">
        <v>45368</v>
      </c>
      <c r="H530">
        <v>278</v>
      </c>
      <c r="I530" t="s">
        <v>15</v>
      </c>
      <c r="J530" t="s">
        <v>26</v>
      </c>
      <c r="K530">
        <v>102306</v>
      </c>
    </row>
    <row r="531" spans="1:11" x14ac:dyDescent="0.35">
      <c r="A531" t="s">
        <v>578</v>
      </c>
      <c r="B531">
        <v>64</v>
      </c>
      <c r="C531" t="s">
        <v>12</v>
      </c>
      <c r="D531" t="s">
        <v>31</v>
      </c>
      <c r="E531" t="s">
        <v>66</v>
      </c>
      <c r="F531" s="1">
        <v>45609</v>
      </c>
      <c r="G531" s="1">
        <v>45615</v>
      </c>
      <c r="H531">
        <v>262</v>
      </c>
      <c r="I531" t="s">
        <v>33</v>
      </c>
      <c r="J531" t="s">
        <v>26</v>
      </c>
      <c r="K531">
        <v>63220</v>
      </c>
    </row>
    <row r="532" spans="1:11" x14ac:dyDescent="0.35">
      <c r="A532" t="s">
        <v>579</v>
      </c>
      <c r="B532">
        <v>7</v>
      </c>
      <c r="C532" t="s">
        <v>12</v>
      </c>
      <c r="D532" t="s">
        <v>31</v>
      </c>
      <c r="E532" t="s">
        <v>61</v>
      </c>
      <c r="F532" s="1">
        <v>45587</v>
      </c>
      <c r="G532" s="1">
        <v>45590</v>
      </c>
      <c r="H532">
        <v>17</v>
      </c>
      <c r="I532" t="s">
        <v>33</v>
      </c>
      <c r="J532" t="s">
        <v>26</v>
      </c>
      <c r="K532">
        <v>184919</v>
      </c>
    </row>
    <row r="533" spans="1:11" x14ac:dyDescent="0.35">
      <c r="A533" t="s">
        <v>580</v>
      </c>
      <c r="B533">
        <v>16</v>
      </c>
      <c r="C533" t="s">
        <v>12</v>
      </c>
      <c r="D533" t="s">
        <v>38</v>
      </c>
      <c r="E533" t="s">
        <v>40</v>
      </c>
      <c r="F533" s="1">
        <v>45381</v>
      </c>
      <c r="G533" s="1">
        <v>45389</v>
      </c>
      <c r="H533">
        <v>5</v>
      </c>
      <c r="I533" t="s">
        <v>15</v>
      </c>
      <c r="J533" t="s">
        <v>16</v>
      </c>
      <c r="K533">
        <v>104464</v>
      </c>
    </row>
    <row r="534" spans="1:11" x14ac:dyDescent="0.35">
      <c r="A534" t="s">
        <v>581</v>
      </c>
      <c r="B534">
        <v>42</v>
      </c>
      <c r="C534" t="s">
        <v>12</v>
      </c>
      <c r="D534" t="s">
        <v>28</v>
      </c>
      <c r="E534" t="s">
        <v>32</v>
      </c>
      <c r="F534" s="1">
        <v>45589</v>
      </c>
      <c r="G534" s="1">
        <v>45591</v>
      </c>
      <c r="H534">
        <v>96</v>
      </c>
      <c r="I534" t="s">
        <v>33</v>
      </c>
      <c r="J534" t="s">
        <v>16</v>
      </c>
      <c r="K534">
        <v>75623</v>
      </c>
    </row>
    <row r="535" spans="1:11" x14ac:dyDescent="0.35">
      <c r="A535" t="s">
        <v>582</v>
      </c>
      <c r="B535">
        <v>44</v>
      </c>
      <c r="C535" t="s">
        <v>12</v>
      </c>
      <c r="D535" t="s">
        <v>13</v>
      </c>
      <c r="E535" t="s">
        <v>43</v>
      </c>
      <c r="F535" s="1">
        <v>45533</v>
      </c>
      <c r="G535" s="1">
        <v>45543</v>
      </c>
      <c r="H535">
        <v>218</v>
      </c>
      <c r="I535" t="s">
        <v>36</v>
      </c>
      <c r="J535" t="s">
        <v>26</v>
      </c>
      <c r="K535">
        <v>188687</v>
      </c>
    </row>
    <row r="536" spans="1:11" x14ac:dyDescent="0.35">
      <c r="A536" t="s">
        <v>583</v>
      </c>
      <c r="B536">
        <v>52</v>
      </c>
      <c r="C536" t="s">
        <v>12</v>
      </c>
      <c r="D536" t="s">
        <v>31</v>
      </c>
      <c r="E536" t="s">
        <v>66</v>
      </c>
      <c r="F536" s="1">
        <v>45482</v>
      </c>
      <c r="G536" s="1">
        <v>45488</v>
      </c>
      <c r="H536">
        <v>293</v>
      </c>
      <c r="I536" t="s">
        <v>36</v>
      </c>
      <c r="J536" t="s">
        <v>16</v>
      </c>
      <c r="K536">
        <v>31180</v>
      </c>
    </row>
    <row r="537" spans="1:11" x14ac:dyDescent="0.35">
      <c r="A537" t="s">
        <v>584</v>
      </c>
      <c r="B537">
        <v>31</v>
      </c>
      <c r="C537" t="s">
        <v>12</v>
      </c>
      <c r="D537" t="s">
        <v>31</v>
      </c>
      <c r="E537" t="s">
        <v>29</v>
      </c>
      <c r="F537" s="1">
        <v>45430</v>
      </c>
      <c r="G537" s="1">
        <v>45443</v>
      </c>
      <c r="H537">
        <v>75</v>
      </c>
      <c r="I537" t="s">
        <v>36</v>
      </c>
      <c r="J537" t="s">
        <v>26</v>
      </c>
      <c r="K537">
        <v>7553</v>
      </c>
    </row>
    <row r="538" spans="1:11" x14ac:dyDescent="0.35">
      <c r="A538" t="s">
        <v>585</v>
      </c>
      <c r="B538">
        <v>64</v>
      </c>
      <c r="C538" t="s">
        <v>18</v>
      </c>
      <c r="D538" t="s">
        <v>28</v>
      </c>
      <c r="E538" t="s">
        <v>61</v>
      </c>
      <c r="F538" s="1">
        <v>45382</v>
      </c>
      <c r="G538" s="1">
        <v>45389</v>
      </c>
      <c r="H538">
        <v>162</v>
      </c>
      <c r="I538" t="s">
        <v>46</v>
      </c>
      <c r="J538" t="s">
        <v>16</v>
      </c>
      <c r="K538">
        <v>70791</v>
      </c>
    </row>
    <row r="539" spans="1:11" x14ac:dyDescent="0.35">
      <c r="A539" t="s">
        <v>586</v>
      </c>
      <c r="B539">
        <v>73</v>
      </c>
      <c r="C539" t="s">
        <v>18</v>
      </c>
      <c r="D539" t="s">
        <v>31</v>
      </c>
      <c r="E539" t="s">
        <v>90</v>
      </c>
      <c r="F539" s="1">
        <v>45579</v>
      </c>
      <c r="G539" s="1">
        <v>45593</v>
      </c>
      <c r="H539">
        <v>84</v>
      </c>
      <c r="I539" t="s">
        <v>15</v>
      </c>
      <c r="J539" t="s">
        <v>16</v>
      </c>
      <c r="K539">
        <v>71660</v>
      </c>
    </row>
    <row r="540" spans="1:11" x14ac:dyDescent="0.35">
      <c r="A540" t="s">
        <v>587</v>
      </c>
      <c r="B540">
        <v>81</v>
      </c>
      <c r="C540" t="s">
        <v>18</v>
      </c>
      <c r="D540" t="s">
        <v>31</v>
      </c>
      <c r="E540" t="s">
        <v>25</v>
      </c>
      <c r="F540" s="1">
        <v>45535</v>
      </c>
      <c r="G540" s="1">
        <v>45549</v>
      </c>
      <c r="H540">
        <v>172</v>
      </c>
      <c r="I540" t="s">
        <v>33</v>
      </c>
      <c r="J540" t="s">
        <v>16</v>
      </c>
      <c r="K540">
        <v>99452</v>
      </c>
    </row>
    <row r="541" spans="1:11" x14ac:dyDescent="0.35">
      <c r="A541" t="s">
        <v>588</v>
      </c>
      <c r="B541">
        <v>33</v>
      </c>
      <c r="C541" t="s">
        <v>12</v>
      </c>
      <c r="D541" t="s">
        <v>24</v>
      </c>
      <c r="E541" t="s">
        <v>93</v>
      </c>
      <c r="F541" s="1">
        <v>45578</v>
      </c>
      <c r="G541" s="1">
        <v>45587</v>
      </c>
      <c r="H541">
        <v>63</v>
      </c>
      <c r="I541" t="s">
        <v>33</v>
      </c>
      <c r="J541" t="s">
        <v>16</v>
      </c>
      <c r="K541">
        <v>156218</v>
      </c>
    </row>
    <row r="542" spans="1:11" x14ac:dyDescent="0.35">
      <c r="A542" t="s">
        <v>589</v>
      </c>
      <c r="B542">
        <v>84</v>
      </c>
      <c r="C542" t="s">
        <v>18</v>
      </c>
      <c r="D542" t="s">
        <v>38</v>
      </c>
      <c r="E542" t="s">
        <v>63</v>
      </c>
      <c r="F542" s="1">
        <v>45586</v>
      </c>
      <c r="G542" s="1">
        <v>45597</v>
      </c>
      <c r="H542">
        <v>167</v>
      </c>
      <c r="I542" t="s">
        <v>46</v>
      </c>
      <c r="J542" t="s">
        <v>26</v>
      </c>
      <c r="K542">
        <v>25554</v>
      </c>
    </row>
    <row r="543" spans="1:11" x14ac:dyDescent="0.35">
      <c r="A543" t="s">
        <v>590</v>
      </c>
      <c r="B543">
        <v>37</v>
      </c>
      <c r="C543" t="s">
        <v>12</v>
      </c>
      <c r="D543" t="s">
        <v>13</v>
      </c>
      <c r="E543" t="s">
        <v>66</v>
      </c>
      <c r="F543" s="1">
        <v>45487</v>
      </c>
      <c r="G543" s="1">
        <v>45497</v>
      </c>
      <c r="H543">
        <v>173</v>
      </c>
      <c r="I543" t="s">
        <v>46</v>
      </c>
      <c r="J543" t="s">
        <v>26</v>
      </c>
      <c r="K543">
        <v>23702</v>
      </c>
    </row>
    <row r="544" spans="1:11" x14ac:dyDescent="0.35">
      <c r="A544" t="s">
        <v>591</v>
      </c>
      <c r="B544">
        <v>44</v>
      </c>
      <c r="C544" t="s">
        <v>18</v>
      </c>
      <c r="D544" t="s">
        <v>38</v>
      </c>
      <c r="E544" t="s">
        <v>95</v>
      </c>
      <c r="F544" s="1">
        <v>45332</v>
      </c>
      <c r="G544" s="1">
        <v>45335</v>
      </c>
      <c r="H544">
        <v>150</v>
      </c>
      <c r="I544" t="s">
        <v>33</v>
      </c>
      <c r="J544" t="s">
        <v>26</v>
      </c>
      <c r="K544">
        <v>76106</v>
      </c>
    </row>
    <row r="545" spans="1:11" x14ac:dyDescent="0.35">
      <c r="A545" t="s">
        <v>592</v>
      </c>
      <c r="B545">
        <v>47</v>
      </c>
      <c r="C545" t="s">
        <v>12</v>
      </c>
      <c r="D545" t="s">
        <v>31</v>
      </c>
      <c r="E545" t="s">
        <v>66</v>
      </c>
      <c r="F545" s="1">
        <v>45519</v>
      </c>
      <c r="G545" s="1">
        <v>45532</v>
      </c>
      <c r="H545">
        <v>95</v>
      </c>
      <c r="I545" t="s">
        <v>15</v>
      </c>
      <c r="J545" t="s">
        <v>16</v>
      </c>
      <c r="K545">
        <v>195781</v>
      </c>
    </row>
    <row r="546" spans="1:11" x14ac:dyDescent="0.35">
      <c r="A546" t="s">
        <v>593</v>
      </c>
      <c r="B546">
        <v>33</v>
      </c>
      <c r="C546" t="s">
        <v>18</v>
      </c>
      <c r="D546" t="s">
        <v>13</v>
      </c>
      <c r="E546" t="s">
        <v>66</v>
      </c>
      <c r="F546" s="1">
        <v>45412</v>
      </c>
      <c r="G546" s="1">
        <v>45423</v>
      </c>
      <c r="H546">
        <v>204</v>
      </c>
      <c r="I546" t="s">
        <v>15</v>
      </c>
      <c r="J546" t="s">
        <v>16</v>
      </c>
      <c r="K546">
        <v>21722</v>
      </c>
    </row>
    <row r="547" spans="1:11" x14ac:dyDescent="0.35">
      <c r="A547" t="s">
        <v>594</v>
      </c>
      <c r="B547">
        <v>7</v>
      </c>
      <c r="C547" t="s">
        <v>18</v>
      </c>
      <c r="D547" t="s">
        <v>31</v>
      </c>
      <c r="E547" t="s">
        <v>49</v>
      </c>
      <c r="F547" s="1">
        <v>45534</v>
      </c>
      <c r="G547" s="1">
        <v>45543</v>
      </c>
      <c r="H547">
        <v>43</v>
      </c>
      <c r="I547" t="s">
        <v>15</v>
      </c>
      <c r="J547" t="s">
        <v>16</v>
      </c>
      <c r="K547">
        <v>167031</v>
      </c>
    </row>
    <row r="548" spans="1:11" x14ac:dyDescent="0.35">
      <c r="A548" t="s">
        <v>595</v>
      </c>
      <c r="B548">
        <v>84</v>
      </c>
      <c r="C548" t="s">
        <v>12</v>
      </c>
      <c r="D548" t="s">
        <v>38</v>
      </c>
      <c r="E548" t="s">
        <v>14</v>
      </c>
      <c r="F548" s="1">
        <v>45371</v>
      </c>
      <c r="G548" s="1">
        <v>45373</v>
      </c>
      <c r="H548">
        <v>127</v>
      </c>
      <c r="I548" t="s">
        <v>33</v>
      </c>
      <c r="J548" t="s">
        <v>26</v>
      </c>
      <c r="K548">
        <v>169228</v>
      </c>
    </row>
    <row r="549" spans="1:11" x14ac:dyDescent="0.35">
      <c r="A549" t="s">
        <v>596</v>
      </c>
      <c r="B549">
        <v>68</v>
      </c>
      <c r="C549" t="s">
        <v>18</v>
      </c>
      <c r="D549" t="s">
        <v>24</v>
      </c>
      <c r="E549" t="s">
        <v>52</v>
      </c>
      <c r="F549" s="1">
        <v>45356</v>
      </c>
      <c r="G549" s="1">
        <v>45359</v>
      </c>
      <c r="H549">
        <v>183</v>
      </c>
      <c r="I549" t="s">
        <v>33</v>
      </c>
      <c r="J549" t="s">
        <v>26</v>
      </c>
      <c r="K549">
        <v>127471</v>
      </c>
    </row>
    <row r="550" spans="1:11" x14ac:dyDescent="0.35">
      <c r="A550" t="s">
        <v>597</v>
      </c>
      <c r="B550">
        <v>35</v>
      </c>
      <c r="C550" t="s">
        <v>12</v>
      </c>
      <c r="D550" t="s">
        <v>13</v>
      </c>
      <c r="E550" t="s">
        <v>40</v>
      </c>
      <c r="F550" s="1">
        <v>45568</v>
      </c>
      <c r="G550" s="1">
        <v>45583</v>
      </c>
      <c r="H550">
        <v>277</v>
      </c>
      <c r="I550" t="s">
        <v>36</v>
      </c>
      <c r="J550" t="s">
        <v>26</v>
      </c>
      <c r="K550">
        <v>170425</v>
      </c>
    </row>
    <row r="551" spans="1:11" x14ac:dyDescent="0.35">
      <c r="A551" t="s">
        <v>598</v>
      </c>
      <c r="B551">
        <v>73</v>
      </c>
      <c r="C551" t="s">
        <v>12</v>
      </c>
      <c r="D551" t="s">
        <v>28</v>
      </c>
      <c r="E551" t="s">
        <v>68</v>
      </c>
      <c r="F551" s="1">
        <v>45617</v>
      </c>
      <c r="G551" s="1">
        <v>45632</v>
      </c>
      <c r="H551">
        <v>274</v>
      </c>
      <c r="I551" t="s">
        <v>33</v>
      </c>
      <c r="J551" t="s">
        <v>16</v>
      </c>
      <c r="K551">
        <v>131262</v>
      </c>
    </row>
    <row r="552" spans="1:11" x14ac:dyDescent="0.35">
      <c r="A552" t="s">
        <v>599</v>
      </c>
      <c r="B552">
        <v>12</v>
      </c>
      <c r="C552" t="s">
        <v>12</v>
      </c>
      <c r="D552" t="s">
        <v>38</v>
      </c>
      <c r="E552" t="s">
        <v>63</v>
      </c>
      <c r="F552" s="1">
        <v>45568</v>
      </c>
      <c r="G552" s="1">
        <v>45572</v>
      </c>
      <c r="H552">
        <v>212</v>
      </c>
      <c r="I552" t="s">
        <v>33</v>
      </c>
      <c r="J552" t="s">
        <v>16</v>
      </c>
      <c r="K552">
        <v>84579</v>
      </c>
    </row>
    <row r="553" spans="1:11" x14ac:dyDescent="0.35">
      <c r="A553" t="s">
        <v>600</v>
      </c>
      <c r="B553">
        <v>67</v>
      </c>
      <c r="C553" t="s">
        <v>18</v>
      </c>
      <c r="D553" t="s">
        <v>38</v>
      </c>
      <c r="E553" t="s">
        <v>83</v>
      </c>
      <c r="F553" s="1">
        <v>45297</v>
      </c>
      <c r="G553" s="1">
        <v>45298</v>
      </c>
      <c r="H553">
        <v>241</v>
      </c>
      <c r="I553" t="s">
        <v>15</v>
      </c>
      <c r="J553" t="s">
        <v>26</v>
      </c>
      <c r="K553">
        <v>130060</v>
      </c>
    </row>
    <row r="554" spans="1:11" x14ac:dyDescent="0.35">
      <c r="A554" t="s">
        <v>601</v>
      </c>
      <c r="B554">
        <v>56</v>
      </c>
      <c r="C554" t="s">
        <v>12</v>
      </c>
      <c r="D554" t="s">
        <v>28</v>
      </c>
      <c r="E554" t="s">
        <v>14</v>
      </c>
      <c r="F554" s="1">
        <v>45445</v>
      </c>
      <c r="G554" s="1">
        <v>45446</v>
      </c>
      <c r="H554">
        <v>4</v>
      </c>
      <c r="I554" t="s">
        <v>33</v>
      </c>
      <c r="J554" t="s">
        <v>16</v>
      </c>
      <c r="K554">
        <v>112934</v>
      </c>
    </row>
    <row r="555" spans="1:11" x14ac:dyDescent="0.35">
      <c r="A555" t="s">
        <v>602</v>
      </c>
      <c r="B555">
        <v>51</v>
      </c>
      <c r="C555" t="s">
        <v>18</v>
      </c>
      <c r="D555" t="s">
        <v>13</v>
      </c>
      <c r="E555" t="s">
        <v>40</v>
      </c>
      <c r="F555" s="1">
        <v>45579</v>
      </c>
      <c r="G555" s="1">
        <v>45586</v>
      </c>
      <c r="H555">
        <v>200</v>
      </c>
      <c r="I555" t="s">
        <v>46</v>
      </c>
      <c r="J555" t="s">
        <v>16</v>
      </c>
      <c r="K555">
        <v>73938</v>
      </c>
    </row>
    <row r="556" spans="1:11" x14ac:dyDescent="0.35">
      <c r="A556" t="s">
        <v>603</v>
      </c>
      <c r="B556">
        <v>81</v>
      </c>
      <c r="C556" t="s">
        <v>18</v>
      </c>
      <c r="D556" t="s">
        <v>28</v>
      </c>
      <c r="E556" t="s">
        <v>22</v>
      </c>
      <c r="F556" s="1">
        <v>45332</v>
      </c>
      <c r="G556" s="1">
        <v>45339</v>
      </c>
      <c r="H556">
        <v>140</v>
      </c>
      <c r="I556" t="s">
        <v>33</v>
      </c>
      <c r="J556" t="s">
        <v>16</v>
      </c>
      <c r="K556">
        <v>113240</v>
      </c>
    </row>
    <row r="557" spans="1:11" x14ac:dyDescent="0.35">
      <c r="A557" t="s">
        <v>604</v>
      </c>
      <c r="B557">
        <v>9</v>
      </c>
      <c r="C557" t="s">
        <v>18</v>
      </c>
      <c r="D557" t="s">
        <v>13</v>
      </c>
      <c r="E557" t="s">
        <v>83</v>
      </c>
      <c r="F557" s="1">
        <v>45388</v>
      </c>
      <c r="G557" s="1">
        <v>45402</v>
      </c>
      <c r="H557">
        <v>57</v>
      </c>
      <c r="I557" t="s">
        <v>46</v>
      </c>
      <c r="J557" t="s">
        <v>26</v>
      </c>
      <c r="K557">
        <v>76338</v>
      </c>
    </row>
    <row r="558" spans="1:11" x14ac:dyDescent="0.35">
      <c r="A558" t="s">
        <v>605</v>
      </c>
      <c r="B558">
        <v>63</v>
      </c>
      <c r="C558" t="s">
        <v>18</v>
      </c>
      <c r="D558" t="s">
        <v>38</v>
      </c>
      <c r="E558" t="s">
        <v>80</v>
      </c>
      <c r="F558" s="1">
        <v>45650</v>
      </c>
      <c r="G558" s="1">
        <v>45660</v>
      </c>
      <c r="H558">
        <v>78</v>
      </c>
      <c r="I558" t="s">
        <v>15</v>
      </c>
      <c r="J558" t="s">
        <v>16</v>
      </c>
      <c r="K558">
        <v>53742</v>
      </c>
    </row>
    <row r="559" spans="1:11" x14ac:dyDescent="0.35">
      <c r="A559" t="s">
        <v>606</v>
      </c>
      <c r="B559">
        <v>35</v>
      </c>
      <c r="C559" t="s">
        <v>18</v>
      </c>
      <c r="D559" t="s">
        <v>31</v>
      </c>
      <c r="E559" t="s">
        <v>25</v>
      </c>
      <c r="F559" s="1">
        <v>45344</v>
      </c>
      <c r="G559" s="1">
        <v>45349</v>
      </c>
      <c r="H559">
        <v>5</v>
      </c>
      <c r="I559" t="s">
        <v>36</v>
      </c>
      <c r="J559" t="s">
        <v>16</v>
      </c>
      <c r="K559">
        <v>44500</v>
      </c>
    </row>
    <row r="560" spans="1:11" x14ac:dyDescent="0.35">
      <c r="A560" t="s">
        <v>607</v>
      </c>
      <c r="B560">
        <v>28</v>
      </c>
      <c r="C560" t="s">
        <v>12</v>
      </c>
      <c r="D560" t="s">
        <v>31</v>
      </c>
      <c r="E560" t="s">
        <v>83</v>
      </c>
      <c r="F560" s="1">
        <v>45299</v>
      </c>
      <c r="G560" s="1">
        <v>45307</v>
      </c>
      <c r="H560">
        <v>256</v>
      </c>
      <c r="I560" t="s">
        <v>33</v>
      </c>
      <c r="J560" t="s">
        <v>26</v>
      </c>
      <c r="K560">
        <v>187697</v>
      </c>
    </row>
    <row r="561" spans="1:11" x14ac:dyDescent="0.35">
      <c r="A561" t="s">
        <v>608</v>
      </c>
      <c r="B561">
        <v>11</v>
      </c>
      <c r="C561" t="s">
        <v>18</v>
      </c>
      <c r="D561" t="s">
        <v>24</v>
      </c>
      <c r="E561" t="s">
        <v>32</v>
      </c>
      <c r="F561" s="1">
        <v>45308</v>
      </c>
      <c r="G561" s="1">
        <v>45314</v>
      </c>
      <c r="H561">
        <v>201</v>
      </c>
      <c r="I561" t="s">
        <v>15</v>
      </c>
      <c r="J561" t="s">
        <v>26</v>
      </c>
      <c r="K561">
        <v>52606</v>
      </c>
    </row>
    <row r="562" spans="1:11" x14ac:dyDescent="0.35">
      <c r="A562" t="s">
        <v>609</v>
      </c>
      <c r="B562">
        <v>33</v>
      </c>
      <c r="C562" t="s">
        <v>12</v>
      </c>
      <c r="D562" t="s">
        <v>24</v>
      </c>
      <c r="E562" t="s">
        <v>90</v>
      </c>
      <c r="F562" s="1">
        <v>45390</v>
      </c>
      <c r="G562" s="1">
        <v>45405</v>
      </c>
      <c r="H562">
        <v>128</v>
      </c>
      <c r="I562" t="s">
        <v>46</v>
      </c>
      <c r="J562" t="s">
        <v>26</v>
      </c>
      <c r="K562">
        <v>69792</v>
      </c>
    </row>
    <row r="563" spans="1:11" x14ac:dyDescent="0.35">
      <c r="A563" t="s">
        <v>610</v>
      </c>
      <c r="B563">
        <v>59</v>
      </c>
      <c r="C563" t="s">
        <v>18</v>
      </c>
      <c r="D563" t="s">
        <v>28</v>
      </c>
      <c r="E563" t="s">
        <v>54</v>
      </c>
      <c r="F563" s="1">
        <v>45309</v>
      </c>
      <c r="G563" s="1">
        <v>45313</v>
      </c>
      <c r="H563">
        <v>107</v>
      </c>
      <c r="I563" t="s">
        <v>46</v>
      </c>
      <c r="J563" t="s">
        <v>26</v>
      </c>
      <c r="K563">
        <v>183636</v>
      </c>
    </row>
    <row r="564" spans="1:11" x14ac:dyDescent="0.35">
      <c r="A564" t="s">
        <v>611</v>
      </c>
      <c r="B564">
        <v>42</v>
      </c>
      <c r="C564" t="s">
        <v>18</v>
      </c>
      <c r="D564" t="s">
        <v>24</v>
      </c>
      <c r="E564" t="s">
        <v>25</v>
      </c>
      <c r="F564" s="1">
        <v>45451</v>
      </c>
      <c r="G564" s="1">
        <v>45466</v>
      </c>
      <c r="H564">
        <v>282</v>
      </c>
      <c r="I564" t="s">
        <v>15</v>
      </c>
      <c r="J564" t="s">
        <v>16</v>
      </c>
      <c r="K564">
        <v>131151</v>
      </c>
    </row>
    <row r="565" spans="1:11" x14ac:dyDescent="0.35">
      <c r="A565" t="s">
        <v>612</v>
      </c>
      <c r="B565">
        <v>26</v>
      </c>
      <c r="C565" t="s">
        <v>12</v>
      </c>
      <c r="D565" t="s">
        <v>24</v>
      </c>
      <c r="E565" t="s">
        <v>54</v>
      </c>
      <c r="F565" s="1">
        <v>45618</v>
      </c>
      <c r="G565" s="1">
        <v>45623</v>
      </c>
      <c r="H565">
        <v>112</v>
      </c>
      <c r="I565" t="s">
        <v>15</v>
      </c>
      <c r="J565" t="s">
        <v>16</v>
      </c>
      <c r="K565">
        <v>170913</v>
      </c>
    </row>
    <row r="566" spans="1:11" x14ac:dyDescent="0.35">
      <c r="A566" t="s">
        <v>613</v>
      </c>
      <c r="B566">
        <v>2</v>
      </c>
      <c r="C566" t="s">
        <v>18</v>
      </c>
      <c r="D566" t="s">
        <v>38</v>
      </c>
      <c r="E566" t="s">
        <v>58</v>
      </c>
      <c r="F566" s="1">
        <v>45514</v>
      </c>
      <c r="G566" s="1">
        <v>45520</v>
      </c>
      <c r="H566">
        <v>62</v>
      </c>
      <c r="I566" t="s">
        <v>46</v>
      </c>
      <c r="J566" t="s">
        <v>16</v>
      </c>
      <c r="K566">
        <v>7340</v>
      </c>
    </row>
    <row r="567" spans="1:11" x14ac:dyDescent="0.35">
      <c r="A567" t="s">
        <v>614</v>
      </c>
      <c r="B567">
        <v>89</v>
      </c>
      <c r="C567" t="s">
        <v>12</v>
      </c>
      <c r="D567" t="s">
        <v>28</v>
      </c>
      <c r="E567" t="s">
        <v>106</v>
      </c>
      <c r="F567" s="1">
        <v>45313</v>
      </c>
      <c r="G567" s="1">
        <v>45323</v>
      </c>
      <c r="H567">
        <v>191</v>
      </c>
      <c r="I567" t="s">
        <v>15</v>
      </c>
      <c r="J567" t="s">
        <v>16</v>
      </c>
      <c r="K567">
        <v>46339</v>
      </c>
    </row>
    <row r="568" spans="1:11" x14ac:dyDescent="0.35">
      <c r="A568" t="s">
        <v>615</v>
      </c>
      <c r="B568">
        <v>88</v>
      </c>
      <c r="C568" t="s">
        <v>12</v>
      </c>
      <c r="D568" t="s">
        <v>24</v>
      </c>
      <c r="E568" t="s">
        <v>52</v>
      </c>
      <c r="F568" s="1">
        <v>45547</v>
      </c>
      <c r="G568" s="1">
        <v>45549</v>
      </c>
      <c r="H568">
        <v>183</v>
      </c>
      <c r="I568" t="s">
        <v>36</v>
      </c>
      <c r="J568" t="s">
        <v>16</v>
      </c>
      <c r="K568">
        <v>37984</v>
      </c>
    </row>
    <row r="569" spans="1:11" x14ac:dyDescent="0.35">
      <c r="A569" t="s">
        <v>616</v>
      </c>
      <c r="B569">
        <v>41</v>
      </c>
      <c r="C569" t="s">
        <v>12</v>
      </c>
      <c r="D569" t="s">
        <v>31</v>
      </c>
      <c r="E569" t="s">
        <v>25</v>
      </c>
      <c r="F569" s="1">
        <v>45541</v>
      </c>
      <c r="G569" s="1">
        <v>45545</v>
      </c>
      <c r="H569">
        <v>99</v>
      </c>
      <c r="I569" t="s">
        <v>15</v>
      </c>
      <c r="J569" t="s">
        <v>26</v>
      </c>
      <c r="K569">
        <v>98891</v>
      </c>
    </row>
    <row r="570" spans="1:11" x14ac:dyDescent="0.35">
      <c r="A570" t="s">
        <v>617</v>
      </c>
      <c r="B570">
        <v>6</v>
      </c>
      <c r="C570" t="s">
        <v>12</v>
      </c>
      <c r="D570" t="s">
        <v>31</v>
      </c>
      <c r="E570" t="s">
        <v>61</v>
      </c>
      <c r="F570" s="1">
        <v>45360</v>
      </c>
      <c r="G570" s="1">
        <v>45365</v>
      </c>
      <c r="H570">
        <v>151</v>
      </c>
      <c r="I570" t="s">
        <v>46</v>
      </c>
      <c r="J570" t="s">
        <v>16</v>
      </c>
      <c r="K570">
        <v>153557</v>
      </c>
    </row>
    <row r="571" spans="1:11" x14ac:dyDescent="0.35">
      <c r="A571" t="s">
        <v>618</v>
      </c>
      <c r="B571">
        <v>45</v>
      </c>
      <c r="C571" t="s">
        <v>12</v>
      </c>
      <c r="D571" t="s">
        <v>31</v>
      </c>
      <c r="E571" t="s">
        <v>32</v>
      </c>
      <c r="F571" s="1">
        <v>45387</v>
      </c>
      <c r="G571" s="1">
        <v>45396</v>
      </c>
      <c r="H571">
        <v>284</v>
      </c>
      <c r="I571" t="s">
        <v>36</v>
      </c>
      <c r="J571" t="s">
        <v>16</v>
      </c>
      <c r="K571">
        <v>144234</v>
      </c>
    </row>
    <row r="572" spans="1:11" x14ac:dyDescent="0.35">
      <c r="A572" t="s">
        <v>619</v>
      </c>
      <c r="B572">
        <v>38</v>
      </c>
      <c r="C572" t="s">
        <v>12</v>
      </c>
      <c r="D572" t="s">
        <v>28</v>
      </c>
      <c r="E572" t="s">
        <v>63</v>
      </c>
      <c r="F572" s="1">
        <v>45371</v>
      </c>
      <c r="G572" s="1">
        <v>45379</v>
      </c>
      <c r="H572">
        <v>233</v>
      </c>
      <c r="I572" t="s">
        <v>15</v>
      </c>
      <c r="J572" t="s">
        <v>26</v>
      </c>
      <c r="K572">
        <v>197323</v>
      </c>
    </row>
    <row r="573" spans="1:11" x14ac:dyDescent="0.35">
      <c r="A573" t="s">
        <v>620</v>
      </c>
      <c r="B573">
        <v>3</v>
      </c>
      <c r="C573" t="s">
        <v>12</v>
      </c>
      <c r="D573" t="s">
        <v>28</v>
      </c>
      <c r="E573" t="s">
        <v>14</v>
      </c>
      <c r="F573" s="1">
        <v>45386</v>
      </c>
      <c r="G573" s="1">
        <v>45401</v>
      </c>
      <c r="H573">
        <v>165</v>
      </c>
      <c r="I573" t="s">
        <v>15</v>
      </c>
      <c r="J573" t="s">
        <v>26</v>
      </c>
      <c r="K573">
        <v>54773</v>
      </c>
    </row>
    <row r="574" spans="1:11" x14ac:dyDescent="0.35">
      <c r="A574" t="s">
        <v>621</v>
      </c>
      <c r="B574">
        <v>64</v>
      </c>
      <c r="C574" t="s">
        <v>18</v>
      </c>
      <c r="D574" t="s">
        <v>28</v>
      </c>
      <c r="E574" t="s">
        <v>83</v>
      </c>
      <c r="F574" s="1">
        <v>45560</v>
      </c>
      <c r="G574" s="1">
        <v>45571</v>
      </c>
      <c r="H574">
        <v>166</v>
      </c>
      <c r="I574" t="s">
        <v>46</v>
      </c>
      <c r="J574" t="s">
        <v>16</v>
      </c>
      <c r="K574">
        <v>33957</v>
      </c>
    </row>
    <row r="575" spans="1:11" x14ac:dyDescent="0.35">
      <c r="A575" t="s">
        <v>622</v>
      </c>
      <c r="B575">
        <v>85</v>
      </c>
      <c r="C575" t="s">
        <v>18</v>
      </c>
      <c r="D575" t="s">
        <v>24</v>
      </c>
      <c r="E575" t="s">
        <v>106</v>
      </c>
      <c r="F575" s="1">
        <v>45341</v>
      </c>
      <c r="G575" s="1">
        <v>45350</v>
      </c>
      <c r="H575">
        <v>92</v>
      </c>
      <c r="I575" t="s">
        <v>15</v>
      </c>
      <c r="J575" t="s">
        <v>16</v>
      </c>
      <c r="K575">
        <v>33063</v>
      </c>
    </row>
    <row r="576" spans="1:11" x14ac:dyDescent="0.35">
      <c r="A576" t="s">
        <v>623</v>
      </c>
      <c r="B576">
        <v>13</v>
      </c>
      <c r="C576" t="s">
        <v>18</v>
      </c>
      <c r="D576" t="s">
        <v>28</v>
      </c>
      <c r="E576" t="s">
        <v>68</v>
      </c>
      <c r="F576" s="1">
        <v>45540</v>
      </c>
      <c r="G576" s="1">
        <v>45544</v>
      </c>
      <c r="H576">
        <v>199</v>
      </c>
      <c r="I576" t="s">
        <v>46</v>
      </c>
      <c r="J576" t="s">
        <v>16</v>
      </c>
      <c r="K576">
        <v>17867</v>
      </c>
    </row>
    <row r="577" spans="1:11" x14ac:dyDescent="0.35">
      <c r="A577" t="s">
        <v>624</v>
      </c>
      <c r="B577">
        <v>78</v>
      </c>
      <c r="C577" t="s">
        <v>18</v>
      </c>
      <c r="D577" t="s">
        <v>24</v>
      </c>
      <c r="E577" t="s">
        <v>29</v>
      </c>
      <c r="F577" s="1">
        <v>45479</v>
      </c>
      <c r="G577" s="1">
        <v>45483</v>
      </c>
      <c r="H577">
        <v>252</v>
      </c>
      <c r="I577" t="s">
        <v>15</v>
      </c>
      <c r="J577" t="s">
        <v>26</v>
      </c>
      <c r="K577">
        <v>172488</v>
      </c>
    </row>
    <row r="578" spans="1:11" x14ac:dyDescent="0.35">
      <c r="A578" t="s">
        <v>625</v>
      </c>
      <c r="B578">
        <v>72</v>
      </c>
      <c r="C578" t="s">
        <v>12</v>
      </c>
      <c r="D578" t="s">
        <v>38</v>
      </c>
      <c r="E578" t="s">
        <v>40</v>
      </c>
      <c r="F578" s="1">
        <v>45323</v>
      </c>
      <c r="G578" s="1">
        <v>45329</v>
      </c>
      <c r="H578">
        <v>30</v>
      </c>
      <c r="I578" t="s">
        <v>33</v>
      </c>
      <c r="J578" t="s">
        <v>16</v>
      </c>
      <c r="K578">
        <v>197492</v>
      </c>
    </row>
    <row r="579" spans="1:11" x14ac:dyDescent="0.35">
      <c r="A579" t="s">
        <v>626</v>
      </c>
      <c r="B579">
        <v>39</v>
      </c>
      <c r="C579" t="s">
        <v>18</v>
      </c>
      <c r="D579" t="s">
        <v>13</v>
      </c>
      <c r="E579" t="s">
        <v>49</v>
      </c>
      <c r="F579" s="1">
        <v>45328</v>
      </c>
      <c r="G579" s="1">
        <v>45342</v>
      </c>
      <c r="H579">
        <v>50</v>
      </c>
      <c r="I579" t="s">
        <v>15</v>
      </c>
      <c r="J579" t="s">
        <v>16</v>
      </c>
      <c r="K579">
        <v>144371</v>
      </c>
    </row>
    <row r="580" spans="1:11" x14ac:dyDescent="0.35">
      <c r="A580" t="s">
        <v>627</v>
      </c>
      <c r="B580">
        <v>25</v>
      </c>
      <c r="C580" t="s">
        <v>18</v>
      </c>
      <c r="D580" t="s">
        <v>28</v>
      </c>
      <c r="E580" t="s">
        <v>68</v>
      </c>
      <c r="F580" s="1">
        <v>45489</v>
      </c>
      <c r="G580" s="1">
        <v>45493</v>
      </c>
      <c r="H580">
        <v>92</v>
      </c>
      <c r="I580" t="s">
        <v>46</v>
      </c>
      <c r="J580" t="s">
        <v>16</v>
      </c>
      <c r="K580">
        <v>172411</v>
      </c>
    </row>
    <row r="581" spans="1:11" x14ac:dyDescent="0.35">
      <c r="A581" t="s">
        <v>628</v>
      </c>
      <c r="B581">
        <v>87</v>
      </c>
      <c r="C581" t="s">
        <v>12</v>
      </c>
      <c r="D581" t="s">
        <v>31</v>
      </c>
      <c r="E581" t="s">
        <v>90</v>
      </c>
      <c r="F581" s="1">
        <v>45587</v>
      </c>
      <c r="G581" s="1">
        <v>45593</v>
      </c>
      <c r="H581">
        <v>86</v>
      </c>
      <c r="I581" t="s">
        <v>36</v>
      </c>
      <c r="J581" t="s">
        <v>26</v>
      </c>
      <c r="K581">
        <v>137302</v>
      </c>
    </row>
    <row r="582" spans="1:11" x14ac:dyDescent="0.35">
      <c r="A582" t="s">
        <v>629</v>
      </c>
      <c r="B582">
        <v>21</v>
      </c>
      <c r="C582" t="s">
        <v>12</v>
      </c>
      <c r="D582" t="s">
        <v>38</v>
      </c>
      <c r="E582" t="s">
        <v>95</v>
      </c>
      <c r="F582" s="1">
        <v>45464</v>
      </c>
      <c r="G582" s="1">
        <v>45475</v>
      </c>
      <c r="H582">
        <v>282</v>
      </c>
      <c r="I582" t="s">
        <v>33</v>
      </c>
      <c r="J582" t="s">
        <v>16</v>
      </c>
      <c r="K582">
        <v>113093</v>
      </c>
    </row>
    <row r="583" spans="1:11" x14ac:dyDescent="0.35">
      <c r="A583" t="s">
        <v>630</v>
      </c>
      <c r="B583">
        <v>42</v>
      </c>
      <c r="C583" t="s">
        <v>18</v>
      </c>
      <c r="D583" t="s">
        <v>28</v>
      </c>
      <c r="E583" t="s">
        <v>61</v>
      </c>
      <c r="F583" s="1">
        <v>45616</v>
      </c>
      <c r="G583" s="1">
        <v>45623</v>
      </c>
      <c r="H583">
        <v>110</v>
      </c>
      <c r="I583" t="s">
        <v>46</v>
      </c>
      <c r="J583" t="s">
        <v>16</v>
      </c>
      <c r="K583">
        <v>99374</v>
      </c>
    </row>
    <row r="584" spans="1:11" x14ac:dyDescent="0.35">
      <c r="A584" t="s">
        <v>631</v>
      </c>
      <c r="B584">
        <v>51</v>
      </c>
      <c r="C584" t="s">
        <v>18</v>
      </c>
      <c r="D584" t="s">
        <v>24</v>
      </c>
      <c r="E584" t="s">
        <v>83</v>
      </c>
      <c r="F584" s="1">
        <v>45523</v>
      </c>
      <c r="G584" s="1">
        <v>45531</v>
      </c>
      <c r="H584">
        <v>9</v>
      </c>
      <c r="I584" t="s">
        <v>36</v>
      </c>
      <c r="J584" t="s">
        <v>16</v>
      </c>
      <c r="K584">
        <v>6721</v>
      </c>
    </row>
    <row r="585" spans="1:11" x14ac:dyDescent="0.35">
      <c r="A585" t="s">
        <v>632</v>
      </c>
      <c r="B585">
        <v>28</v>
      </c>
      <c r="C585" t="s">
        <v>12</v>
      </c>
      <c r="D585" t="s">
        <v>24</v>
      </c>
      <c r="E585" t="s">
        <v>22</v>
      </c>
      <c r="F585" s="1">
        <v>45445</v>
      </c>
      <c r="G585" s="1">
        <v>45449</v>
      </c>
      <c r="H585">
        <v>142</v>
      </c>
      <c r="I585" t="s">
        <v>36</v>
      </c>
      <c r="J585" t="s">
        <v>16</v>
      </c>
      <c r="K585">
        <v>14892</v>
      </c>
    </row>
    <row r="586" spans="1:11" x14ac:dyDescent="0.35">
      <c r="A586" t="s">
        <v>633</v>
      </c>
      <c r="B586">
        <v>20</v>
      </c>
      <c r="C586" t="s">
        <v>18</v>
      </c>
      <c r="D586" t="s">
        <v>38</v>
      </c>
      <c r="E586" t="s">
        <v>63</v>
      </c>
      <c r="F586" s="1">
        <v>45527</v>
      </c>
      <c r="G586" s="1">
        <v>45533</v>
      </c>
      <c r="H586">
        <v>299</v>
      </c>
      <c r="I586" t="s">
        <v>36</v>
      </c>
      <c r="J586" t="s">
        <v>16</v>
      </c>
      <c r="K586">
        <v>72172</v>
      </c>
    </row>
    <row r="587" spans="1:11" x14ac:dyDescent="0.35">
      <c r="A587" t="s">
        <v>634</v>
      </c>
      <c r="B587">
        <v>74</v>
      </c>
      <c r="C587" t="s">
        <v>12</v>
      </c>
      <c r="D587" t="s">
        <v>28</v>
      </c>
      <c r="E587" t="s">
        <v>29</v>
      </c>
      <c r="F587" s="1">
        <v>45445</v>
      </c>
      <c r="G587" s="1">
        <v>45447</v>
      </c>
      <c r="H587">
        <v>40</v>
      </c>
      <c r="I587" t="s">
        <v>33</v>
      </c>
      <c r="J587" t="s">
        <v>26</v>
      </c>
      <c r="K587">
        <v>50325</v>
      </c>
    </row>
    <row r="588" spans="1:11" x14ac:dyDescent="0.35">
      <c r="A588" t="s">
        <v>635</v>
      </c>
      <c r="B588">
        <v>89</v>
      </c>
      <c r="C588" t="s">
        <v>18</v>
      </c>
      <c r="D588" t="s">
        <v>28</v>
      </c>
      <c r="E588" t="s">
        <v>68</v>
      </c>
      <c r="F588" s="1">
        <v>45541</v>
      </c>
      <c r="G588" s="1">
        <v>45555</v>
      </c>
      <c r="H588">
        <v>154</v>
      </c>
      <c r="I588" t="s">
        <v>15</v>
      </c>
      <c r="J588" t="s">
        <v>26</v>
      </c>
      <c r="K588">
        <v>25572</v>
      </c>
    </row>
    <row r="589" spans="1:11" x14ac:dyDescent="0.35">
      <c r="A589" t="s">
        <v>636</v>
      </c>
      <c r="B589">
        <v>43</v>
      </c>
      <c r="C589" t="s">
        <v>12</v>
      </c>
      <c r="D589" t="s">
        <v>31</v>
      </c>
      <c r="E589" t="s">
        <v>93</v>
      </c>
      <c r="F589" s="1">
        <v>45320</v>
      </c>
      <c r="G589" s="1">
        <v>45335</v>
      </c>
      <c r="H589">
        <v>62</v>
      </c>
      <c r="I589" t="s">
        <v>36</v>
      </c>
      <c r="J589" t="s">
        <v>16</v>
      </c>
      <c r="K589">
        <v>171169</v>
      </c>
    </row>
    <row r="590" spans="1:11" x14ac:dyDescent="0.35">
      <c r="A590" t="s">
        <v>637</v>
      </c>
      <c r="B590">
        <v>7</v>
      </c>
      <c r="C590" t="s">
        <v>12</v>
      </c>
      <c r="D590" t="s">
        <v>28</v>
      </c>
      <c r="E590" t="s">
        <v>52</v>
      </c>
      <c r="F590" s="1">
        <v>45615</v>
      </c>
      <c r="G590" s="1">
        <v>45622</v>
      </c>
      <c r="H590">
        <v>164</v>
      </c>
      <c r="I590" t="s">
        <v>36</v>
      </c>
      <c r="J590" t="s">
        <v>16</v>
      </c>
      <c r="K590">
        <v>136701</v>
      </c>
    </row>
    <row r="591" spans="1:11" x14ac:dyDescent="0.35">
      <c r="A591" t="s">
        <v>638</v>
      </c>
      <c r="B591">
        <v>20</v>
      </c>
      <c r="C591" t="s">
        <v>18</v>
      </c>
      <c r="D591" t="s">
        <v>31</v>
      </c>
      <c r="E591" t="s">
        <v>20</v>
      </c>
      <c r="F591" s="1">
        <v>45649</v>
      </c>
      <c r="G591" s="1">
        <v>45653</v>
      </c>
      <c r="H591">
        <v>295</v>
      </c>
      <c r="I591" t="s">
        <v>15</v>
      </c>
      <c r="J591" t="s">
        <v>16</v>
      </c>
      <c r="K591">
        <v>118229</v>
      </c>
    </row>
    <row r="592" spans="1:11" x14ac:dyDescent="0.35">
      <c r="A592" t="s">
        <v>639</v>
      </c>
      <c r="B592">
        <v>51</v>
      </c>
      <c r="C592" t="s">
        <v>18</v>
      </c>
      <c r="D592" t="s">
        <v>13</v>
      </c>
      <c r="E592" t="s">
        <v>95</v>
      </c>
      <c r="F592" s="1">
        <v>45440</v>
      </c>
      <c r="G592" s="1">
        <v>45453</v>
      </c>
      <c r="H592">
        <v>43</v>
      </c>
      <c r="I592" t="s">
        <v>46</v>
      </c>
      <c r="J592" t="s">
        <v>16</v>
      </c>
      <c r="K592">
        <v>148694</v>
      </c>
    </row>
    <row r="593" spans="1:11" x14ac:dyDescent="0.35">
      <c r="A593" t="s">
        <v>640</v>
      </c>
      <c r="B593">
        <v>11</v>
      </c>
      <c r="C593" t="s">
        <v>12</v>
      </c>
      <c r="D593" t="s">
        <v>28</v>
      </c>
      <c r="E593" t="s">
        <v>93</v>
      </c>
      <c r="F593" s="1">
        <v>45496</v>
      </c>
      <c r="G593" s="1">
        <v>45501</v>
      </c>
      <c r="H593">
        <v>67</v>
      </c>
      <c r="I593" t="s">
        <v>36</v>
      </c>
      <c r="J593" t="s">
        <v>26</v>
      </c>
      <c r="K593">
        <v>151616</v>
      </c>
    </row>
    <row r="594" spans="1:11" x14ac:dyDescent="0.35">
      <c r="A594" t="s">
        <v>641</v>
      </c>
      <c r="B594">
        <v>51</v>
      </c>
      <c r="C594" t="s">
        <v>18</v>
      </c>
      <c r="D594" t="s">
        <v>28</v>
      </c>
      <c r="E594" t="s">
        <v>35</v>
      </c>
      <c r="F594" s="1">
        <v>45393</v>
      </c>
      <c r="G594" s="1">
        <v>45401</v>
      </c>
      <c r="H594">
        <v>269</v>
      </c>
      <c r="I594" t="s">
        <v>36</v>
      </c>
      <c r="J594" t="s">
        <v>16</v>
      </c>
      <c r="K594">
        <v>23781</v>
      </c>
    </row>
    <row r="595" spans="1:11" x14ac:dyDescent="0.35">
      <c r="A595" t="s">
        <v>642</v>
      </c>
      <c r="B595">
        <v>56</v>
      </c>
      <c r="C595" t="s">
        <v>12</v>
      </c>
      <c r="D595" t="s">
        <v>28</v>
      </c>
      <c r="E595" t="s">
        <v>45</v>
      </c>
      <c r="F595" s="1">
        <v>45428</v>
      </c>
      <c r="G595" s="1">
        <v>45441</v>
      </c>
      <c r="H595">
        <v>58</v>
      </c>
      <c r="I595" t="s">
        <v>46</v>
      </c>
      <c r="J595" t="s">
        <v>26</v>
      </c>
      <c r="K595">
        <v>100752</v>
      </c>
    </row>
    <row r="596" spans="1:11" x14ac:dyDescent="0.35">
      <c r="A596" t="s">
        <v>643</v>
      </c>
      <c r="B596">
        <v>42</v>
      </c>
      <c r="C596" t="s">
        <v>12</v>
      </c>
      <c r="D596" t="s">
        <v>28</v>
      </c>
      <c r="E596" t="s">
        <v>68</v>
      </c>
      <c r="F596" s="1">
        <v>45470</v>
      </c>
      <c r="G596" s="1">
        <v>45474</v>
      </c>
      <c r="H596">
        <v>13</v>
      </c>
      <c r="I596" t="s">
        <v>33</v>
      </c>
      <c r="J596" t="s">
        <v>16</v>
      </c>
      <c r="K596">
        <v>96676</v>
      </c>
    </row>
    <row r="597" spans="1:11" x14ac:dyDescent="0.35">
      <c r="A597" t="s">
        <v>644</v>
      </c>
      <c r="B597">
        <v>57</v>
      </c>
      <c r="C597" t="s">
        <v>18</v>
      </c>
      <c r="D597" t="s">
        <v>31</v>
      </c>
      <c r="E597" t="s">
        <v>52</v>
      </c>
      <c r="F597" s="1">
        <v>45607</v>
      </c>
      <c r="G597" s="1">
        <v>45621</v>
      </c>
      <c r="H597">
        <v>120</v>
      </c>
      <c r="I597" t="s">
        <v>36</v>
      </c>
      <c r="J597" t="s">
        <v>16</v>
      </c>
      <c r="K597">
        <v>45892</v>
      </c>
    </row>
    <row r="598" spans="1:11" x14ac:dyDescent="0.35">
      <c r="A598" t="s">
        <v>645</v>
      </c>
      <c r="B598">
        <v>7</v>
      </c>
      <c r="C598" t="s">
        <v>18</v>
      </c>
      <c r="D598" t="s">
        <v>28</v>
      </c>
      <c r="E598" t="s">
        <v>106</v>
      </c>
      <c r="F598" s="1">
        <v>45335</v>
      </c>
      <c r="G598" s="1">
        <v>45337</v>
      </c>
      <c r="H598">
        <v>148</v>
      </c>
      <c r="I598" t="s">
        <v>15</v>
      </c>
      <c r="J598" t="s">
        <v>16</v>
      </c>
      <c r="K598">
        <v>186874</v>
      </c>
    </row>
    <row r="599" spans="1:11" x14ac:dyDescent="0.35">
      <c r="A599" t="s">
        <v>646</v>
      </c>
      <c r="B599">
        <v>58</v>
      </c>
      <c r="C599" t="s">
        <v>12</v>
      </c>
      <c r="D599" t="s">
        <v>24</v>
      </c>
      <c r="E599" t="s">
        <v>95</v>
      </c>
      <c r="F599" s="1">
        <v>45348</v>
      </c>
      <c r="G599" s="1">
        <v>45353</v>
      </c>
      <c r="H599">
        <v>108</v>
      </c>
      <c r="I599" t="s">
        <v>36</v>
      </c>
      <c r="J599" t="s">
        <v>16</v>
      </c>
      <c r="K599">
        <v>148241</v>
      </c>
    </row>
    <row r="600" spans="1:11" x14ac:dyDescent="0.35">
      <c r="A600" t="s">
        <v>647</v>
      </c>
      <c r="B600">
        <v>34</v>
      </c>
      <c r="C600" t="s">
        <v>12</v>
      </c>
      <c r="D600" t="s">
        <v>28</v>
      </c>
      <c r="E600" t="s">
        <v>25</v>
      </c>
      <c r="F600" s="1">
        <v>45559</v>
      </c>
      <c r="G600" s="1">
        <v>45572</v>
      </c>
      <c r="H600">
        <v>73</v>
      </c>
      <c r="I600" t="s">
        <v>15</v>
      </c>
      <c r="J600" t="s">
        <v>26</v>
      </c>
      <c r="K600">
        <v>157831</v>
      </c>
    </row>
    <row r="601" spans="1:11" x14ac:dyDescent="0.35">
      <c r="A601" t="s">
        <v>648</v>
      </c>
      <c r="B601">
        <v>6</v>
      </c>
      <c r="C601" t="s">
        <v>12</v>
      </c>
      <c r="D601" t="s">
        <v>13</v>
      </c>
      <c r="E601" t="s">
        <v>52</v>
      </c>
      <c r="F601" s="1">
        <v>45631</v>
      </c>
      <c r="G601" s="1">
        <v>45640</v>
      </c>
      <c r="H601">
        <v>146</v>
      </c>
      <c r="I601" t="s">
        <v>36</v>
      </c>
      <c r="J601" t="s">
        <v>16</v>
      </c>
      <c r="K601">
        <v>18915</v>
      </c>
    </row>
    <row r="602" spans="1:11" x14ac:dyDescent="0.35">
      <c r="A602" t="s">
        <v>649</v>
      </c>
      <c r="B602">
        <v>2</v>
      </c>
      <c r="C602" t="s">
        <v>18</v>
      </c>
      <c r="D602" t="s">
        <v>31</v>
      </c>
      <c r="E602" t="s">
        <v>54</v>
      </c>
      <c r="F602" s="1">
        <v>45530</v>
      </c>
      <c r="G602" s="1">
        <v>45541</v>
      </c>
      <c r="H602">
        <v>139</v>
      </c>
      <c r="I602" t="s">
        <v>33</v>
      </c>
      <c r="J602" t="s">
        <v>16</v>
      </c>
      <c r="K602">
        <v>10001</v>
      </c>
    </row>
    <row r="603" spans="1:11" x14ac:dyDescent="0.35">
      <c r="A603" t="s">
        <v>650</v>
      </c>
      <c r="B603">
        <v>84</v>
      </c>
      <c r="C603" t="s">
        <v>12</v>
      </c>
      <c r="D603" t="s">
        <v>13</v>
      </c>
      <c r="E603" t="s">
        <v>56</v>
      </c>
      <c r="F603" s="1">
        <v>45441</v>
      </c>
      <c r="G603" s="1">
        <v>45455</v>
      </c>
      <c r="H603">
        <v>261</v>
      </c>
      <c r="I603" t="s">
        <v>15</v>
      </c>
      <c r="J603" t="s">
        <v>16</v>
      </c>
      <c r="K603">
        <v>132051</v>
      </c>
    </row>
    <row r="604" spans="1:11" x14ac:dyDescent="0.35">
      <c r="A604" t="s">
        <v>651</v>
      </c>
      <c r="B604">
        <v>12</v>
      </c>
      <c r="C604" t="s">
        <v>18</v>
      </c>
      <c r="D604" t="s">
        <v>13</v>
      </c>
      <c r="E604" t="s">
        <v>49</v>
      </c>
      <c r="F604" s="1">
        <v>45597</v>
      </c>
      <c r="G604" s="1">
        <v>45606</v>
      </c>
      <c r="H604">
        <v>235</v>
      </c>
      <c r="I604" t="s">
        <v>15</v>
      </c>
      <c r="J604" t="s">
        <v>16</v>
      </c>
      <c r="K604">
        <v>69852</v>
      </c>
    </row>
    <row r="605" spans="1:11" x14ac:dyDescent="0.35">
      <c r="A605" t="s">
        <v>652</v>
      </c>
      <c r="B605">
        <v>43</v>
      </c>
      <c r="C605" t="s">
        <v>12</v>
      </c>
      <c r="D605" t="s">
        <v>31</v>
      </c>
      <c r="E605" t="s">
        <v>25</v>
      </c>
      <c r="F605" s="1">
        <v>45563</v>
      </c>
      <c r="G605" s="1">
        <v>45568</v>
      </c>
      <c r="H605">
        <v>81</v>
      </c>
      <c r="I605" t="s">
        <v>15</v>
      </c>
      <c r="J605" t="s">
        <v>16</v>
      </c>
      <c r="K605">
        <v>184388</v>
      </c>
    </row>
    <row r="606" spans="1:11" x14ac:dyDescent="0.35">
      <c r="A606" t="s">
        <v>653</v>
      </c>
      <c r="B606">
        <v>81</v>
      </c>
      <c r="C606" t="s">
        <v>12</v>
      </c>
      <c r="D606" t="s">
        <v>13</v>
      </c>
      <c r="E606" t="s">
        <v>49</v>
      </c>
      <c r="F606" s="1">
        <v>45472</v>
      </c>
      <c r="G606" s="1">
        <v>45478</v>
      </c>
      <c r="H606">
        <v>142</v>
      </c>
      <c r="I606" t="s">
        <v>15</v>
      </c>
      <c r="J606" t="s">
        <v>16</v>
      </c>
      <c r="K606">
        <v>106494</v>
      </c>
    </row>
    <row r="607" spans="1:11" x14ac:dyDescent="0.35">
      <c r="A607" t="s">
        <v>654</v>
      </c>
      <c r="B607">
        <v>36</v>
      </c>
      <c r="C607" t="s">
        <v>18</v>
      </c>
      <c r="D607" t="s">
        <v>13</v>
      </c>
      <c r="E607" t="s">
        <v>95</v>
      </c>
      <c r="F607" s="1">
        <v>45307</v>
      </c>
      <c r="G607" s="1">
        <v>45316</v>
      </c>
      <c r="H607">
        <v>202</v>
      </c>
      <c r="I607" t="s">
        <v>36</v>
      </c>
      <c r="J607" t="s">
        <v>16</v>
      </c>
      <c r="K607">
        <v>196336</v>
      </c>
    </row>
    <row r="608" spans="1:11" x14ac:dyDescent="0.35">
      <c r="A608" t="s">
        <v>655</v>
      </c>
      <c r="B608">
        <v>87</v>
      </c>
      <c r="C608" t="s">
        <v>18</v>
      </c>
      <c r="D608" t="s">
        <v>31</v>
      </c>
      <c r="E608" t="s">
        <v>14</v>
      </c>
      <c r="F608" s="1">
        <v>45487</v>
      </c>
      <c r="G608" s="1">
        <v>45496</v>
      </c>
      <c r="H608">
        <v>294</v>
      </c>
      <c r="I608" t="s">
        <v>36</v>
      </c>
      <c r="J608" t="s">
        <v>26</v>
      </c>
      <c r="K608">
        <v>86889</v>
      </c>
    </row>
    <row r="609" spans="1:11" x14ac:dyDescent="0.35">
      <c r="A609" t="s">
        <v>656</v>
      </c>
      <c r="B609">
        <v>58</v>
      </c>
      <c r="C609" t="s">
        <v>18</v>
      </c>
      <c r="D609" t="s">
        <v>13</v>
      </c>
      <c r="E609" t="s">
        <v>68</v>
      </c>
      <c r="F609" s="1">
        <v>45601</v>
      </c>
      <c r="G609" s="1">
        <v>45607</v>
      </c>
      <c r="H609">
        <v>71</v>
      </c>
      <c r="I609" t="s">
        <v>36</v>
      </c>
      <c r="J609" t="s">
        <v>16</v>
      </c>
      <c r="K609">
        <v>86002</v>
      </c>
    </row>
    <row r="610" spans="1:11" x14ac:dyDescent="0.35">
      <c r="A610" t="s">
        <v>657</v>
      </c>
      <c r="B610">
        <v>68</v>
      </c>
      <c r="C610" t="s">
        <v>18</v>
      </c>
      <c r="D610" t="s">
        <v>31</v>
      </c>
      <c r="E610" t="s">
        <v>22</v>
      </c>
      <c r="F610" s="1">
        <v>45644</v>
      </c>
      <c r="G610" s="1">
        <v>45656</v>
      </c>
      <c r="H610">
        <v>75</v>
      </c>
      <c r="I610" t="s">
        <v>36</v>
      </c>
      <c r="J610" t="s">
        <v>16</v>
      </c>
      <c r="K610">
        <v>22777</v>
      </c>
    </row>
    <row r="611" spans="1:11" x14ac:dyDescent="0.35">
      <c r="A611" t="s">
        <v>658</v>
      </c>
      <c r="B611">
        <v>16</v>
      </c>
      <c r="C611" t="s">
        <v>18</v>
      </c>
      <c r="D611" t="s">
        <v>38</v>
      </c>
      <c r="E611" t="s">
        <v>106</v>
      </c>
      <c r="F611" s="1">
        <v>45577</v>
      </c>
      <c r="G611" s="1">
        <v>45586</v>
      </c>
      <c r="H611">
        <v>16</v>
      </c>
      <c r="I611" t="s">
        <v>33</v>
      </c>
      <c r="J611" t="s">
        <v>26</v>
      </c>
      <c r="K611">
        <v>112807</v>
      </c>
    </row>
    <row r="612" spans="1:11" x14ac:dyDescent="0.35">
      <c r="A612" t="s">
        <v>659</v>
      </c>
      <c r="B612">
        <v>82</v>
      </c>
      <c r="C612" t="s">
        <v>12</v>
      </c>
      <c r="D612" t="s">
        <v>13</v>
      </c>
      <c r="E612" t="s">
        <v>22</v>
      </c>
      <c r="F612" s="1">
        <v>45447</v>
      </c>
      <c r="G612" s="1">
        <v>45455</v>
      </c>
      <c r="H612">
        <v>97</v>
      </c>
      <c r="I612" t="s">
        <v>15</v>
      </c>
      <c r="J612" t="s">
        <v>16</v>
      </c>
      <c r="K612">
        <v>53430</v>
      </c>
    </row>
    <row r="613" spans="1:11" x14ac:dyDescent="0.35">
      <c r="A613" t="s">
        <v>660</v>
      </c>
      <c r="B613">
        <v>79</v>
      </c>
      <c r="C613" t="s">
        <v>12</v>
      </c>
      <c r="D613" t="s">
        <v>28</v>
      </c>
      <c r="E613" t="s">
        <v>58</v>
      </c>
      <c r="F613" s="1">
        <v>45305</v>
      </c>
      <c r="G613" s="1">
        <v>45318</v>
      </c>
      <c r="H613">
        <v>119</v>
      </c>
      <c r="I613" t="s">
        <v>36</v>
      </c>
      <c r="J613" t="s">
        <v>16</v>
      </c>
      <c r="K613">
        <v>185191</v>
      </c>
    </row>
    <row r="614" spans="1:11" x14ac:dyDescent="0.35">
      <c r="A614" t="s">
        <v>661</v>
      </c>
      <c r="B614">
        <v>11</v>
      </c>
      <c r="C614" t="s">
        <v>12</v>
      </c>
      <c r="D614" t="s">
        <v>13</v>
      </c>
      <c r="E614" t="s">
        <v>49</v>
      </c>
      <c r="F614" s="1">
        <v>45305</v>
      </c>
      <c r="G614" s="1">
        <v>45311</v>
      </c>
      <c r="H614">
        <v>241</v>
      </c>
      <c r="I614" t="s">
        <v>33</v>
      </c>
      <c r="J614" t="s">
        <v>16</v>
      </c>
      <c r="K614">
        <v>106570</v>
      </c>
    </row>
    <row r="615" spans="1:11" x14ac:dyDescent="0.35">
      <c r="A615" t="s">
        <v>662</v>
      </c>
      <c r="B615">
        <v>18</v>
      </c>
      <c r="C615" t="s">
        <v>18</v>
      </c>
      <c r="D615" t="s">
        <v>13</v>
      </c>
      <c r="E615" t="s">
        <v>14</v>
      </c>
      <c r="F615" s="1">
        <v>45543</v>
      </c>
      <c r="G615" s="1">
        <v>45551</v>
      </c>
      <c r="H615">
        <v>17</v>
      </c>
      <c r="I615" t="s">
        <v>46</v>
      </c>
      <c r="J615" t="s">
        <v>16</v>
      </c>
      <c r="K615">
        <v>75741</v>
      </c>
    </row>
    <row r="616" spans="1:11" x14ac:dyDescent="0.35">
      <c r="A616" t="s">
        <v>663</v>
      </c>
      <c r="B616">
        <v>86</v>
      </c>
      <c r="C616" t="s">
        <v>18</v>
      </c>
      <c r="D616" t="s">
        <v>13</v>
      </c>
      <c r="E616" t="s">
        <v>45</v>
      </c>
      <c r="F616" s="1">
        <v>45503</v>
      </c>
      <c r="G616" s="1">
        <v>45507</v>
      </c>
      <c r="H616">
        <v>91</v>
      </c>
      <c r="I616" t="s">
        <v>46</v>
      </c>
      <c r="J616" t="s">
        <v>26</v>
      </c>
      <c r="K616">
        <v>185319</v>
      </c>
    </row>
    <row r="617" spans="1:11" x14ac:dyDescent="0.35">
      <c r="A617" t="s">
        <v>664</v>
      </c>
      <c r="B617">
        <v>59</v>
      </c>
      <c r="C617" t="s">
        <v>18</v>
      </c>
      <c r="D617" t="s">
        <v>31</v>
      </c>
      <c r="E617" t="s">
        <v>56</v>
      </c>
      <c r="F617" s="1">
        <v>45458</v>
      </c>
      <c r="G617" s="1">
        <v>45472</v>
      </c>
      <c r="H617">
        <v>22</v>
      </c>
      <c r="I617" t="s">
        <v>46</v>
      </c>
      <c r="J617" t="s">
        <v>16</v>
      </c>
      <c r="K617">
        <v>108324</v>
      </c>
    </row>
    <row r="618" spans="1:11" x14ac:dyDescent="0.35">
      <c r="A618" t="s">
        <v>665</v>
      </c>
      <c r="B618">
        <v>74</v>
      </c>
      <c r="C618" t="s">
        <v>18</v>
      </c>
      <c r="D618" t="s">
        <v>28</v>
      </c>
      <c r="E618" t="s">
        <v>90</v>
      </c>
      <c r="F618" s="1">
        <v>45605</v>
      </c>
      <c r="G618" s="1">
        <v>45617</v>
      </c>
      <c r="H618">
        <v>232</v>
      </c>
      <c r="I618" t="s">
        <v>46</v>
      </c>
      <c r="J618" t="s">
        <v>16</v>
      </c>
      <c r="K618">
        <v>69414</v>
      </c>
    </row>
    <row r="619" spans="1:11" x14ac:dyDescent="0.35">
      <c r="A619" t="s">
        <v>666</v>
      </c>
      <c r="B619">
        <v>51</v>
      </c>
      <c r="C619" t="s">
        <v>18</v>
      </c>
      <c r="D619" t="s">
        <v>28</v>
      </c>
      <c r="E619" t="s">
        <v>56</v>
      </c>
      <c r="F619" s="1">
        <v>45557</v>
      </c>
      <c r="G619" s="1">
        <v>45566</v>
      </c>
      <c r="H619">
        <v>265</v>
      </c>
      <c r="I619" t="s">
        <v>15</v>
      </c>
      <c r="J619" t="s">
        <v>16</v>
      </c>
      <c r="K619">
        <v>81330</v>
      </c>
    </row>
    <row r="620" spans="1:11" x14ac:dyDescent="0.35">
      <c r="A620" t="s">
        <v>667</v>
      </c>
      <c r="B620">
        <v>39</v>
      </c>
      <c r="C620" t="s">
        <v>12</v>
      </c>
      <c r="D620" t="s">
        <v>31</v>
      </c>
      <c r="E620" t="s">
        <v>66</v>
      </c>
      <c r="F620" s="1">
        <v>45517</v>
      </c>
      <c r="G620" s="1">
        <v>45524</v>
      </c>
      <c r="H620">
        <v>217</v>
      </c>
      <c r="I620" t="s">
        <v>33</v>
      </c>
      <c r="J620" t="s">
        <v>16</v>
      </c>
      <c r="K620">
        <v>185867</v>
      </c>
    </row>
    <row r="621" spans="1:11" x14ac:dyDescent="0.35">
      <c r="A621" t="s">
        <v>668</v>
      </c>
      <c r="B621">
        <v>19</v>
      </c>
      <c r="C621" t="s">
        <v>12</v>
      </c>
      <c r="D621" t="s">
        <v>31</v>
      </c>
      <c r="E621" t="s">
        <v>45</v>
      </c>
      <c r="F621" s="1">
        <v>45556</v>
      </c>
      <c r="G621" s="1">
        <v>45571</v>
      </c>
      <c r="H621">
        <v>257</v>
      </c>
      <c r="I621" t="s">
        <v>15</v>
      </c>
      <c r="J621" t="s">
        <v>16</v>
      </c>
      <c r="K621">
        <v>158471</v>
      </c>
    </row>
    <row r="622" spans="1:11" x14ac:dyDescent="0.35">
      <c r="A622" t="s">
        <v>669</v>
      </c>
      <c r="B622">
        <v>18</v>
      </c>
      <c r="C622" t="s">
        <v>12</v>
      </c>
      <c r="D622" t="s">
        <v>31</v>
      </c>
      <c r="E622" t="s">
        <v>95</v>
      </c>
      <c r="F622" s="1">
        <v>45648</v>
      </c>
      <c r="G622" s="1">
        <v>45657</v>
      </c>
      <c r="H622">
        <v>231</v>
      </c>
      <c r="I622" t="s">
        <v>15</v>
      </c>
      <c r="J622" t="s">
        <v>16</v>
      </c>
      <c r="K622">
        <v>123929</v>
      </c>
    </row>
    <row r="623" spans="1:11" x14ac:dyDescent="0.35">
      <c r="A623" t="s">
        <v>670</v>
      </c>
      <c r="B623">
        <v>26</v>
      </c>
      <c r="C623" t="s">
        <v>12</v>
      </c>
      <c r="D623" t="s">
        <v>24</v>
      </c>
      <c r="E623" t="s">
        <v>32</v>
      </c>
      <c r="F623" s="1">
        <v>45594</v>
      </c>
      <c r="G623" s="1">
        <v>45609</v>
      </c>
      <c r="H623">
        <v>166</v>
      </c>
      <c r="I623" t="s">
        <v>36</v>
      </c>
      <c r="J623" t="s">
        <v>16</v>
      </c>
      <c r="K623">
        <v>28905</v>
      </c>
    </row>
    <row r="624" spans="1:11" x14ac:dyDescent="0.35">
      <c r="A624" t="s">
        <v>671</v>
      </c>
      <c r="B624">
        <v>58</v>
      </c>
      <c r="C624" t="s">
        <v>12</v>
      </c>
      <c r="D624" t="s">
        <v>24</v>
      </c>
      <c r="E624" t="s">
        <v>49</v>
      </c>
      <c r="F624" s="1">
        <v>45350</v>
      </c>
      <c r="G624" s="1">
        <v>45362</v>
      </c>
      <c r="H624">
        <v>197</v>
      </c>
      <c r="I624" t="s">
        <v>36</v>
      </c>
      <c r="J624" t="s">
        <v>26</v>
      </c>
      <c r="K624">
        <v>149269</v>
      </c>
    </row>
    <row r="625" spans="1:11" x14ac:dyDescent="0.35">
      <c r="A625" t="s">
        <v>672</v>
      </c>
      <c r="B625">
        <v>22</v>
      </c>
      <c r="C625" t="s">
        <v>12</v>
      </c>
      <c r="D625" t="s">
        <v>28</v>
      </c>
      <c r="E625" t="s">
        <v>54</v>
      </c>
      <c r="F625" s="1">
        <v>45486</v>
      </c>
      <c r="G625" s="1">
        <v>45487</v>
      </c>
      <c r="H625">
        <v>77</v>
      </c>
      <c r="I625" t="s">
        <v>36</v>
      </c>
      <c r="J625" t="s">
        <v>16</v>
      </c>
      <c r="K625">
        <v>51888</v>
      </c>
    </row>
    <row r="626" spans="1:11" x14ac:dyDescent="0.35">
      <c r="A626" t="s">
        <v>673</v>
      </c>
      <c r="B626">
        <v>54</v>
      </c>
      <c r="C626" t="s">
        <v>12</v>
      </c>
      <c r="D626" t="s">
        <v>38</v>
      </c>
      <c r="E626" t="s">
        <v>25</v>
      </c>
      <c r="F626" s="1">
        <v>45656</v>
      </c>
      <c r="G626" s="1">
        <v>45657</v>
      </c>
      <c r="H626">
        <v>229</v>
      </c>
      <c r="I626" t="s">
        <v>33</v>
      </c>
      <c r="J626" t="s">
        <v>16</v>
      </c>
      <c r="K626">
        <v>35816</v>
      </c>
    </row>
    <row r="627" spans="1:11" x14ac:dyDescent="0.35">
      <c r="A627" t="s">
        <v>674</v>
      </c>
      <c r="B627">
        <v>1</v>
      </c>
      <c r="C627" t="s">
        <v>12</v>
      </c>
      <c r="D627" t="s">
        <v>24</v>
      </c>
      <c r="E627" t="s">
        <v>20</v>
      </c>
      <c r="F627" s="1">
        <v>45359</v>
      </c>
      <c r="G627" s="1">
        <v>45363</v>
      </c>
      <c r="H627">
        <v>255</v>
      </c>
      <c r="I627" t="s">
        <v>46</v>
      </c>
      <c r="J627" t="s">
        <v>16</v>
      </c>
      <c r="K627">
        <v>164379</v>
      </c>
    </row>
    <row r="628" spans="1:11" x14ac:dyDescent="0.35">
      <c r="A628" t="s">
        <v>675</v>
      </c>
      <c r="B628">
        <v>28</v>
      </c>
      <c r="C628" t="s">
        <v>12</v>
      </c>
      <c r="D628" t="s">
        <v>31</v>
      </c>
      <c r="E628" t="s">
        <v>93</v>
      </c>
      <c r="F628" s="1">
        <v>45544</v>
      </c>
      <c r="G628" s="1">
        <v>45548</v>
      </c>
      <c r="H628">
        <v>227</v>
      </c>
      <c r="I628" t="s">
        <v>15</v>
      </c>
      <c r="J628" t="s">
        <v>16</v>
      </c>
      <c r="K628">
        <v>69150</v>
      </c>
    </row>
    <row r="629" spans="1:11" x14ac:dyDescent="0.35">
      <c r="A629" t="s">
        <v>676</v>
      </c>
      <c r="B629">
        <v>80</v>
      </c>
      <c r="C629" t="s">
        <v>18</v>
      </c>
      <c r="D629" t="s">
        <v>24</v>
      </c>
      <c r="E629" t="s">
        <v>66</v>
      </c>
      <c r="F629" s="1">
        <v>45572</v>
      </c>
      <c r="G629" s="1">
        <v>45577</v>
      </c>
      <c r="H629">
        <v>76</v>
      </c>
      <c r="I629" t="s">
        <v>15</v>
      </c>
      <c r="J629" t="s">
        <v>16</v>
      </c>
      <c r="K629">
        <v>14626</v>
      </c>
    </row>
    <row r="630" spans="1:11" x14ac:dyDescent="0.35">
      <c r="A630" t="s">
        <v>677</v>
      </c>
      <c r="B630">
        <v>5</v>
      </c>
      <c r="C630" t="s">
        <v>12</v>
      </c>
      <c r="D630" t="s">
        <v>38</v>
      </c>
      <c r="E630" t="s">
        <v>45</v>
      </c>
      <c r="F630" s="1">
        <v>45366</v>
      </c>
      <c r="G630" s="1">
        <v>45380</v>
      </c>
      <c r="H630">
        <v>26</v>
      </c>
      <c r="I630" t="s">
        <v>15</v>
      </c>
      <c r="J630" t="s">
        <v>26</v>
      </c>
      <c r="K630">
        <v>51726</v>
      </c>
    </row>
    <row r="631" spans="1:11" x14ac:dyDescent="0.35">
      <c r="A631" t="s">
        <v>678</v>
      </c>
      <c r="B631">
        <v>37</v>
      </c>
      <c r="C631" t="s">
        <v>18</v>
      </c>
      <c r="D631" t="s">
        <v>31</v>
      </c>
      <c r="E631" t="s">
        <v>25</v>
      </c>
      <c r="F631" s="1">
        <v>45374</v>
      </c>
      <c r="G631" s="1">
        <v>45385</v>
      </c>
      <c r="H631">
        <v>297</v>
      </c>
      <c r="I631" t="s">
        <v>33</v>
      </c>
      <c r="J631" t="s">
        <v>16</v>
      </c>
      <c r="K631">
        <v>29412</v>
      </c>
    </row>
    <row r="632" spans="1:11" x14ac:dyDescent="0.35">
      <c r="A632" t="s">
        <v>679</v>
      </c>
      <c r="B632">
        <v>48</v>
      </c>
      <c r="C632" t="s">
        <v>12</v>
      </c>
      <c r="D632" t="s">
        <v>24</v>
      </c>
      <c r="E632" t="s">
        <v>22</v>
      </c>
      <c r="F632" s="1">
        <v>45445</v>
      </c>
      <c r="G632" s="1">
        <v>45451</v>
      </c>
      <c r="H632">
        <v>219</v>
      </c>
      <c r="I632" t="s">
        <v>15</v>
      </c>
      <c r="J632" t="s">
        <v>16</v>
      </c>
      <c r="K632">
        <v>128421</v>
      </c>
    </row>
    <row r="633" spans="1:11" x14ac:dyDescent="0.35">
      <c r="A633" t="s">
        <v>680</v>
      </c>
      <c r="B633">
        <v>89</v>
      </c>
      <c r="C633" t="s">
        <v>12</v>
      </c>
      <c r="D633" t="s">
        <v>38</v>
      </c>
      <c r="E633" t="s">
        <v>49</v>
      </c>
      <c r="F633" s="1">
        <v>45360</v>
      </c>
      <c r="G633" s="1">
        <v>45362</v>
      </c>
      <c r="H633">
        <v>212</v>
      </c>
      <c r="I633" t="s">
        <v>36</v>
      </c>
      <c r="J633" t="s">
        <v>16</v>
      </c>
      <c r="K633">
        <v>165446</v>
      </c>
    </row>
    <row r="634" spans="1:11" x14ac:dyDescent="0.35">
      <c r="A634" t="s">
        <v>681</v>
      </c>
      <c r="B634">
        <v>74</v>
      </c>
      <c r="C634" t="s">
        <v>18</v>
      </c>
      <c r="D634" t="s">
        <v>31</v>
      </c>
      <c r="E634" t="s">
        <v>25</v>
      </c>
      <c r="F634" s="1">
        <v>45321</v>
      </c>
      <c r="G634" s="1">
        <v>45323</v>
      </c>
      <c r="H634">
        <v>148</v>
      </c>
      <c r="I634" t="s">
        <v>46</v>
      </c>
      <c r="J634" t="s">
        <v>16</v>
      </c>
      <c r="K634">
        <v>73068</v>
      </c>
    </row>
    <row r="635" spans="1:11" x14ac:dyDescent="0.35">
      <c r="A635" t="s">
        <v>682</v>
      </c>
      <c r="B635">
        <v>80</v>
      </c>
      <c r="C635" t="s">
        <v>12</v>
      </c>
      <c r="D635" t="s">
        <v>13</v>
      </c>
      <c r="E635" t="s">
        <v>35</v>
      </c>
      <c r="F635" s="1">
        <v>45561</v>
      </c>
      <c r="G635" s="1">
        <v>45571</v>
      </c>
      <c r="H635">
        <v>289</v>
      </c>
      <c r="I635" t="s">
        <v>46</v>
      </c>
      <c r="J635" t="s">
        <v>26</v>
      </c>
      <c r="K635">
        <v>134107</v>
      </c>
    </row>
    <row r="636" spans="1:11" x14ac:dyDescent="0.35">
      <c r="A636" t="s">
        <v>683</v>
      </c>
      <c r="B636">
        <v>79</v>
      </c>
      <c r="C636" t="s">
        <v>18</v>
      </c>
      <c r="D636" t="s">
        <v>38</v>
      </c>
      <c r="E636" t="s">
        <v>29</v>
      </c>
      <c r="F636" s="1">
        <v>45384</v>
      </c>
      <c r="G636" s="1">
        <v>45399</v>
      </c>
      <c r="H636">
        <v>1</v>
      </c>
      <c r="I636" t="s">
        <v>15</v>
      </c>
      <c r="J636" t="s">
        <v>16</v>
      </c>
      <c r="K636">
        <v>126866</v>
      </c>
    </row>
    <row r="637" spans="1:11" x14ac:dyDescent="0.35">
      <c r="A637" t="s">
        <v>684</v>
      </c>
      <c r="B637">
        <v>16</v>
      </c>
      <c r="C637" t="s">
        <v>18</v>
      </c>
      <c r="D637" t="s">
        <v>28</v>
      </c>
      <c r="E637" t="s">
        <v>93</v>
      </c>
      <c r="F637" s="1">
        <v>45612</v>
      </c>
      <c r="G637" s="1">
        <v>45625</v>
      </c>
      <c r="H637">
        <v>212</v>
      </c>
      <c r="I637" t="s">
        <v>15</v>
      </c>
      <c r="J637" t="s">
        <v>16</v>
      </c>
      <c r="K637">
        <v>96658</v>
      </c>
    </row>
    <row r="638" spans="1:11" x14ac:dyDescent="0.35">
      <c r="A638" t="s">
        <v>685</v>
      </c>
      <c r="B638">
        <v>82</v>
      </c>
      <c r="C638" t="s">
        <v>18</v>
      </c>
      <c r="D638" t="s">
        <v>24</v>
      </c>
      <c r="E638" t="s">
        <v>68</v>
      </c>
      <c r="F638" s="1">
        <v>45578</v>
      </c>
      <c r="G638" s="1">
        <v>45591</v>
      </c>
      <c r="H638">
        <v>104</v>
      </c>
      <c r="I638" t="s">
        <v>33</v>
      </c>
      <c r="J638" t="s">
        <v>16</v>
      </c>
      <c r="K638">
        <v>22782</v>
      </c>
    </row>
    <row r="639" spans="1:11" x14ac:dyDescent="0.35">
      <c r="A639" t="s">
        <v>686</v>
      </c>
      <c r="B639">
        <v>65</v>
      </c>
      <c r="C639" t="s">
        <v>12</v>
      </c>
      <c r="D639" t="s">
        <v>24</v>
      </c>
      <c r="E639" t="s">
        <v>90</v>
      </c>
      <c r="F639" s="1">
        <v>45449</v>
      </c>
      <c r="G639" s="1">
        <v>45454</v>
      </c>
      <c r="H639">
        <v>171</v>
      </c>
      <c r="I639" t="s">
        <v>33</v>
      </c>
      <c r="J639" t="s">
        <v>26</v>
      </c>
      <c r="K639">
        <v>194896</v>
      </c>
    </row>
    <row r="640" spans="1:11" x14ac:dyDescent="0.35">
      <c r="A640" t="s">
        <v>687</v>
      </c>
      <c r="B640">
        <v>4</v>
      </c>
      <c r="C640" t="s">
        <v>18</v>
      </c>
      <c r="D640" t="s">
        <v>13</v>
      </c>
      <c r="E640" t="s">
        <v>95</v>
      </c>
      <c r="F640" s="1">
        <v>45583</v>
      </c>
      <c r="G640" s="1">
        <v>45593</v>
      </c>
      <c r="H640">
        <v>174</v>
      </c>
      <c r="I640" t="s">
        <v>46</v>
      </c>
      <c r="J640" t="s">
        <v>26</v>
      </c>
      <c r="K640">
        <v>14321</v>
      </c>
    </row>
    <row r="641" spans="1:11" x14ac:dyDescent="0.35">
      <c r="A641" t="s">
        <v>688</v>
      </c>
      <c r="B641">
        <v>62</v>
      </c>
      <c r="C641" t="s">
        <v>18</v>
      </c>
      <c r="D641" t="s">
        <v>31</v>
      </c>
      <c r="E641" t="s">
        <v>61</v>
      </c>
      <c r="F641" s="1">
        <v>45622</v>
      </c>
      <c r="G641" s="1">
        <v>45625</v>
      </c>
      <c r="H641">
        <v>172</v>
      </c>
      <c r="I641" t="s">
        <v>46</v>
      </c>
      <c r="J641" t="s">
        <v>26</v>
      </c>
      <c r="K641">
        <v>199664</v>
      </c>
    </row>
    <row r="642" spans="1:11" x14ac:dyDescent="0.35">
      <c r="A642" t="s">
        <v>689</v>
      </c>
      <c r="B642">
        <v>67</v>
      </c>
      <c r="C642" t="s">
        <v>12</v>
      </c>
      <c r="D642" t="s">
        <v>28</v>
      </c>
      <c r="E642" t="s">
        <v>25</v>
      </c>
      <c r="F642" s="1">
        <v>45320</v>
      </c>
      <c r="G642" s="1">
        <v>45334</v>
      </c>
      <c r="H642">
        <v>162</v>
      </c>
      <c r="I642" t="s">
        <v>15</v>
      </c>
      <c r="J642" t="s">
        <v>16</v>
      </c>
      <c r="K642">
        <v>156361</v>
      </c>
    </row>
    <row r="643" spans="1:11" x14ac:dyDescent="0.35">
      <c r="A643" t="s">
        <v>690</v>
      </c>
      <c r="B643">
        <v>46</v>
      </c>
      <c r="C643" t="s">
        <v>18</v>
      </c>
      <c r="D643" t="s">
        <v>13</v>
      </c>
      <c r="E643" t="s">
        <v>32</v>
      </c>
      <c r="F643" s="1">
        <v>45642</v>
      </c>
      <c r="G643" s="1">
        <v>45648</v>
      </c>
      <c r="H643">
        <v>16</v>
      </c>
      <c r="I643" t="s">
        <v>33</v>
      </c>
      <c r="J643" t="s">
        <v>26</v>
      </c>
      <c r="K643">
        <v>169236</v>
      </c>
    </row>
    <row r="644" spans="1:11" x14ac:dyDescent="0.35">
      <c r="A644" t="s">
        <v>691</v>
      </c>
      <c r="B644">
        <v>22</v>
      </c>
      <c r="C644" t="s">
        <v>12</v>
      </c>
      <c r="D644" t="s">
        <v>13</v>
      </c>
      <c r="E644" t="s">
        <v>35</v>
      </c>
      <c r="F644" s="1">
        <v>45565</v>
      </c>
      <c r="G644" s="1">
        <v>45579</v>
      </c>
      <c r="H644">
        <v>60</v>
      </c>
      <c r="I644" t="s">
        <v>33</v>
      </c>
      <c r="J644" t="s">
        <v>16</v>
      </c>
      <c r="K644">
        <v>191080</v>
      </c>
    </row>
    <row r="645" spans="1:11" x14ac:dyDescent="0.35">
      <c r="A645" t="s">
        <v>692</v>
      </c>
      <c r="B645">
        <v>53</v>
      </c>
      <c r="C645" t="s">
        <v>18</v>
      </c>
      <c r="D645" t="s">
        <v>31</v>
      </c>
      <c r="E645" t="s">
        <v>14</v>
      </c>
      <c r="F645" s="1">
        <v>45308</v>
      </c>
      <c r="G645" s="1">
        <v>45313</v>
      </c>
      <c r="H645">
        <v>191</v>
      </c>
      <c r="I645" t="s">
        <v>46</v>
      </c>
      <c r="J645" t="s">
        <v>16</v>
      </c>
      <c r="K645">
        <v>61659</v>
      </c>
    </row>
    <row r="646" spans="1:11" x14ac:dyDescent="0.35">
      <c r="A646" t="s">
        <v>693</v>
      </c>
      <c r="B646">
        <v>23</v>
      </c>
      <c r="C646" t="s">
        <v>18</v>
      </c>
      <c r="D646" t="s">
        <v>38</v>
      </c>
      <c r="E646" t="s">
        <v>52</v>
      </c>
      <c r="F646" s="1">
        <v>45560</v>
      </c>
      <c r="G646" s="1">
        <v>45565</v>
      </c>
      <c r="H646">
        <v>104</v>
      </c>
      <c r="I646" t="s">
        <v>15</v>
      </c>
      <c r="J646" t="s">
        <v>26</v>
      </c>
      <c r="K646">
        <v>137643</v>
      </c>
    </row>
    <row r="647" spans="1:11" x14ac:dyDescent="0.35">
      <c r="A647" t="s">
        <v>694</v>
      </c>
      <c r="B647">
        <v>62</v>
      </c>
      <c r="C647" t="s">
        <v>18</v>
      </c>
      <c r="D647" t="s">
        <v>13</v>
      </c>
      <c r="E647" t="s">
        <v>95</v>
      </c>
      <c r="F647" s="1">
        <v>45304</v>
      </c>
      <c r="G647" s="1">
        <v>45317</v>
      </c>
      <c r="H647">
        <v>248</v>
      </c>
      <c r="I647" t="s">
        <v>33</v>
      </c>
      <c r="J647" t="s">
        <v>16</v>
      </c>
      <c r="K647">
        <v>42563</v>
      </c>
    </row>
    <row r="648" spans="1:11" x14ac:dyDescent="0.35">
      <c r="A648" t="s">
        <v>695</v>
      </c>
      <c r="B648">
        <v>67</v>
      </c>
      <c r="C648" t="s">
        <v>18</v>
      </c>
      <c r="D648" t="s">
        <v>13</v>
      </c>
      <c r="E648" t="s">
        <v>25</v>
      </c>
      <c r="F648" s="1">
        <v>45342</v>
      </c>
      <c r="G648" s="1">
        <v>45356</v>
      </c>
      <c r="H648">
        <v>19</v>
      </c>
      <c r="I648" t="s">
        <v>46</v>
      </c>
      <c r="J648" t="s">
        <v>26</v>
      </c>
      <c r="K648">
        <v>192086</v>
      </c>
    </row>
    <row r="649" spans="1:11" x14ac:dyDescent="0.35">
      <c r="A649" t="s">
        <v>696</v>
      </c>
      <c r="B649">
        <v>1</v>
      </c>
      <c r="C649" t="s">
        <v>12</v>
      </c>
      <c r="D649" t="s">
        <v>24</v>
      </c>
      <c r="E649" t="s">
        <v>54</v>
      </c>
      <c r="F649" s="1">
        <v>45559</v>
      </c>
      <c r="G649" s="1">
        <v>45561</v>
      </c>
      <c r="H649">
        <v>45</v>
      </c>
      <c r="I649" t="s">
        <v>33</v>
      </c>
      <c r="J649" t="s">
        <v>26</v>
      </c>
      <c r="K649">
        <v>17095</v>
      </c>
    </row>
    <row r="650" spans="1:11" x14ac:dyDescent="0.35">
      <c r="A650" t="s">
        <v>697</v>
      </c>
      <c r="B650">
        <v>85</v>
      </c>
      <c r="C650" t="s">
        <v>12</v>
      </c>
      <c r="D650" t="s">
        <v>24</v>
      </c>
      <c r="E650" t="s">
        <v>58</v>
      </c>
      <c r="F650" s="1">
        <v>45344</v>
      </c>
      <c r="G650" s="1">
        <v>45353</v>
      </c>
      <c r="H650">
        <v>160</v>
      </c>
      <c r="I650" t="s">
        <v>36</v>
      </c>
      <c r="J650" t="s">
        <v>16</v>
      </c>
      <c r="K650">
        <v>57574</v>
      </c>
    </row>
    <row r="651" spans="1:11" x14ac:dyDescent="0.35">
      <c r="A651" t="s">
        <v>698</v>
      </c>
      <c r="B651">
        <v>36</v>
      </c>
      <c r="C651" t="s">
        <v>12</v>
      </c>
      <c r="D651" t="s">
        <v>31</v>
      </c>
      <c r="E651" t="s">
        <v>54</v>
      </c>
      <c r="F651" s="1">
        <v>45390</v>
      </c>
      <c r="G651" s="1">
        <v>45395</v>
      </c>
      <c r="H651">
        <v>61</v>
      </c>
      <c r="I651" t="s">
        <v>33</v>
      </c>
      <c r="J651" t="s">
        <v>16</v>
      </c>
      <c r="K651">
        <v>46286</v>
      </c>
    </row>
    <row r="652" spans="1:11" x14ac:dyDescent="0.35">
      <c r="A652" t="s">
        <v>699</v>
      </c>
      <c r="B652">
        <v>2</v>
      </c>
      <c r="C652" t="s">
        <v>18</v>
      </c>
      <c r="D652" t="s">
        <v>13</v>
      </c>
      <c r="E652" t="s">
        <v>61</v>
      </c>
      <c r="F652" s="1">
        <v>45432</v>
      </c>
      <c r="G652" s="1">
        <v>45434</v>
      </c>
      <c r="H652">
        <v>180</v>
      </c>
      <c r="I652" t="s">
        <v>33</v>
      </c>
      <c r="J652" t="s">
        <v>16</v>
      </c>
      <c r="K652">
        <v>42108</v>
      </c>
    </row>
    <row r="653" spans="1:11" x14ac:dyDescent="0.35">
      <c r="A653" t="s">
        <v>700</v>
      </c>
      <c r="B653">
        <v>37</v>
      </c>
      <c r="C653" t="s">
        <v>18</v>
      </c>
      <c r="D653" t="s">
        <v>13</v>
      </c>
      <c r="E653" t="s">
        <v>45</v>
      </c>
      <c r="F653" s="1">
        <v>45652</v>
      </c>
      <c r="G653" s="1">
        <v>45665</v>
      </c>
      <c r="H653">
        <v>160</v>
      </c>
      <c r="I653" t="s">
        <v>33</v>
      </c>
      <c r="J653" t="s">
        <v>26</v>
      </c>
      <c r="K653">
        <v>18297</v>
      </c>
    </row>
    <row r="654" spans="1:11" x14ac:dyDescent="0.35">
      <c r="A654" t="s">
        <v>701</v>
      </c>
      <c r="B654">
        <v>61</v>
      </c>
      <c r="C654" t="s">
        <v>18</v>
      </c>
      <c r="D654" t="s">
        <v>24</v>
      </c>
      <c r="E654" t="s">
        <v>56</v>
      </c>
      <c r="F654" s="1">
        <v>45358</v>
      </c>
      <c r="G654" s="1">
        <v>45359</v>
      </c>
      <c r="H654">
        <v>28</v>
      </c>
      <c r="I654" t="s">
        <v>15</v>
      </c>
      <c r="J654" t="s">
        <v>26</v>
      </c>
      <c r="K654">
        <v>107738</v>
      </c>
    </row>
    <row r="655" spans="1:11" x14ac:dyDescent="0.35">
      <c r="A655" t="s">
        <v>702</v>
      </c>
      <c r="B655">
        <v>77</v>
      </c>
      <c r="C655" t="s">
        <v>12</v>
      </c>
      <c r="D655" t="s">
        <v>28</v>
      </c>
      <c r="E655" t="s">
        <v>63</v>
      </c>
      <c r="F655" s="1">
        <v>45383</v>
      </c>
      <c r="G655" s="1">
        <v>45395</v>
      </c>
      <c r="H655">
        <v>160</v>
      </c>
      <c r="I655" t="s">
        <v>33</v>
      </c>
      <c r="J655" t="s">
        <v>16</v>
      </c>
      <c r="K655">
        <v>191882</v>
      </c>
    </row>
    <row r="656" spans="1:11" x14ac:dyDescent="0.35">
      <c r="A656" t="s">
        <v>703</v>
      </c>
      <c r="B656">
        <v>69</v>
      </c>
      <c r="C656" t="s">
        <v>18</v>
      </c>
      <c r="D656" t="s">
        <v>31</v>
      </c>
      <c r="E656" t="s">
        <v>58</v>
      </c>
      <c r="F656" s="1">
        <v>45635</v>
      </c>
      <c r="G656" s="1">
        <v>45648</v>
      </c>
      <c r="H656">
        <v>68</v>
      </c>
      <c r="I656" t="s">
        <v>15</v>
      </c>
      <c r="J656" t="s">
        <v>26</v>
      </c>
      <c r="K656">
        <v>30496</v>
      </c>
    </row>
    <row r="657" spans="1:11" x14ac:dyDescent="0.35">
      <c r="A657" t="s">
        <v>704</v>
      </c>
      <c r="B657">
        <v>88</v>
      </c>
      <c r="C657" t="s">
        <v>12</v>
      </c>
      <c r="D657" t="s">
        <v>31</v>
      </c>
      <c r="E657" t="s">
        <v>14</v>
      </c>
      <c r="F657" s="1">
        <v>45525</v>
      </c>
      <c r="G657" s="1">
        <v>45530</v>
      </c>
      <c r="H657">
        <v>115</v>
      </c>
      <c r="I657" t="s">
        <v>36</v>
      </c>
      <c r="J657" t="s">
        <v>16</v>
      </c>
      <c r="K657">
        <v>100276</v>
      </c>
    </row>
    <row r="658" spans="1:11" x14ac:dyDescent="0.35">
      <c r="A658" t="s">
        <v>705</v>
      </c>
      <c r="B658">
        <v>90</v>
      </c>
      <c r="C658" t="s">
        <v>12</v>
      </c>
      <c r="D658" t="s">
        <v>38</v>
      </c>
      <c r="E658" t="s">
        <v>20</v>
      </c>
      <c r="F658" s="1">
        <v>45492</v>
      </c>
      <c r="G658" s="1">
        <v>45495</v>
      </c>
      <c r="H658">
        <v>250</v>
      </c>
      <c r="I658" t="s">
        <v>15</v>
      </c>
      <c r="J658" t="s">
        <v>16</v>
      </c>
      <c r="K658">
        <v>129606</v>
      </c>
    </row>
    <row r="659" spans="1:11" x14ac:dyDescent="0.35">
      <c r="A659" t="s">
        <v>706</v>
      </c>
      <c r="B659">
        <v>62</v>
      </c>
      <c r="C659" t="s">
        <v>12</v>
      </c>
      <c r="D659" t="s">
        <v>13</v>
      </c>
      <c r="E659" t="s">
        <v>83</v>
      </c>
      <c r="F659" s="1">
        <v>45349</v>
      </c>
      <c r="G659" s="1">
        <v>45355</v>
      </c>
      <c r="H659">
        <v>179</v>
      </c>
      <c r="I659" t="s">
        <v>36</v>
      </c>
      <c r="J659" t="s">
        <v>16</v>
      </c>
      <c r="K659">
        <v>111348</v>
      </c>
    </row>
    <row r="660" spans="1:11" x14ac:dyDescent="0.35">
      <c r="A660" t="s">
        <v>707</v>
      </c>
      <c r="B660">
        <v>72</v>
      </c>
      <c r="C660" t="s">
        <v>18</v>
      </c>
      <c r="D660" t="s">
        <v>38</v>
      </c>
      <c r="E660" t="s">
        <v>61</v>
      </c>
      <c r="F660" s="1">
        <v>45346</v>
      </c>
      <c r="G660" s="1">
        <v>45352</v>
      </c>
      <c r="H660">
        <v>237</v>
      </c>
      <c r="I660" t="s">
        <v>46</v>
      </c>
      <c r="J660" t="s">
        <v>26</v>
      </c>
      <c r="K660">
        <v>67541</v>
      </c>
    </row>
    <row r="661" spans="1:11" x14ac:dyDescent="0.35">
      <c r="A661" t="s">
        <v>708</v>
      </c>
      <c r="B661">
        <v>71</v>
      </c>
      <c r="C661" t="s">
        <v>18</v>
      </c>
      <c r="D661" t="s">
        <v>31</v>
      </c>
      <c r="E661" t="s">
        <v>56</v>
      </c>
      <c r="F661" s="1">
        <v>45609</v>
      </c>
      <c r="G661" s="1">
        <v>45613</v>
      </c>
      <c r="H661">
        <v>34</v>
      </c>
      <c r="I661" t="s">
        <v>33</v>
      </c>
      <c r="J661" t="s">
        <v>16</v>
      </c>
      <c r="K661">
        <v>186943</v>
      </c>
    </row>
    <row r="662" spans="1:11" x14ac:dyDescent="0.35">
      <c r="A662" t="s">
        <v>709</v>
      </c>
      <c r="B662">
        <v>56</v>
      </c>
      <c r="C662" t="s">
        <v>12</v>
      </c>
      <c r="D662" t="s">
        <v>28</v>
      </c>
      <c r="E662" t="s">
        <v>40</v>
      </c>
      <c r="F662" s="1">
        <v>45594</v>
      </c>
      <c r="G662" s="1">
        <v>45601</v>
      </c>
      <c r="H662">
        <v>121</v>
      </c>
      <c r="I662" t="s">
        <v>36</v>
      </c>
      <c r="J662" t="s">
        <v>16</v>
      </c>
      <c r="K662">
        <v>198820</v>
      </c>
    </row>
    <row r="663" spans="1:11" x14ac:dyDescent="0.35">
      <c r="A663" t="s">
        <v>710</v>
      </c>
      <c r="B663">
        <v>63</v>
      </c>
      <c r="C663" t="s">
        <v>18</v>
      </c>
      <c r="D663" t="s">
        <v>28</v>
      </c>
      <c r="E663" t="s">
        <v>35</v>
      </c>
      <c r="F663" s="1">
        <v>45656</v>
      </c>
      <c r="G663" s="1">
        <v>45666</v>
      </c>
      <c r="H663">
        <v>238</v>
      </c>
      <c r="I663" t="s">
        <v>33</v>
      </c>
      <c r="J663" t="s">
        <v>16</v>
      </c>
      <c r="K663">
        <v>121710</v>
      </c>
    </row>
    <row r="664" spans="1:11" x14ac:dyDescent="0.35">
      <c r="A664" t="s">
        <v>711</v>
      </c>
      <c r="B664">
        <v>52</v>
      </c>
      <c r="C664" t="s">
        <v>18</v>
      </c>
      <c r="D664" t="s">
        <v>28</v>
      </c>
      <c r="E664" t="s">
        <v>90</v>
      </c>
      <c r="F664" s="1">
        <v>45382</v>
      </c>
      <c r="G664" s="1">
        <v>45387</v>
      </c>
      <c r="H664">
        <v>195</v>
      </c>
      <c r="I664" t="s">
        <v>33</v>
      </c>
      <c r="J664" t="s">
        <v>26</v>
      </c>
      <c r="K664">
        <v>174080</v>
      </c>
    </row>
    <row r="665" spans="1:11" x14ac:dyDescent="0.35">
      <c r="A665" t="s">
        <v>712</v>
      </c>
      <c r="B665">
        <v>12</v>
      </c>
      <c r="C665" t="s">
        <v>18</v>
      </c>
      <c r="D665" t="s">
        <v>13</v>
      </c>
      <c r="E665" t="s">
        <v>58</v>
      </c>
      <c r="F665" s="1">
        <v>45630</v>
      </c>
      <c r="G665" s="1">
        <v>45631</v>
      </c>
      <c r="H665">
        <v>1</v>
      </c>
      <c r="I665" t="s">
        <v>36</v>
      </c>
      <c r="J665" t="s">
        <v>16</v>
      </c>
      <c r="K665">
        <v>123744</v>
      </c>
    </row>
    <row r="666" spans="1:11" x14ac:dyDescent="0.35">
      <c r="A666" t="s">
        <v>713</v>
      </c>
      <c r="B666">
        <v>50</v>
      </c>
      <c r="C666" t="s">
        <v>12</v>
      </c>
      <c r="D666" t="s">
        <v>13</v>
      </c>
      <c r="E666" t="s">
        <v>29</v>
      </c>
      <c r="F666" s="1">
        <v>45564</v>
      </c>
      <c r="G666" s="1">
        <v>45569</v>
      </c>
      <c r="H666">
        <v>163</v>
      </c>
      <c r="I666" t="s">
        <v>33</v>
      </c>
      <c r="J666" t="s">
        <v>16</v>
      </c>
      <c r="K666">
        <v>118961</v>
      </c>
    </row>
    <row r="667" spans="1:11" x14ac:dyDescent="0.35">
      <c r="A667" t="s">
        <v>714</v>
      </c>
      <c r="B667">
        <v>75</v>
      </c>
      <c r="C667" t="s">
        <v>18</v>
      </c>
      <c r="D667" t="s">
        <v>28</v>
      </c>
      <c r="E667" t="s">
        <v>49</v>
      </c>
      <c r="F667" s="1">
        <v>45468</v>
      </c>
      <c r="G667" s="1">
        <v>45470</v>
      </c>
      <c r="H667">
        <v>207</v>
      </c>
      <c r="I667" t="s">
        <v>36</v>
      </c>
      <c r="J667" t="s">
        <v>16</v>
      </c>
      <c r="K667">
        <v>21360</v>
      </c>
    </row>
    <row r="668" spans="1:11" x14ac:dyDescent="0.35">
      <c r="A668" t="s">
        <v>715</v>
      </c>
      <c r="B668">
        <v>71</v>
      </c>
      <c r="C668" t="s">
        <v>18</v>
      </c>
      <c r="D668" t="s">
        <v>24</v>
      </c>
      <c r="E668" t="s">
        <v>40</v>
      </c>
      <c r="F668" s="1">
        <v>45481</v>
      </c>
      <c r="G668" s="1">
        <v>45496</v>
      </c>
      <c r="H668">
        <v>287</v>
      </c>
      <c r="I668" t="s">
        <v>33</v>
      </c>
      <c r="J668" t="s">
        <v>16</v>
      </c>
      <c r="K668">
        <v>78979</v>
      </c>
    </row>
    <row r="669" spans="1:11" x14ac:dyDescent="0.35">
      <c r="A669" t="s">
        <v>716</v>
      </c>
      <c r="B669">
        <v>56</v>
      </c>
      <c r="C669" t="s">
        <v>12</v>
      </c>
      <c r="D669" t="s">
        <v>38</v>
      </c>
      <c r="E669" t="s">
        <v>40</v>
      </c>
      <c r="F669" s="1">
        <v>45307</v>
      </c>
      <c r="G669" s="1">
        <v>45311</v>
      </c>
      <c r="H669">
        <v>196</v>
      </c>
      <c r="I669" t="s">
        <v>46</v>
      </c>
      <c r="J669" t="s">
        <v>26</v>
      </c>
      <c r="K669">
        <v>119082</v>
      </c>
    </row>
    <row r="670" spans="1:11" x14ac:dyDescent="0.35">
      <c r="A670" t="s">
        <v>717</v>
      </c>
      <c r="B670">
        <v>85</v>
      </c>
      <c r="C670" t="s">
        <v>18</v>
      </c>
      <c r="D670" t="s">
        <v>31</v>
      </c>
      <c r="E670" t="s">
        <v>106</v>
      </c>
      <c r="F670" s="1">
        <v>45571</v>
      </c>
      <c r="G670" s="1">
        <v>45575</v>
      </c>
      <c r="H670">
        <v>97</v>
      </c>
      <c r="I670" t="s">
        <v>46</v>
      </c>
      <c r="J670" t="s">
        <v>16</v>
      </c>
      <c r="K670">
        <v>114375</v>
      </c>
    </row>
    <row r="671" spans="1:11" x14ac:dyDescent="0.35">
      <c r="A671" t="s">
        <v>718</v>
      </c>
      <c r="B671">
        <v>86</v>
      </c>
      <c r="C671" t="s">
        <v>18</v>
      </c>
      <c r="D671" t="s">
        <v>13</v>
      </c>
      <c r="E671" t="s">
        <v>80</v>
      </c>
      <c r="F671" s="1">
        <v>45370</v>
      </c>
      <c r="G671" s="1">
        <v>45375</v>
      </c>
      <c r="H671">
        <v>37</v>
      </c>
      <c r="I671" t="s">
        <v>15</v>
      </c>
      <c r="J671" t="s">
        <v>16</v>
      </c>
      <c r="K671">
        <v>194094</v>
      </c>
    </row>
    <row r="672" spans="1:11" x14ac:dyDescent="0.35">
      <c r="A672" t="s">
        <v>719</v>
      </c>
      <c r="B672">
        <v>56</v>
      </c>
      <c r="C672" t="s">
        <v>18</v>
      </c>
      <c r="D672" t="s">
        <v>24</v>
      </c>
      <c r="E672" t="s">
        <v>106</v>
      </c>
      <c r="F672" s="1">
        <v>45541</v>
      </c>
      <c r="G672" s="1">
        <v>45552</v>
      </c>
      <c r="H672">
        <v>213</v>
      </c>
      <c r="I672" t="s">
        <v>46</v>
      </c>
      <c r="J672" t="s">
        <v>26</v>
      </c>
      <c r="K672">
        <v>168380</v>
      </c>
    </row>
    <row r="673" spans="1:11" x14ac:dyDescent="0.35">
      <c r="A673" t="s">
        <v>720</v>
      </c>
      <c r="B673">
        <v>66</v>
      </c>
      <c r="C673" t="s">
        <v>12</v>
      </c>
      <c r="D673" t="s">
        <v>28</v>
      </c>
      <c r="E673" t="s">
        <v>20</v>
      </c>
      <c r="F673" s="1">
        <v>45384</v>
      </c>
      <c r="G673" s="1">
        <v>45392</v>
      </c>
      <c r="H673">
        <v>197</v>
      </c>
      <c r="I673" t="s">
        <v>33</v>
      </c>
      <c r="J673" t="s">
        <v>16</v>
      </c>
      <c r="K673">
        <v>53704</v>
      </c>
    </row>
    <row r="674" spans="1:11" x14ac:dyDescent="0.35">
      <c r="A674" t="s">
        <v>721</v>
      </c>
      <c r="B674">
        <v>1</v>
      </c>
      <c r="C674" t="s">
        <v>12</v>
      </c>
      <c r="D674" t="s">
        <v>13</v>
      </c>
      <c r="E674" t="s">
        <v>40</v>
      </c>
      <c r="F674" s="1">
        <v>45509</v>
      </c>
      <c r="G674" s="1">
        <v>45519</v>
      </c>
      <c r="H674">
        <v>257</v>
      </c>
      <c r="I674" t="s">
        <v>33</v>
      </c>
      <c r="J674" t="s">
        <v>26</v>
      </c>
      <c r="K674">
        <v>148174</v>
      </c>
    </row>
    <row r="675" spans="1:11" x14ac:dyDescent="0.35">
      <c r="A675" t="s">
        <v>722</v>
      </c>
      <c r="B675">
        <v>5</v>
      </c>
      <c r="C675" t="s">
        <v>18</v>
      </c>
      <c r="D675" t="s">
        <v>28</v>
      </c>
      <c r="E675" t="s">
        <v>43</v>
      </c>
      <c r="F675" s="1">
        <v>45587</v>
      </c>
      <c r="G675" s="1">
        <v>45593</v>
      </c>
      <c r="H675">
        <v>189</v>
      </c>
      <c r="I675" t="s">
        <v>15</v>
      </c>
      <c r="J675" t="s">
        <v>26</v>
      </c>
      <c r="K675">
        <v>186009</v>
      </c>
    </row>
    <row r="676" spans="1:11" x14ac:dyDescent="0.35">
      <c r="A676" t="s">
        <v>723</v>
      </c>
      <c r="B676">
        <v>68</v>
      </c>
      <c r="C676" t="s">
        <v>12</v>
      </c>
      <c r="D676" t="s">
        <v>31</v>
      </c>
      <c r="E676" t="s">
        <v>49</v>
      </c>
      <c r="F676" s="1">
        <v>45332</v>
      </c>
      <c r="G676" s="1">
        <v>45335</v>
      </c>
      <c r="H676">
        <v>41</v>
      </c>
      <c r="I676" t="s">
        <v>15</v>
      </c>
      <c r="J676" t="s">
        <v>16</v>
      </c>
      <c r="K676">
        <v>128850</v>
      </c>
    </row>
    <row r="677" spans="1:11" x14ac:dyDescent="0.35">
      <c r="A677" t="s">
        <v>724</v>
      </c>
      <c r="B677">
        <v>85</v>
      </c>
      <c r="C677" t="s">
        <v>18</v>
      </c>
      <c r="D677" t="s">
        <v>28</v>
      </c>
      <c r="E677" t="s">
        <v>58</v>
      </c>
      <c r="F677" s="1">
        <v>45614</v>
      </c>
      <c r="G677" s="1">
        <v>45626</v>
      </c>
      <c r="H677">
        <v>160</v>
      </c>
      <c r="I677" t="s">
        <v>15</v>
      </c>
      <c r="J677" t="s">
        <v>16</v>
      </c>
      <c r="K677">
        <v>145255</v>
      </c>
    </row>
    <row r="678" spans="1:11" x14ac:dyDescent="0.35">
      <c r="A678" t="s">
        <v>725</v>
      </c>
      <c r="B678">
        <v>59</v>
      </c>
      <c r="C678" t="s">
        <v>12</v>
      </c>
      <c r="D678" t="s">
        <v>28</v>
      </c>
      <c r="E678" t="s">
        <v>25</v>
      </c>
      <c r="F678" s="1">
        <v>45297</v>
      </c>
      <c r="G678" s="1">
        <v>45305</v>
      </c>
      <c r="H678">
        <v>170</v>
      </c>
      <c r="I678" t="s">
        <v>46</v>
      </c>
      <c r="J678" t="s">
        <v>16</v>
      </c>
      <c r="K678">
        <v>82232</v>
      </c>
    </row>
    <row r="679" spans="1:11" x14ac:dyDescent="0.35">
      <c r="A679" t="s">
        <v>726</v>
      </c>
      <c r="B679">
        <v>5</v>
      </c>
      <c r="C679" t="s">
        <v>12</v>
      </c>
      <c r="D679" t="s">
        <v>28</v>
      </c>
      <c r="E679" t="s">
        <v>32</v>
      </c>
      <c r="F679" s="1">
        <v>45440</v>
      </c>
      <c r="G679" s="1">
        <v>45443</v>
      </c>
      <c r="H679">
        <v>32</v>
      </c>
      <c r="I679" t="s">
        <v>46</v>
      </c>
      <c r="J679" t="s">
        <v>16</v>
      </c>
      <c r="K679">
        <v>155171</v>
      </c>
    </row>
    <row r="680" spans="1:11" x14ac:dyDescent="0.35">
      <c r="A680" t="s">
        <v>727</v>
      </c>
      <c r="B680">
        <v>38</v>
      </c>
      <c r="C680" t="s">
        <v>18</v>
      </c>
      <c r="D680" t="s">
        <v>38</v>
      </c>
      <c r="E680" t="s">
        <v>43</v>
      </c>
      <c r="F680" s="1">
        <v>45318</v>
      </c>
      <c r="G680" s="1">
        <v>45329</v>
      </c>
      <c r="H680">
        <v>43</v>
      </c>
      <c r="I680" t="s">
        <v>36</v>
      </c>
      <c r="J680" t="s">
        <v>16</v>
      </c>
      <c r="K680">
        <v>77836</v>
      </c>
    </row>
    <row r="681" spans="1:11" x14ac:dyDescent="0.35">
      <c r="A681" t="s">
        <v>728</v>
      </c>
      <c r="B681">
        <v>79</v>
      </c>
      <c r="C681" t="s">
        <v>12</v>
      </c>
      <c r="D681" t="s">
        <v>38</v>
      </c>
      <c r="E681" t="s">
        <v>32</v>
      </c>
      <c r="F681" s="1">
        <v>45421</v>
      </c>
      <c r="G681" s="1">
        <v>45424</v>
      </c>
      <c r="H681">
        <v>8</v>
      </c>
      <c r="I681" t="s">
        <v>15</v>
      </c>
      <c r="J681" t="s">
        <v>16</v>
      </c>
      <c r="K681">
        <v>160128</v>
      </c>
    </row>
    <row r="682" spans="1:11" x14ac:dyDescent="0.35">
      <c r="A682" t="s">
        <v>729</v>
      </c>
      <c r="B682">
        <v>58</v>
      </c>
      <c r="C682" t="s">
        <v>12</v>
      </c>
      <c r="D682" t="s">
        <v>13</v>
      </c>
      <c r="E682" t="s">
        <v>32</v>
      </c>
      <c r="F682" s="1">
        <v>45369</v>
      </c>
      <c r="G682" s="1">
        <v>45380</v>
      </c>
      <c r="H682">
        <v>121</v>
      </c>
      <c r="I682" t="s">
        <v>46</v>
      </c>
      <c r="J682" t="s">
        <v>16</v>
      </c>
      <c r="K682">
        <v>143251</v>
      </c>
    </row>
    <row r="683" spans="1:11" x14ac:dyDescent="0.35">
      <c r="A683" t="s">
        <v>730</v>
      </c>
      <c r="B683">
        <v>11</v>
      </c>
      <c r="C683" t="s">
        <v>18</v>
      </c>
      <c r="D683" t="s">
        <v>28</v>
      </c>
      <c r="E683" t="s">
        <v>106</v>
      </c>
      <c r="F683" s="1">
        <v>45308</v>
      </c>
      <c r="G683" s="1">
        <v>45314</v>
      </c>
      <c r="H683">
        <v>254</v>
      </c>
      <c r="I683" t="s">
        <v>46</v>
      </c>
      <c r="J683" t="s">
        <v>26</v>
      </c>
      <c r="K683">
        <v>67376</v>
      </c>
    </row>
    <row r="684" spans="1:11" x14ac:dyDescent="0.35">
      <c r="A684" t="s">
        <v>731</v>
      </c>
      <c r="B684">
        <v>82</v>
      </c>
      <c r="C684" t="s">
        <v>18</v>
      </c>
      <c r="D684" t="s">
        <v>13</v>
      </c>
      <c r="E684" t="s">
        <v>58</v>
      </c>
      <c r="F684" s="1">
        <v>45630</v>
      </c>
      <c r="G684" s="1">
        <v>45638</v>
      </c>
      <c r="H684">
        <v>177</v>
      </c>
      <c r="I684" t="s">
        <v>15</v>
      </c>
      <c r="J684" t="s">
        <v>16</v>
      </c>
      <c r="K684">
        <v>35407</v>
      </c>
    </row>
    <row r="685" spans="1:11" x14ac:dyDescent="0.35">
      <c r="A685" t="s">
        <v>732</v>
      </c>
      <c r="B685">
        <v>60</v>
      </c>
      <c r="C685" t="s">
        <v>12</v>
      </c>
      <c r="D685" t="s">
        <v>31</v>
      </c>
      <c r="E685" t="s">
        <v>83</v>
      </c>
      <c r="F685" s="1">
        <v>45318</v>
      </c>
      <c r="G685" s="1">
        <v>45321</v>
      </c>
      <c r="H685">
        <v>244</v>
      </c>
      <c r="I685" t="s">
        <v>36</v>
      </c>
      <c r="J685" t="s">
        <v>26</v>
      </c>
      <c r="K685">
        <v>184178</v>
      </c>
    </row>
    <row r="686" spans="1:11" x14ac:dyDescent="0.35">
      <c r="A686" t="s">
        <v>733</v>
      </c>
      <c r="B686">
        <v>61</v>
      </c>
      <c r="C686" t="s">
        <v>12</v>
      </c>
      <c r="D686" t="s">
        <v>13</v>
      </c>
      <c r="E686" t="s">
        <v>49</v>
      </c>
      <c r="F686" s="1">
        <v>45653</v>
      </c>
      <c r="G686" s="1">
        <v>45660</v>
      </c>
      <c r="H686">
        <v>223</v>
      </c>
      <c r="I686" t="s">
        <v>15</v>
      </c>
      <c r="J686" t="s">
        <v>16</v>
      </c>
      <c r="K686">
        <v>122655</v>
      </c>
    </row>
    <row r="687" spans="1:11" x14ac:dyDescent="0.35">
      <c r="A687" t="s">
        <v>734</v>
      </c>
      <c r="B687">
        <v>41</v>
      </c>
      <c r="C687" t="s">
        <v>18</v>
      </c>
      <c r="D687" t="s">
        <v>24</v>
      </c>
      <c r="E687" t="s">
        <v>61</v>
      </c>
      <c r="F687" s="1">
        <v>45487</v>
      </c>
      <c r="G687" s="1">
        <v>45498</v>
      </c>
      <c r="H687">
        <v>182</v>
      </c>
      <c r="I687" t="s">
        <v>46</v>
      </c>
      <c r="J687" t="s">
        <v>16</v>
      </c>
      <c r="K687">
        <v>92809</v>
      </c>
    </row>
    <row r="688" spans="1:11" x14ac:dyDescent="0.35">
      <c r="A688" t="s">
        <v>735</v>
      </c>
      <c r="B688">
        <v>13</v>
      </c>
      <c r="C688" t="s">
        <v>12</v>
      </c>
      <c r="D688" t="s">
        <v>28</v>
      </c>
      <c r="E688" t="s">
        <v>56</v>
      </c>
      <c r="F688" s="1">
        <v>45430</v>
      </c>
      <c r="G688" s="1">
        <v>45435</v>
      </c>
      <c r="H688">
        <v>237</v>
      </c>
      <c r="I688" t="s">
        <v>36</v>
      </c>
      <c r="J688" t="s">
        <v>16</v>
      </c>
      <c r="K688">
        <v>141302</v>
      </c>
    </row>
    <row r="689" spans="1:11" x14ac:dyDescent="0.35">
      <c r="A689" t="s">
        <v>736</v>
      </c>
      <c r="B689">
        <v>89</v>
      </c>
      <c r="C689" t="s">
        <v>18</v>
      </c>
      <c r="D689" t="s">
        <v>38</v>
      </c>
      <c r="E689" t="s">
        <v>61</v>
      </c>
      <c r="F689" s="1">
        <v>45464</v>
      </c>
      <c r="G689" s="1">
        <v>45475</v>
      </c>
      <c r="H689">
        <v>6</v>
      </c>
      <c r="I689" t="s">
        <v>15</v>
      </c>
      <c r="J689" t="s">
        <v>16</v>
      </c>
      <c r="K689">
        <v>8135</v>
      </c>
    </row>
    <row r="690" spans="1:11" x14ac:dyDescent="0.35">
      <c r="A690" t="s">
        <v>737</v>
      </c>
      <c r="B690">
        <v>68</v>
      </c>
      <c r="C690" t="s">
        <v>18</v>
      </c>
      <c r="D690" t="s">
        <v>31</v>
      </c>
      <c r="E690" t="s">
        <v>63</v>
      </c>
      <c r="F690" s="1">
        <v>45502</v>
      </c>
      <c r="G690" s="1">
        <v>45504</v>
      </c>
      <c r="H690">
        <v>113</v>
      </c>
      <c r="I690" t="s">
        <v>33</v>
      </c>
      <c r="J690" t="s">
        <v>16</v>
      </c>
      <c r="K690">
        <v>55614</v>
      </c>
    </row>
    <row r="691" spans="1:11" x14ac:dyDescent="0.35">
      <c r="A691" t="s">
        <v>738</v>
      </c>
      <c r="B691">
        <v>80</v>
      </c>
      <c r="C691" t="s">
        <v>18</v>
      </c>
      <c r="D691" t="s">
        <v>24</v>
      </c>
      <c r="E691" t="s">
        <v>35</v>
      </c>
      <c r="F691" s="1">
        <v>45309</v>
      </c>
      <c r="G691" s="1">
        <v>45310</v>
      </c>
      <c r="H691">
        <v>112</v>
      </c>
      <c r="I691" t="s">
        <v>15</v>
      </c>
      <c r="J691" t="s">
        <v>16</v>
      </c>
      <c r="K691">
        <v>27645</v>
      </c>
    </row>
    <row r="692" spans="1:11" x14ac:dyDescent="0.35">
      <c r="A692" t="s">
        <v>739</v>
      </c>
      <c r="B692">
        <v>49</v>
      </c>
      <c r="C692" t="s">
        <v>18</v>
      </c>
      <c r="D692" t="s">
        <v>24</v>
      </c>
      <c r="E692" t="s">
        <v>40</v>
      </c>
      <c r="F692" s="1">
        <v>45601</v>
      </c>
      <c r="G692" s="1">
        <v>45604</v>
      </c>
      <c r="H692">
        <v>95</v>
      </c>
      <c r="I692" t="s">
        <v>33</v>
      </c>
      <c r="J692" t="s">
        <v>16</v>
      </c>
      <c r="K692">
        <v>127409</v>
      </c>
    </row>
    <row r="693" spans="1:11" x14ac:dyDescent="0.35">
      <c r="A693" t="s">
        <v>740</v>
      </c>
      <c r="B693">
        <v>10</v>
      </c>
      <c r="C693" t="s">
        <v>12</v>
      </c>
      <c r="D693" t="s">
        <v>38</v>
      </c>
      <c r="E693" t="s">
        <v>22</v>
      </c>
      <c r="F693" s="1">
        <v>45630</v>
      </c>
      <c r="G693" s="1">
        <v>45645</v>
      </c>
      <c r="H693">
        <v>219</v>
      </c>
      <c r="I693" t="s">
        <v>33</v>
      </c>
      <c r="J693" t="s">
        <v>16</v>
      </c>
      <c r="K693">
        <v>47458</v>
      </c>
    </row>
    <row r="694" spans="1:11" x14ac:dyDescent="0.35">
      <c r="A694" t="s">
        <v>741</v>
      </c>
      <c r="B694">
        <v>8</v>
      </c>
      <c r="C694" t="s">
        <v>12</v>
      </c>
      <c r="D694" t="s">
        <v>31</v>
      </c>
      <c r="E694" t="s">
        <v>95</v>
      </c>
      <c r="F694" s="1">
        <v>45329</v>
      </c>
      <c r="G694" s="1">
        <v>45334</v>
      </c>
      <c r="H694">
        <v>31</v>
      </c>
      <c r="I694" t="s">
        <v>33</v>
      </c>
      <c r="J694" t="s">
        <v>16</v>
      </c>
      <c r="K694">
        <v>51643</v>
      </c>
    </row>
    <row r="695" spans="1:11" x14ac:dyDescent="0.35">
      <c r="A695" t="s">
        <v>742</v>
      </c>
      <c r="B695">
        <v>63</v>
      </c>
      <c r="C695" t="s">
        <v>18</v>
      </c>
      <c r="D695" t="s">
        <v>28</v>
      </c>
      <c r="E695" t="s">
        <v>56</v>
      </c>
      <c r="F695" s="1">
        <v>45517</v>
      </c>
      <c r="G695" s="1">
        <v>45519</v>
      </c>
      <c r="H695">
        <v>92</v>
      </c>
      <c r="I695" t="s">
        <v>46</v>
      </c>
      <c r="J695" t="s">
        <v>16</v>
      </c>
      <c r="K695">
        <v>42715</v>
      </c>
    </row>
    <row r="696" spans="1:11" x14ac:dyDescent="0.35">
      <c r="A696" t="s">
        <v>743</v>
      </c>
      <c r="B696">
        <v>56</v>
      </c>
      <c r="C696" t="s">
        <v>18</v>
      </c>
      <c r="D696" t="s">
        <v>28</v>
      </c>
      <c r="E696" t="s">
        <v>68</v>
      </c>
      <c r="F696" s="1">
        <v>45568</v>
      </c>
      <c r="G696" s="1">
        <v>45581</v>
      </c>
      <c r="H696">
        <v>55</v>
      </c>
      <c r="I696" t="s">
        <v>46</v>
      </c>
      <c r="J696" t="s">
        <v>16</v>
      </c>
      <c r="K696">
        <v>32076</v>
      </c>
    </row>
    <row r="697" spans="1:11" x14ac:dyDescent="0.35">
      <c r="A697" t="s">
        <v>744</v>
      </c>
      <c r="B697">
        <v>10</v>
      </c>
      <c r="C697" t="s">
        <v>12</v>
      </c>
      <c r="D697" t="s">
        <v>31</v>
      </c>
      <c r="E697" t="s">
        <v>80</v>
      </c>
      <c r="F697" s="1">
        <v>45309</v>
      </c>
      <c r="G697" s="1">
        <v>45311</v>
      </c>
      <c r="H697">
        <v>255</v>
      </c>
      <c r="I697" t="s">
        <v>36</v>
      </c>
      <c r="J697" t="s">
        <v>16</v>
      </c>
      <c r="K697">
        <v>14918</v>
      </c>
    </row>
    <row r="698" spans="1:11" x14ac:dyDescent="0.35">
      <c r="A698" t="s">
        <v>745</v>
      </c>
      <c r="B698">
        <v>35</v>
      </c>
      <c r="C698" t="s">
        <v>18</v>
      </c>
      <c r="D698" t="s">
        <v>38</v>
      </c>
      <c r="E698" t="s">
        <v>56</v>
      </c>
      <c r="F698" s="1">
        <v>45632</v>
      </c>
      <c r="G698" s="1">
        <v>45639</v>
      </c>
      <c r="H698">
        <v>295</v>
      </c>
      <c r="I698" t="s">
        <v>15</v>
      </c>
      <c r="J698" t="s">
        <v>26</v>
      </c>
      <c r="K698">
        <v>130341</v>
      </c>
    </row>
    <row r="699" spans="1:11" x14ac:dyDescent="0.35">
      <c r="A699" t="s">
        <v>746</v>
      </c>
      <c r="B699">
        <v>9</v>
      </c>
      <c r="C699" t="s">
        <v>18</v>
      </c>
      <c r="D699" t="s">
        <v>24</v>
      </c>
      <c r="E699" t="s">
        <v>56</v>
      </c>
      <c r="F699" s="1">
        <v>45515</v>
      </c>
      <c r="G699" s="1">
        <v>45522</v>
      </c>
      <c r="H699">
        <v>247</v>
      </c>
      <c r="I699" t="s">
        <v>15</v>
      </c>
      <c r="J699" t="s">
        <v>16</v>
      </c>
      <c r="K699">
        <v>92409</v>
      </c>
    </row>
    <row r="700" spans="1:11" x14ac:dyDescent="0.35">
      <c r="A700" t="s">
        <v>747</v>
      </c>
      <c r="B700">
        <v>52</v>
      </c>
      <c r="C700" t="s">
        <v>18</v>
      </c>
      <c r="D700" t="s">
        <v>24</v>
      </c>
      <c r="E700" t="s">
        <v>63</v>
      </c>
      <c r="F700" s="1">
        <v>45641</v>
      </c>
      <c r="G700" s="1">
        <v>45646</v>
      </c>
      <c r="H700">
        <v>274</v>
      </c>
      <c r="I700" t="s">
        <v>33</v>
      </c>
      <c r="J700" t="s">
        <v>16</v>
      </c>
      <c r="K700">
        <v>125491</v>
      </c>
    </row>
    <row r="701" spans="1:11" x14ac:dyDescent="0.35">
      <c r="A701" t="s">
        <v>748</v>
      </c>
      <c r="B701">
        <v>26</v>
      </c>
      <c r="C701" t="s">
        <v>18</v>
      </c>
      <c r="D701" t="s">
        <v>28</v>
      </c>
      <c r="E701" t="s">
        <v>52</v>
      </c>
      <c r="F701" s="1">
        <v>45440</v>
      </c>
      <c r="G701" s="1">
        <v>45451</v>
      </c>
      <c r="H701">
        <v>197</v>
      </c>
      <c r="I701" t="s">
        <v>36</v>
      </c>
      <c r="J701" t="s">
        <v>16</v>
      </c>
      <c r="K701">
        <v>187421</v>
      </c>
    </row>
    <row r="702" spans="1:11" x14ac:dyDescent="0.35">
      <c r="A702" t="s">
        <v>749</v>
      </c>
      <c r="B702">
        <v>14</v>
      </c>
      <c r="C702" t="s">
        <v>12</v>
      </c>
      <c r="D702" t="s">
        <v>31</v>
      </c>
      <c r="E702" t="s">
        <v>45</v>
      </c>
      <c r="F702" s="1">
        <v>45491</v>
      </c>
      <c r="G702" s="1">
        <v>45506</v>
      </c>
      <c r="H702">
        <v>225</v>
      </c>
      <c r="I702" t="s">
        <v>36</v>
      </c>
      <c r="J702" t="s">
        <v>16</v>
      </c>
      <c r="K702">
        <v>14358</v>
      </c>
    </row>
    <row r="703" spans="1:11" x14ac:dyDescent="0.35">
      <c r="A703" t="s">
        <v>750</v>
      </c>
      <c r="B703">
        <v>76</v>
      </c>
      <c r="C703" t="s">
        <v>18</v>
      </c>
      <c r="D703" t="s">
        <v>31</v>
      </c>
      <c r="E703" t="s">
        <v>56</v>
      </c>
      <c r="F703" s="1">
        <v>45390</v>
      </c>
      <c r="G703" s="1">
        <v>45391</v>
      </c>
      <c r="H703">
        <v>33</v>
      </c>
      <c r="I703" t="s">
        <v>33</v>
      </c>
      <c r="J703" t="s">
        <v>26</v>
      </c>
      <c r="K703">
        <v>144969</v>
      </c>
    </row>
    <row r="704" spans="1:11" x14ac:dyDescent="0.35">
      <c r="A704" t="s">
        <v>751</v>
      </c>
      <c r="B704">
        <v>5</v>
      </c>
      <c r="C704" t="s">
        <v>12</v>
      </c>
      <c r="D704" t="s">
        <v>24</v>
      </c>
      <c r="E704" t="s">
        <v>95</v>
      </c>
      <c r="F704" s="1">
        <v>45522</v>
      </c>
      <c r="G704" s="1">
        <v>45523</v>
      </c>
      <c r="H704">
        <v>22</v>
      </c>
      <c r="I704" t="s">
        <v>46</v>
      </c>
      <c r="J704" t="s">
        <v>16</v>
      </c>
      <c r="K704">
        <v>60490</v>
      </c>
    </row>
    <row r="705" spans="1:11" x14ac:dyDescent="0.35">
      <c r="A705" t="s">
        <v>752</v>
      </c>
      <c r="B705">
        <v>67</v>
      </c>
      <c r="C705" t="s">
        <v>12</v>
      </c>
      <c r="D705" t="s">
        <v>28</v>
      </c>
      <c r="E705" t="s">
        <v>106</v>
      </c>
      <c r="F705" s="1">
        <v>45626</v>
      </c>
      <c r="G705" s="1">
        <v>45637</v>
      </c>
      <c r="H705">
        <v>297</v>
      </c>
      <c r="I705" t="s">
        <v>36</v>
      </c>
      <c r="J705" t="s">
        <v>16</v>
      </c>
      <c r="K705">
        <v>14667</v>
      </c>
    </row>
    <row r="706" spans="1:11" x14ac:dyDescent="0.35">
      <c r="A706" t="s">
        <v>753</v>
      </c>
      <c r="B706">
        <v>84</v>
      </c>
      <c r="C706" t="s">
        <v>18</v>
      </c>
      <c r="D706" t="s">
        <v>31</v>
      </c>
      <c r="E706" t="s">
        <v>35</v>
      </c>
      <c r="F706" s="1">
        <v>45364</v>
      </c>
      <c r="G706" s="1">
        <v>45372</v>
      </c>
      <c r="H706">
        <v>24</v>
      </c>
      <c r="I706" t="s">
        <v>36</v>
      </c>
      <c r="J706" t="s">
        <v>16</v>
      </c>
      <c r="K706">
        <v>8765</v>
      </c>
    </row>
    <row r="707" spans="1:11" x14ac:dyDescent="0.35">
      <c r="A707" t="s">
        <v>754</v>
      </c>
      <c r="B707">
        <v>7</v>
      </c>
      <c r="C707" t="s">
        <v>12</v>
      </c>
      <c r="D707" t="s">
        <v>24</v>
      </c>
      <c r="E707" t="s">
        <v>20</v>
      </c>
      <c r="F707" s="1">
        <v>45380</v>
      </c>
      <c r="G707" s="1">
        <v>45391</v>
      </c>
      <c r="H707">
        <v>88</v>
      </c>
      <c r="I707" t="s">
        <v>15</v>
      </c>
      <c r="J707" t="s">
        <v>16</v>
      </c>
      <c r="K707">
        <v>34931</v>
      </c>
    </row>
    <row r="708" spans="1:11" x14ac:dyDescent="0.35">
      <c r="A708" t="s">
        <v>755</v>
      </c>
      <c r="B708">
        <v>79</v>
      </c>
      <c r="C708" t="s">
        <v>18</v>
      </c>
      <c r="D708" t="s">
        <v>24</v>
      </c>
      <c r="E708" t="s">
        <v>29</v>
      </c>
      <c r="F708" s="1">
        <v>45546</v>
      </c>
      <c r="G708" s="1">
        <v>45556</v>
      </c>
      <c r="H708">
        <v>219</v>
      </c>
      <c r="I708" t="s">
        <v>33</v>
      </c>
      <c r="J708" t="s">
        <v>26</v>
      </c>
      <c r="K708">
        <v>89996</v>
      </c>
    </row>
    <row r="709" spans="1:11" x14ac:dyDescent="0.35">
      <c r="A709" t="s">
        <v>756</v>
      </c>
      <c r="B709">
        <v>74</v>
      </c>
      <c r="C709" t="s">
        <v>18</v>
      </c>
      <c r="D709" t="s">
        <v>38</v>
      </c>
      <c r="E709" t="s">
        <v>29</v>
      </c>
      <c r="F709" s="1">
        <v>45353</v>
      </c>
      <c r="G709" s="1">
        <v>45364</v>
      </c>
      <c r="H709">
        <v>24</v>
      </c>
      <c r="I709" t="s">
        <v>36</v>
      </c>
      <c r="J709" t="s">
        <v>16</v>
      </c>
      <c r="K709">
        <v>21573</v>
      </c>
    </row>
    <row r="710" spans="1:11" x14ac:dyDescent="0.35">
      <c r="A710" t="s">
        <v>757</v>
      </c>
      <c r="B710">
        <v>19</v>
      </c>
      <c r="C710" t="s">
        <v>12</v>
      </c>
      <c r="D710" t="s">
        <v>13</v>
      </c>
      <c r="E710" t="s">
        <v>40</v>
      </c>
      <c r="F710" s="1">
        <v>45353</v>
      </c>
      <c r="G710" s="1">
        <v>45358</v>
      </c>
      <c r="H710">
        <v>190</v>
      </c>
      <c r="I710" t="s">
        <v>36</v>
      </c>
      <c r="J710" t="s">
        <v>26</v>
      </c>
      <c r="K710">
        <v>68869</v>
      </c>
    </row>
    <row r="711" spans="1:11" x14ac:dyDescent="0.35">
      <c r="A711" t="s">
        <v>758</v>
      </c>
      <c r="B711">
        <v>18</v>
      </c>
      <c r="C711" t="s">
        <v>18</v>
      </c>
      <c r="D711" t="s">
        <v>28</v>
      </c>
      <c r="E711" t="s">
        <v>56</v>
      </c>
      <c r="F711" s="1">
        <v>45589</v>
      </c>
      <c r="G711" s="1">
        <v>45590</v>
      </c>
      <c r="H711">
        <v>81</v>
      </c>
      <c r="I711" t="s">
        <v>15</v>
      </c>
      <c r="J711" t="s">
        <v>26</v>
      </c>
      <c r="K711">
        <v>26160</v>
      </c>
    </row>
    <row r="712" spans="1:11" x14ac:dyDescent="0.35">
      <c r="A712" t="s">
        <v>759</v>
      </c>
      <c r="B712">
        <v>23</v>
      </c>
      <c r="C712" t="s">
        <v>18</v>
      </c>
      <c r="D712" t="s">
        <v>28</v>
      </c>
      <c r="E712" t="s">
        <v>83</v>
      </c>
      <c r="F712" s="1">
        <v>45295</v>
      </c>
      <c r="G712" s="1">
        <v>45296</v>
      </c>
      <c r="H712">
        <v>214</v>
      </c>
      <c r="I712" t="s">
        <v>46</v>
      </c>
      <c r="J712" t="s">
        <v>16</v>
      </c>
      <c r="K712">
        <v>59043</v>
      </c>
    </row>
    <row r="713" spans="1:11" x14ac:dyDescent="0.35">
      <c r="A713" t="s">
        <v>760</v>
      </c>
      <c r="B713">
        <v>35</v>
      </c>
      <c r="C713" t="s">
        <v>12</v>
      </c>
      <c r="D713" t="s">
        <v>31</v>
      </c>
      <c r="E713" t="s">
        <v>14</v>
      </c>
      <c r="F713" s="1">
        <v>45365</v>
      </c>
      <c r="G713" s="1">
        <v>45376</v>
      </c>
      <c r="H713">
        <v>90</v>
      </c>
      <c r="I713" t="s">
        <v>15</v>
      </c>
      <c r="J713" t="s">
        <v>16</v>
      </c>
      <c r="K713">
        <v>193009</v>
      </c>
    </row>
    <row r="714" spans="1:11" x14ac:dyDescent="0.35">
      <c r="A714" t="s">
        <v>761</v>
      </c>
      <c r="B714">
        <v>12</v>
      </c>
      <c r="C714" t="s">
        <v>12</v>
      </c>
      <c r="D714" t="s">
        <v>38</v>
      </c>
      <c r="E714" t="s">
        <v>93</v>
      </c>
      <c r="F714" s="1">
        <v>45547</v>
      </c>
      <c r="G714" s="1">
        <v>45557</v>
      </c>
      <c r="H714">
        <v>3</v>
      </c>
      <c r="I714" t="s">
        <v>36</v>
      </c>
      <c r="J714" t="s">
        <v>16</v>
      </c>
      <c r="K714">
        <v>35803</v>
      </c>
    </row>
    <row r="715" spans="1:11" x14ac:dyDescent="0.35">
      <c r="A715" t="s">
        <v>762</v>
      </c>
      <c r="B715">
        <v>80</v>
      </c>
      <c r="C715" t="s">
        <v>12</v>
      </c>
      <c r="D715" t="s">
        <v>28</v>
      </c>
      <c r="E715" t="s">
        <v>49</v>
      </c>
      <c r="F715" s="1">
        <v>45563</v>
      </c>
      <c r="G715" s="1">
        <v>45565</v>
      </c>
      <c r="H715">
        <v>113</v>
      </c>
      <c r="I715" t="s">
        <v>46</v>
      </c>
      <c r="J715" t="s">
        <v>16</v>
      </c>
      <c r="K715">
        <v>77463</v>
      </c>
    </row>
    <row r="716" spans="1:11" x14ac:dyDescent="0.35">
      <c r="A716" t="s">
        <v>763</v>
      </c>
      <c r="B716">
        <v>15</v>
      </c>
      <c r="C716" t="s">
        <v>18</v>
      </c>
      <c r="D716" t="s">
        <v>31</v>
      </c>
      <c r="E716" t="s">
        <v>43</v>
      </c>
      <c r="F716" s="1">
        <v>45319</v>
      </c>
      <c r="G716" s="1">
        <v>45323</v>
      </c>
      <c r="H716">
        <v>91</v>
      </c>
      <c r="I716" t="s">
        <v>36</v>
      </c>
      <c r="J716" t="s">
        <v>16</v>
      </c>
      <c r="K716">
        <v>19163</v>
      </c>
    </row>
    <row r="717" spans="1:11" x14ac:dyDescent="0.35">
      <c r="A717" t="s">
        <v>764</v>
      </c>
      <c r="B717">
        <v>37</v>
      </c>
      <c r="C717" t="s">
        <v>18</v>
      </c>
      <c r="D717" t="s">
        <v>31</v>
      </c>
      <c r="E717" t="s">
        <v>32</v>
      </c>
      <c r="F717" s="1">
        <v>45622</v>
      </c>
      <c r="G717" s="1">
        <v>45628</v>
      </c>
      <c r="H717">
        <v>172</v>
      </c>
      <c r="I717" t="s">
        <v>46</v>
      </c>
      <c r="J717" t="s">
        <v>16</v>
      </c>
      <c r="K717">
        <v>32373</v>
      </c>
    </row>
    <row r="718" spans="1:11" x14ac:dyDescent="0.35">
      <c r="A718" t="s">
        <v>765</v>
      </c>
      <c r="B718">
        <v>69</v>
      </c>
      <c r="C718" t="s">
        <v>18</v>
      </c>
      <c r="D718" t="s">
        <v>13</v>
      </c>
      <c r="E718" t="s">
        <v>80</v>
      </c>
      <c r="F718" s="1">
        <v>45318</v>
      </c>
      <c r="G718" s="1">
        <v>45333</v>
      </c>
      <c r="H718">
        <v>249</v>
      </c>
      <c r="I718" t="s">
        <v>15</v>
      </c>
      <c r="J718" t="s">
        <v>16</v>
      </c>
      <c r="K718">
        <v>66682</v>
      </c>
    </row>
    <row r="719" spans="1:11" x14ac:dyDescent="0.35">
      <c r="A719" t="s">
        <v>766</v>
      </c>
      <c r="B719">
        <v>75</v>
      </c>
      <c r="C719" t="s">
        <v>12</v>
      </c>
      <c r="D719" t="s">
        <v>31</v>
      </c>
      <c r="E719" t="s">
        <v>29</v>
      </c>
      <c r="F719" s="1">
        <v>45519</v>
      </c>
      <c r="G719" s="1">
        <v>45529</v>
      </c>
      <c r="H719">
        <v>167</v>
      </c>
      <c r="I719" t="s">
        <v>36</v>
      </c>
      <c r="J719" t="s">
        <v>16</v>
      </c>
      <c r="K719">
        <v>90493</v>
      </c>
    </row>
    <row r="720" spans="1:11" x14ac:dyDescent="0.35">
      <c r="A720" t="s">
        <v>767</v>
      </c>
      <c r="B720">
        <v>31</v>
      </c>
      <c r="C720" t="s">
        <v>12</v>
      </c>
      <c r="D720" t="s">
        <v>13</v>
      </c>
      <c r="E720" t="s">
        <v>56</v>
      </c>
      <c r="F720" s="1">
        <v>45408</v>
      </c>
      <c r="G720" s="1">
        <v>45410</v>
      </c>
      <c r="H720">
        <v>113</v>
      </c>
      <c r="I720" t="s">
        <v>15</v>
      </c>
      <c r="J720" t="s">
        <v>26</v>
      </c>
      <c r="K720">
        <v>158378</v>
      </c>
    </row>
    <row r="721" spans="1:11" x14ac:dyDescent="0.35">
      <c r="A721" t="s">
        <v>768</v>
      </c>
      <c r="B721">
        <v>56</v>
      </c>
      <c r="C721" t="s">
        <v>18</v>
      </c>
      <c r="D721" t="s">
        <v>13</v>
      </c>
      <c r="E721" t="s">
        <v>35</v>
      </c>
      <c r="F721" s="1">
        <v>45540</v>
      </c>
      <c r="G721" s="1">
        <v>45541</v>
      </c>
      <c r="H721">
        <v>233</v>
      </c>
      <c r="I721" t="s">
        <v>36</v>
      </c>
      <c r="J721" t="s">
        <v>26</v>
      </c>
      <c r="K721">
        <v>102906</v>
      </c>
    </row>
    <row r="722" spans="1:11" x14ac:dyDescent="0.35">
      <c r="A722" t="s">
        <v>769</v>
      </c>
      <c r="B722">
        <v>25</v>
      </c>
      <c r="C722" t="s">
        <v>12</v>
      </c>
      <c r="D722" t="s">
        <v>38</v>
      </c>
      <c r="E722" t="s">
        <v>29</v>
      </c>
      <c r="F722" s="1">
        <v>45361</v>
      </c>
      <c r="G722" s="1">
        <v>45369</v>
      </c>
      <c r="H722">
        <v>172</v>
      </c>
      <c r="I722" t="s">
        <v>36</v>
      </c>
      <c r="J722" t="s">
        <v>16</v>
      </c>
      <c r="K722">
        <v>186458</v>
      </c>
    </row>
    <row r="723" spans="1:11" x14ac:dyDescent="0.35">
      <c r="A723" t="s">
        <v>770</v>
      </c>
      <c r="B723">
        <v>36</v>
      </c>
      <c r="C723" t="s">
        <v>18</v>
      </c>
      <c r="D723" t="s">
        <v>24</v>
      </c>
      <c r="E723" t="s">
        <v>20</v>
      </c>
      <c r="F723" s="1">
        <v>45583</v>
      </c>
      <c r="G723" s="1">
        <v>45584</v>
      </c>
      <c r="H723">
        <v>235</v>
      </c>
      <c r="I723" t="s">
        <v>46</v>
      </c>
      <c r="J723" t="s">
        <v>16</v>
      </c>
      <c r="K723">
        <v>95066</v>
      </c>
    </row>
    <row r="724" spans="1:11" x14ac:dyDescent="0.35">
      <c r="A724" t="s">
        <v>771</v>
      </c>
      <c r="B724">
        <v>38</v>
      </c>
      <c r="C724" t="s">
        <v>18</v>
      </c>
      <c r="D724" t="s">
        <v>28</v>
      </c>
      <c r="E724" t="s">
        <v>66</v>
      </c>
      <c r="F724" s="1">
        <v>45404</v>
      </c>
      <c r="G724" s="1">
        <v>45419</v>
      </c>
      <c r="H724">
        <v>296</v>
      </c>
      <c r="I724" t="s">
        <v>36</v>
      </c>
      <c r="J724" t="s">
        <v>16</v>
      </c>
      <c r="K724">
        <v>112923</v>
      </c>
    </row>
    <row r="725" spans="1:11" x14ac:dyDescent="0.35">
      <c r="A725" t="s">
        <v>772</v>
      </c>
      <c r="B725">
        <v>28</v>
      </c>
      <c r="C725" t="s">
        <v>12</v>
      </c>
      <c r="D725" t="s">
        <v>31</v>
      </c>
      <c r="E725" t="s">
        <v>32</v>
      </c>
      <c r="F725" s="1">
        <v>45559</v>
      </c>
      <c r="G725" s="1">
        <v>45567</v>
      </c>
      <c r="H725">
        <v>8</v>
      </c>
      <c r="I725" t="s">
        <v>46</v>
      </c>
      <c r="J725" t="s">
        <v>16</v>
      </c>
      <c r="K725">
        <v>69967</v>
      </c>
    </row>
    <row r="726" spans="1:11" x14ac:dyDescent="0.35">
      <c r="A726" t="s">
        <v>773</v>
      </c>
      <c r="B726">
        <v>75</v>
      </c>
      <c r="C726" t="s">
        <v>18</v>
      </c>
      <c r="D726" t="s">
        <v>28</v>
      </c>
      <c r="E726" t="s">
        <v>106</v>
      </c>
      <c r="F726" s="1">
        <v>45459</v>
      </c>
      <c r="G726" s="1">
        <v>45466</v>
      </c>
      <c r="H726">
        <v>294</v>
      </c>
      <c r="I726" t="s">
        <v>15</v>
      </c>
      <c r="J726" t="s">
        <v>26</v>
      </c>
      <c r="K726">
        <v>16593</v>
      </c>
    </row>
    <row r="727" spans="1:11" x14ac:dyDescent="0.35">
      <c r="A727" t="s">
        <v>774</v>
      </c>
      <c r="B727">
        <v>65</v>
      </c>
      <c r="C727" t="s">
        <v>18</v>
      </c>
      <c r="D727" t="s">
        <v>31</v>
      </c>
      <c r="E727" t="s">
        <v>49</v>
      </c>
      <c r="F727" s="1">
        <v>45312</v>
      </c>
      <c r="G727" s="1">
        <v>45320</v>
      </c>
      <c r="H727">
        <v>202</v>
      </c>
      <c r="I727" t="s">
        <v>46</v>
      </c>
      <c r="J727" t="s">
        <v>16</v>
      </c>
      <c r="K727">
        <v>123604</v>
      </c>
    </row>
    <row r="728" spans="1:11" x14ac:dyDescent="0.35">
      <c r="A728" t="s">
        <v>775</v>
      </c>
      <c r="B728">
        <v>11</v>
      </c>
      <c r="C728" t="s">
        <v>18</v>
      </c>
      <c r="D728" t="s">
        <v>31</v>
      </c>
      <c r="E728" t="s">
        <v>29</v>
      </c>
      <c r="F728" s="1">
        <v>45545</v>
      </c>
      <c r="G728" s="1">
        <v>45549</v>
      </c>
      <c r="H728">
        <v>68</v>
      </c>
      <c r="I728" t="s">
        <v>33</v>
      </c>
      <c r="J728" t="s">
        <v>16</v>
      </c>
      <c r="K728">
        <v>67668</v>
      </c>
    </row>
    <row r="729" spans="1:11" x14ac:dyDescent="0.35">
      <c r="A729" t="s">
        <v>776</v>
      </c>
      <c r="B729">
        <v>3</v>
      </c>
      <c r="C729" t="s">
        <v>12</v>
      </c>
      <c r="D729" t="s">
        <v>38</v>
      </c>
      <c r="E729" t="s">
        <v>66</v>
      </c>
      <c r="F729" s="1">
        <v>45623</v>
      </c>
      <c r="G729" s="1">
        <v>45625</v>
      </c>
      <c r="H729">
        <v>236</v>
      </c>
      <c r="I729" t="s">
        <v>15</v>
      </c>
      <c r="J729" t="s">
        <v>26</v>
      </c>
      <c r="K729">
        <v>126572</v>
      </c>
    </row>
    <row r="730" spans="1:11" x14ac:dyDescent="0.35">
      <c r="A730" t="s">
        <v>777</v>
      </c>
      <c r="B730">
        <v>52</v>
      </c>
      <c r="C730" t="s">
        <v>18</v>
      </c>
      <c r="D730" t="s">
        <v>38</v>
      </c>
      <c r="E730" t="s">
        <v>68</v>
      </c>
      <c r="F730" s="1">
        <v>45362</v>
      </c>
      <c r="G730" s="1">
        <v>45376</v>
      </c>
      <c r="H730">
        <v>238</v>
      </c>
      <c r="I730" t="s">
        <v>15</v>
      </c>
      <c r="J730" t="s">
        <v>16</v>
      </c>
      <c r="K730">
        <v>105893</v>
      </c>
    </row>
    <row r="731" spans="1:11" x14ac:dyDescent="0.35">
      <c r="A731" t="s">
        <v>778</v>
      </c>
      <c r="B731">
        <v>68</v>
      </c>
      <c r="C731" t="s">
        <v>18</v>
      </c>
      <c r="D731" t="s">
        <v>38</v>
      </c>
      <c r="E731" t="s">
        <v>93</v>
      </c>
      <c r="F731" s="1">
        <v>45645</v>
      </c>
      <c r="G731" s="1">
        <v>45651</v>
      </c>
      <c r="H731">
        <v>139</v>
      </c>
      <c r="I731" t="s">
        <v>36</v>
      </c>
      <c r="J731" t="s">
        <v>16</v>
      </c>
      <c r="K731">
        <v>167648</v>
      </c>
    </row>
    <row r="732" spans="1:11" x14ac:dyDescent="0.35">
      <c r="A732" t="s">
        <v>779</v>
      </c>
      <c r="B732">
        <v>8</v>
      </c>
      <c r="C732" t="s">
        <v>12</v>
      </c>
      <c r="D732" t="s">
        <v>24</v>
      </c>
      <c r="E732" t="s">
        <v>90</v>
      </c>
      <c r="F732" s="1">
        <v>45463</v>
      </c>
      <c r="G732" s="1">
        <v>45475</v>
      </c>
      <c r="H732">
        <v>197</v>
      </c>
      <c r="I732" t="s">
        <v>33</v>
      </c>
      <c r="J732" t="s">
        <v>26</v>
      </c>
      <c r="K732">
        <v>167302</v>
      </c>
    </row>
    <row r="733" spans="1:11" x14ac:dyDescent="0.35">
      <c r="A733" t="s">
        <v>780</v>
      </c>
      <c r="B733">
        <v>47</v>
      </c>
      <c r="C733" t="s">
        <v>18</v>
      </c>
      <c r="D733" t="s">
        <v>28</v>
      </c>
      <c r="E733" t="s">
        <v>40</v>
      </c>
      <c r="F733" s="1">
        <v>45312</v>
      </c>
      <c r="G733" s="1">
        <v>45318</v>
      </c>
      <c r="H733">
        <v>35</v>
      </c>
      <c r="I733" t="s">
        <v>36</v>
      </c>
      <c r="J733" t="s">
        <v>16</v>
      </c>
      <c r="K733">
        <v>92799</v>
      </c>
    </row>
    <row r="734" spans="1:11" x14ac:dyDescent="0.35">
      <c r="A734" t="s">
        <v>781</v>
      </c>
      <c r="B734">
        <v>15</v>
      </c>
      <c r="C734" t="s">
        <v>12</v>
      </c>
      <c r="D734" t="s">
        <v>28</v>
      </c>
      <c r="E734" t="s">
        <v>40</v>
      </c>
      <c r="F734" s="1">
        <v>45414</v>
      </c>
      <c r="G734" s="1">
        <v>45423</v>
      </c>
      <c r="H734">
        <v>108</v>
      </c>
      <c r="I734" t="s">
        <v>36</v>
      </c>
      <c r="J734" t="s">
        <v>16</v>
      </c>
      <c r="K734">
        <v>97461</v>
      </c>
    </row>
    <row r="735" spans="1:11" x14ac:dyDescent="0.35">
      <c r="A735" t="s">
        <v>782</v>
      </c>
      <c r="B735">
        <v>88</v>
      </c>
      <c r="C735" t="s">
        <v>12</v>
      </c>
      <c r="D735" t="s">
        <v>38</v>
      </c>
      <c r="E735" t="s">
        <v>52</v>
      </c>
      <c r="F735" s="1">
        <v>45428</v>
      </c>
      <c r="G735" s="1">
        <v>45437</v>
      </c>
      <c r="H735">
        <v>33</v>
      </c>
      <c r="I735" t="s">
        <v>33</v>
      </c>
      <c r="J735" t="s">
        <v>16</v>
      </c>
      <c r="K735">
        <v>123596</v>
      </c>
    </row>
    <row r="736" spans="1:11" x14ac:dyDescent="0.35">
      <c r="A736" t="s">
        <v>783</v>
      </c>
      <c r="B736">
        <v>68</v>
      </c>
      <c r="C736" t="s">
        <v>18</v>
      </c>
      <c r="D736" t="s">
        <v>31</v>
      </c>
      <c r="E736" t="s">
        <v>40</v>
      </c>
      <c r="F736" s="1">
        <v>45540</v>
      </c>
      <c r="G736" s="1">
        <v>45549</v>
      </c>
      <c r="H736">
        <v>273</v>
      </c>
      <c r="I736" t="s">
        <v>33</v>
      </c>
      <c r="J736" t="s">
        <v>26</v>
      </c>
      <c r="K736">
        <v>167778</v>
      </c>
    </row>
    <row r="737" spans="1:11" x14ac:dyDescent="0.35">
      <c r="A737" t="s">
        <v>784</v>
      </c>
      <c r="B737">
        <v>87</v>
      </c>
      <c r="C737" t="s">
        <v>18</v>
      </c>
      <c r="D737" t="s">
        <v>13</v>
      </c>
      <c r="E737" t="s">
        <v>20</v>
      </c>
      <c r="F737" s="1">
        <v>45480</v>
      </c>
      <c r="G737" s="1">
        <v>45493</v>
      </c>
      <c r="H737">
        <v>45</v>
      </c>
      <c r="I737" t="s">
        <v>15</v>
      </c>
      <c r="J737" t="s">
        <v>26</v>
      </c>
      <c r="K737">
        <v>51874</v>
      </c>
    </row>
    <row r="738" spans="1:11" x14ac:dyDescent="0.35">
      <c r="A738" t="s">
        <v>785</v>
      </c>
      <c r="B738">
        <v>14</v>
      </c>
      <c r="C738" t="s">
        <v>18</v>
      </c>
      <c r="D738" t="s">
        <v>38</v>
      </c>
      <c r="E738" t="s">
        <v>90</v>
      </c>
      <c r="F738" s="1">
        <v>45439</v>
      </c>
      <c r="G738" s="1">
        <v>45441</v>
      </c>
      <c r="H738">
        <v>76</v>
      </c>
      <c r="I738" t="s">
        <v>46</v>
      </c>
      <c r="J738" t="s">
        <v>16</v>
      </c>
      <c r="K738">
        <v>58544</v>
      </c>
    </row>
    <row r="739" spans="1:11" x14ac:dyDescent="0.35">
      <c r="A739" t="s">
        <v>786</v>
      </c>
      <c r="B739">
        <v>3</v>
      </c>
      <c r="C739" t="s">
        <v>12</v>
      </c>
      <c r="D739" t="s">
        <v>31</v>
      </c>
      <c r="E739" t="s">
        <v>54</v>
      </c>
      <c r="F739" s="1">
        <v>45558</v>
      </c>
      <c r="G739" s="1">
        <v>45569</v>
      </c>
      <c r="H739">
        <v>278</v>
      </c>
      <c r="I739" t="s">
        <v>36</v>
      </c>
      <c r="J739" t="s">
        <v>26</v>
      </c>
      <c r="K739">
        <v>95885</v>
      </c>
    </row>
    <row r="740" spans="1:11" x14ac:dyDescent="0.35">
      <c r="A740" t="s">
        <v>787</v>
      </c>
      <c r="B740">
        <v>83</v>
      </c>
      <c r="C740" t="s">
        <v>18</v>
      </c>
      <c r="D740" t="s">
        <v>38</v>
      </c>
      <c r="E740" t="s">
        <v>29</v>
      </c>
      <c r="F740" s="1">
        <v>45507</v>
      </c>
      <c r="G740" s="1">
        <v>45515</v>
      </c>
      <c r="H740">
        <v>33</v>
      </c>
      <c r="I740" t="s">
        <v>15</v>
      </c>
      <c r="J740" t="s">
        <v>16</v>
      </c>
      <c r="K740">
        <v>141215</v>
      </c>
    </row>
    <row r="741" spans="1:11" x14ac:dyDescent="0.35">
      <c r="A741" t="s">
        <v>788</v>
      </c>
      <c r="B741">
        <v>53</v>
      </c>
      <c r="C741" t="s">
        <v>12</v>
      </c>
      <c r="D741" t="s">
        <v>38</v>
      </c>
      <c r="E741" t="s">
        <v>43</v>
      </c>
      <c r="F741" s="1">
        <v>45622</v>
      </c>
      <c r="G741" s="1">
        <v>45628</v>
      </c>
      <c r="H741">
        <v>272</v>
      </c>
      <c r="I741" t="s">
        <v>46</v>
      </c>
      <c r="J741" t="s">
        <v>26</v>
      </c>
      <c r="K741">
        <v>84713</v>
      </c>
    </row>
    <row r="742" spans="1:11" x14ac:dyDescent="0.35">
      <c r="A742" t="s">
        <v>789</v>
      </c>
      <c r="B742">
        <v>40</v>
      </c>
      <c r="C742" t="s">
        <v>18</v>
      </c>
      <c r="D742" t="s">
        <v>38</v>
      </c>
      <c r="E742" t="s">
        <v>14</v>
      </c>
      <c r="F742" s="1">
        <v>45582</v>
      </c>
      <c r="G742" s="1">
        <v>45585</v>
      </c>
      <c r="H742">
        <v>248</v>
      </c>
      <c r="I742" t="s">
        <v>33</v>
      </c>
      <c r="J742" t="s">
        <v>16</v>
      </c>
      <c r="K742">
        <v>17404</v>
      </c>
    </row>
    <row r="743" spans="1:11" x14ac:dyDescent="0.35">
      <c r="A743" t="s">
        <v>790</v>
      </c>
      <c r="B743">
        <v>37</v>
      </c>
      <c r="C743" t="s">
        <v>12</v>
      </c>
      <c r="D743" t="s">
        <v>13</v>
      </c>
      <c r="E743" t="s">
        <v>35</v>
      </c>
      <c r="F743" s="1">
        <v>45367</v>
      </c>
      <c r="G743" s="1">
        <v>45373</v>
      </c>
      <c r="H743">
        <v>83</v>
      </c>
      <c r="I743" t="s">
        <v>33</v>
      </c>
      <c r="J743" t="s">
        <v>16</v>
      </c>
      <c r="K743">
        <v>50969</v>
      </c>
    </row>
    <row r="744" spans="1:11" x14ac:dyDescent="0.35">
      <c r="A744" t="s">
        <v>791</v>
      </c>
      <c r="B744">
        <v>86</v>
      </c>
      <c r="C744" t="s">
        <v>18</v>
      </c>
      <c r="D744" t="s">
        <v>13</v>
      </c>
      <c r="E744" t="s">
        <v>14</v>
      </c>
      <c r="F744" s="1">
        <v>45654</v>
      </c>
      <c r="G744" s="1">
        <v>45666</v>
      </c>
      <c r="H744">
        <v>60</v>
      </c>
      <c r="I744" t="s">
        <v>15</v>
      </c>
      <c r="J744" t="s">
        <v>16</v>
      </c>
      <c r="K744">
        <v>155608</v>
      </c>
    </row>
    <row r="745" spans="1:11" x14ac:dyDescent="0.35">
      <c r="A745" t="s">
        <v>792</v>
      </c>
      <c r="B745">
        <v>34</v>
      </c>
      <c r="C745" t="s">
        <v>12</v>
      </c>
      <c r="D745" t="s">
        <v>13</v>
      </c>
      <c r="E745" t="s">
        <v>29</v>
      </c>
      <c r="F745" s="1">
        <v>45356</v>
      </c>
      <c r="G745" s="1">
        <v>45364</v>
      </c>
      <c r="H745">
        <v>288</v>
      </c>
      <c r="I745" t="s">
        <v>15</v>
      </c>
      <c r="J745" t="s">
        <v>16</v>
      </c>
      <c r="K745">
        <v>95137</v>
      </c>
    </row>
    <row r="746" spans="1:11" x14ac:dyDescent="0.35">
      <c r="A746" t="s">
        <v>793</v>
      </c>
      <c r="B746">
        <v>58</v>
      </c>
      <c r="C746" t="s">
        <v>18</v>
      </c>
      <c r="D746" t="s">
        <v>28</v>
      </c>
      <c r="E746" t="s">
        <v>83</v>
      </c>
      <c r="F746" s="1">
        <v>45367</v>
      </c>
      <c r="G746" s="1">
        <v>45373</v>
      </c>
      <c r="H746">
        <v>63</v>
      </c>
      <c r="I746" t="s">
        <v>15</v>
      </c>
      <c r="J746" t="s">
        <v>26</v>
      </c>
      <c r="K746">
        <v>135919</v>
      </c>
    </row>
    <row r="747" spans="1:11" x14ac:dyDescent="0.35">
      <c r="A747" t="s">
        <v>794</v>
      </c>
      <c r="B747">
        <v>41</v>
      </c>
      <c r="C747" t="s">
        <v>18</v>
      </c>
      <c r="D747" t="s">
        <v>24</v>
      </c>
      <c r="E747" t="s">
        <v>25</v>
      </c>
      <c r="F747" s="1">
        <v>45366</v>
      </c>
      <c r="G747" s="1">
        <v>45374</v>
      </c>
      <c r="H747">
        <v>280</v>
      </c>
      <c r="I747" t="s">
        <v>33</v>
      </c>
      <c r="J747" t="s">
        <v>16</v>
      </c>
      <c r="K747">
        <v>129232</v>
      </c>
    </row>
    <row r="748" spans="1:11" x14ac:dyDescent="0.35">
      <c r="A748" t="s">
        <v>795</v>
      </c>
      <c r="B748">
        <v>74</v>
      </c>
      <c r="C748" t="s">
        <v>18</v>
      </c>
      <c r="D748" t="s">
        <v>28</v>
      </c>
      <c r="E748" t="s">
        <v>25</v>
      </c>
      <c r="F748" s="1">
        <v>45440</v>
      </c>
      <c r="G748" s="1">
        <v>45453</v>
      </c>
      <c r="H748">
        <v>227</v>
      </c>
      <c r="I748" t="s">
        <v>33</v>
      </c>
      <c r="J748" t="s">
        <v>16</v>
      </c>
      <c r="K748">
        <v>196795</v>
      </c>
    </row>
    <row r="749" spans="1:11" x14ac:dyDescent="0.35">
      <c r="A749" t="s">
        <v>796</v>
      </c>
      <c r="B749">
        <v>6</v>
      </c>
      <c r="C749" t="s">
        <v>18</v>
      </c>
      <c r="D749" t="s">
        <v>28</v>
      </c>
      <c r="E749" t="s">
        <v>90</v>
      </c>
      <c r="F749" s="1">
        <v>45537</v>
      </c>
      <c r="G749" s="1">
        <v>45552</v>
      </c>
      <c r="H749">
        <v>158</v>
      </c>
      <c r="I749" t="s">
        <v>15</v>
      </c>
      <c r="J749" t="s">
        <v>26</v>
      </c>
      <c r="K749">
        <v>166879</v>
      </c>
    </row>
    <row r="750" spans="1:11" x14ac:dyDescent="0.35">
      <c r="A750" t="s">
        <v>797</v>
      </c>
      <c r="B750">
        <v>46</v>
      </c>
      <c r="C750" t="s">
        <v>18</v>
      </c>
      <c r="D750" t="s">
        <v>38</v>
      </c>
      <c r="E750" t="s">
        <v>52</v>
      </c>
      <c r="F750" s="1">
        <v>45404</v>
      </c>
      <c r="G750" s="1">
        <v>45412</v>
      </c>
      <c r="H750">
        <v>100</v>
      </c>
      <c r="I750" t="s">
        <v>36</v>
      </c>
      <c r="J750" t="s">
        <v>16</v>
      </c>
      <c r="K750">
        <v>56305</v>
      </c>
    </row>
    <row r="751" spans="1:11" x14ac:dyDescent="0.35">
      <c r="A751" t="s">
        <v>798</v>
      </c>
      <c r="B751">
        <v>69</v>
      </c>
      <c r="C751" t="s">
        <v>12</v>
      </c>
      <c r="D751" t="s">
        <v>24</v>
      </c>
      <c r="E751" t="s">
        <v>49</v>
      </c>
      <c r="F751" s="1">
        <v>45303</v>
      </c>
      <c r="G751" s="1">
        <v>45305</v>
      </c>
      <c r="H751">
        <v>202</v>
      </c>
      <c r="I751" t="s">
        <v>36</v>
      </c>
      <c r="J751" t="s">
        <v>26</v>
      </c>
      <c r="K751">
        <v>88298</v>
      </c>
    </row>
    <row r="752" spans="1:11" x14ac:dyDescent="0.35">
      <c r="A752" t="s">
        <v>799</v>
      </c>
      <c r="B752">
        <v>66</v>
      </c>
      <c r="C752" t="s">
        <v>18</v>
      </c>
      <c r="D752" t="s">
        <v>38</v>
      </c>
      <c r="E752" t="s">
        <v>56</v>
      </c>
      <c r="F752" s="1">
        <v>45600</v>
      </c>
      <c r="G752" s="1">
        <v>45610</v>
      </c>
      <c r="H752">
        <v>76</v>
      </c>
      <c r="I752" t="s">
        <v>46</v>
      </c>
      <c r="J752" t="s">
        <v>16</v>
      </c>
      <c r="K752">
        <v>106217</v>
      </c>
    </row>
    <row r="753" spans="1:11" x14ac:dyDescent="0.35">
      <c r="A753" t="s">
        <v>800</v>
      </c>
      <c r="B753">
        <v>37</v>
      </c>
      <c r="C753" t="s">
        <v>12</v>
      </c>
      <c r="D753" t="s">
        <v>38</v>
      </c>
      <c r="E753" t="s">
        <v>83</v>
      </c>
      <c r="F753" s="1">
        <v>45482</v>
      </c>
      <c r="G753" s="1">
        <v>45483</v>
      </c>
      <c r="H753">
        <v>229</v>
      </c>
      <c r="I753" t="s">
        <v>15</v>
      </c>
      <c r="J753" t="s">
        <v>16</v>
      </c>
      <c r="K753">
        <v>195802</v>
      </c>
    </row>
    <row r="754" spans="1:11" x14ac:dyDescent="0.35">
      <c r="A754" t="s">
        <v>801</v>
      </c>
      <c r="B754">
        <v>54</v>
      </c>
      <c r="C754" t="s">
        <v>12</v>
      </c>
      <c r="D754" t="s">
        <v>38</v>
      </c>
      <c r="E754" t="s">
        <v>66</v>
      </c>
      <c r="F754" s="1">
        <v>45519</v>
      </c>
      <c r="G754" s="1">
        <v>45531</v>
      </c>
      <c r="H754">
        <v>218</v>
      </c>
      <c r="I754" t="s">
        <v>46</v>
      </c>
      <c r="J754" t="s">
        <v>16</v>
      </c>
      <c r="K754">
        <v>158925</v>
      </c>
    </row>
    <row r="755" spans="1:11" x14ac:dyDescent="0.35">
      <c r="A755" t="s">
        <v>802</v>
      </c>
      <c r="B755">
        <v>19</v>
      </c>
      <c r="C755" t="s">
        <v>18</v>
      </c>
      <c r="D755" t="s">
        <v>38</v>
      </c>
      <c r="E755" t="s">
        <v>43</v>
      </c>
      <c r="F755" s="1">
        <v>45598</v>
      </c>
      <c r="G755" s="1">
        <v>45600</v>
      </c>
      <c r="H755">
        <v>269</v>
      </c>
      <c r="I755" t="s">
        <v>33</v>
      </c>
      <c r="J755" t="s">
        <v>16</v>
      </c>
      <c r="K755">
        <v>159842</v>
      </c>
    </row>
    <row r="756" spans="1:11" x14ac:dyDescent="0.35">
      <c r="A756" t="s">
        <v>803</v>
      </c>
      <c r="B756">
        <v>1</v>
      </c>
      <c r="C756" t="s">
        <v>12</v>
      </c>
      <c r="D756" t="s">
        <v>38</v>
      </c>
      <c r="E756" t="s">
        <v>93</v>
      </c>
      <c r="F756" s="1">
        <v>45484</v>
      </c>
      <c r="G756" s="1">
        <v>45486</v>
      </c>
      <c r="H756">
        <v>90</v>
      </c>
      <c r="I756" t="s">
        <v>46</v>
      </c>
      <c r="J756" t="s">
        <v>16</v>
      </c>
      <c r="K756">
        <v>57234</v>
      </c>
    </row>
    <row r="757" spans="1:11" x14ac:dyDescent="0.35">
      <c r="A757" t="s">
        <v>804</v>
      </c>
      <c r="B757">
        <v>49</v>
      </c>
      <c r="C757" t="s">
        <v>12</v>
      </c>
      <c r="D757" t="s">
        <v>28</v>
      </c>
      <c r="E757" t="s">
        <v>43</v>
      </c>
      <c r="F757" s="1">
        <v>45387</v>
      </c>
      <c r="G757" s="1">
        <v>45401</v>
      </c>
      <c r="H757">
        <v>22</v>
      </c>
      <c r="I757" t="s">
        <v>33</v>
      </c>
      <c r="J757" t="s">
        <v>16</v>
      </c>
      <c r="K757">
        <v>134525</v>
      </c>
    </row>
    <row r="758" spans="1:11" x14ac:dyDescent="0.35">
      <c r="A758" t="s">
        <v>805</v>
      </c>
      <c r="B758">
        <v>60</v>
      </c>
      <c r="C758" t="s">
        <v>18</v>
      </c>
      <c r="D758" t="s">
        <v>24</v>
      </c>
      <c r="E758" t="s">
        <v>80</v>
      </c>
      <c r="F758" s="1">
        <v>45578</v>
      </c>
      <c r="G758" s="1">
        <v>45590</v>
      </c>
      <c r="H758">
        <v>79</v>
      </c>
      <c r="I758" t="s">
        <v>33</v>
      </c>
      <c r="J758" t="s">
        <v>16</v>
      </c>
      <c r="K758">
        <v>172917</v>
      </c>
    </row>
    <row r="759" spans="1:11" x14ac:dyDescent="0.35">
      <c r="A759" t="s">
        <v>806</v>
      </c>
      <c r="B759">
        <v>16</v>
      </c>
      <c r="C759" t="s">
        <v>12</v>
      </c>
      <c r="D759" t="s">
        <v>31</v>
      </c>
      <c r="E759" t="s">
        <v>66</v>
      </c>
      <c r="F759" s="1">
        <v>45617</v>
      </c>
      <c r="G759" s="1">
        <v>45625</v>
      </c>
      <c r="H759">
        <v>252</v>
      </c>
      <c r="I759" t="s">
        <v>36</v>
      </c>
      <c r="J759" t="s">
        <v>16</v>
      </c>
      <c r="K759">
        <v>36288</v>
      </c>
    </row>
    <row r="760" spans="1:11" x14ac:dyDescent="0.35">
      <c r="A760" t="s">
        <v>807</v>
      </c>
      <c r="B760">
        <v>9</v>
      </c>
      <c r="C760" t="s">
        <v>12</v>
      </c>
      <c r="D760" t="s">
        <v>28</v>
      </c>
      <c r="E760" t="s">
        <v>43</v>
      </c>
      <c r="F760" s="1">
        <v>45433</v>
      </c>
      <c r="G760" s="1">
        <v>45441</v>
      </c>
      <c r="H760">
        <v>290</v>
      </c>
      <c r="I760" t="s">
        <v>46</v>
      </c>
      <c r="J760" t="s">
        <v>16</v>
      </c>
      <c r="K760">
        <v>169625</v>
      </c>
    </row>
    <row r="761" spans="1:11" x14ac:dyDescent="0.35">
      <c r="A761" t="s">
        <v>808</v>
      </c>
      <c r="B761">
        <v>89</v>
      </c>
      <c r="C761" t="s">
        <v>18</v>
      </c>
      <c r="D761" t="s">
        <v>38</v>
      </c>
      <c r="E761" t="s">
        <v>49</v>
      </c>
      <c r="F761" s="1">
        <v>45643</v>
      </c>
      <c r="G761" s="1">
        <v>45651</v>
      </c>
      <c r="H761">
        <v>295</v>
      </c>
      <c r="I761" t="s">
        <v>15</v>
      </c>
      <c r="J761" t="s">
        <v>16</v>
      </c>
      <c r="K761">
        <v>47689</v>
      </c>
    </row>
    <row r="762" spans="1:11" x14ac:dyDescent="0.35">
      <c r="A762" t="s">
        <v>809</v>
      </c>
      <c r="B762">
        <v>19</v>
      </c>
      <c r="C762" t="s">
        <v>12</v>
      </c>
      <c r="D762" t="s">
        <v>31</v>
      </c>
      <c r="E762" t="s">
        <v>40</v>
      </c>
      <c r="F762" s="1">
        <v>45589</v>
      </c>
      <c r="G762" s="1">
        <v>45590</v>
      </c>
      <c r="H762">
        <v>70</v>
      </c>
      <c r="I762" t="s">
        <v>33</v>
      </c>
      <c r="J762" t="s">
        <v>16</v>
      </c>
      <c r="K762">
        <v>18864</v>
      </c>
    </row>
    <row r="763" spans="1:11" x14ac:dyDescent="0.35">
      <c r="A763" t="s">
        <v>810</v>
      </c>
      <c r="B763">
        <v>54</v>
      </c>
      <c r="C763" t="s">
        <v>12</v>
      </c>
      <c r="D763" t="s">
        <v>24</v>
      </c>
      <c r="E763" t="s">
        <v>83</v>
      </c>
      <c r="F763" s="1">
        <v>45431</v>
      </c>
      <c r="G763" s="1">
        <v>45437</v>
      </c>
      <c r="H763">
        <v>150</v>
      </c>
      <c r="I763" t="s">
        <v>15</v>
      </c>
      <c r="J763" t="s">
        <v>16</v>
      </c>
      <c r="K763">
        <v>169634</v>
      </c>
    </row>
    <row r="764" spans="1:11" x14ac:dyDescent="0.35">
      <c r="A764" t="s">
        <v>811</v>
      </c>
      <c r="B764">
        <v>13</v>
      </c>
      <c r="C764" t="s">
        <v>18</v>
      </c>
      <c r="D764" t="s">
        <v>28</v>
      </c>
      <c r="E764" t="s">
        <v>95</v>
      </c>
      <c r="F764" s="1">
        <v>45385</v>
      </c>
      <c r="G764" s="1">
        <v>45398</v>
      </c>
      <c r="H764">
        <v>162</v>
      </c>
      <c r="I764" t="s">
        <v>33</v>
      </c>
      <c r="J764" t="s">
        <v>16</v>
      </c>
      <c r="K764">
        <v>184684</v>
      </c>
    </row>
    <row r="765" spans="1:11" x14ac:dyDescent="0.35">
      <c r="A765" t="s">
        <v>812</v>
      </c>
      <c r="B765">
        <v>47</v>
      </c>
      <c r="C765" t="s">
        <v>18</v>
      </c>
      <c r="D765" t="s">
        <v>28</v>
      </c>
      <c r="E765" t="s">
        <v>58</v>
      </c>
      <c r="F765" s="1">
        <v>45649</v>
      </c>
      <c r="G765" s="1">
        <v>45661</v>
      </c>
      <c r="H765">
        <v>181</v>
      </c>
      <c r="I765" t="s">
        <v>36</v>
      </c>
      <c r="J765" t="s">
        <v>16</v>
      </c>
      <c r="K765">
        <v>40900</v>
      </c>
    </row>
    <row r="766" spans="1:11" x14ac:dyDescent="0.35">
      <c r="A766" t="s">
        <v>813</v>
      </c>
      <c r="B766">
        <v>48</v>
      </c>
      <c r="C766" t="s">
        <v>12</v>
      </c>
      <c r="D766" t="s">
        <v>31</v>
      </c>
      <c r="E766" t="s">
        <v>95</v>
      </c>
      <c r="F766" s="1">
        <v>45557</v>
      </c>
      <c r="G766" s="1">
        <v>45562</v>
      </c>
      <c r="H766">
        <v>84</v>
      </c>
      <c r="I766" t="s">
        <v>15</v>
      </c>
      <c r="J766" t="s">
        <v>16</v>
      </c>
      <c r="K766">
        <v>45515</v>
      </c>
    </row>
    <row r="767" spans="1:11" x14ac:dyDescent="0.35">
      <c r="A767" t="s">
        <v>814</v>
      </c>
      <c r="B767">
        <v>25</v>
      </c>
      <c r="C767" t="s">
        <v>18</v>
      </c>
      <c r="D767" t="s">
        <v>31</v>
      </c>
      <c r="E767" t="s">
        <v>20</v>
      </c>
      <c r="F767" s="1">
        <v>45549</v>
      </c>
      <c r="G767" s="1">
        <v>45553</v>
      </c>
      <c r="H767">
        <v>40</v>
      </c>
      <c r="I767" t="s">
        <v>15</v>
      </c>
      <c r="J767" t="s">
        <v>16</v>
      </c>
      <c r="K767">
        <v>9555</v>
      </c>
    </row>
    <row r="768" spans="1:11" x14ac:dyDescent="0.35">
      <c r="A768" t="s">
        <v>815</v>
      </c>
      <c r="B768">
        <v>40</v>
      </c>
      <c r="C768" t="s">
        <v>12</v>
      </c>
      <c r="D768" t="s">
        <v>13</v>
      </c>
      <c r="E768" t="s">
        <v>20</v>
      </c>
      <c r="F768" s="1">
        <v>45537</v>
      </c>
      <c r="G768" s="1">
        <v>45543</v>
      </c>
      <c r="H768">
        <v>268</v>
      </c>
      <c r="I768" t="s">
        <v>33</v>
      </c>
      <c r="J768" t="s">
        <v>16</v>
      </c>
      <c r="K768">
        <v>191094</v>
      </c>
    </row>
    <row r="769" spans="1:11" x14ac:dyDescent="0.35">
      <c r="A769" t="s">
        <v>816</v>
      </c>
      <c r="B769">
        <v>16</v>
      </c>
      <c r="C769" t="s">
        <v>18</v>
      </c>
      <c r="D769" t="s">
        <v>13</v>
      </c>
      <c r="E769" t="s">
        <v>40</v>
      </c>
      <c r="F769" s="1">
        <v>45447</v>
      </c>
      <c r="G769" s="1">
        <v>45448</v>
      </c>
      <c r="H769">
        <v>73</v>
      </c>
      <c r="I769" t="s">
        <v>36</v>
      </c>
      <c r="J769" t="s">
        <v>16</v>
      </c>
      <c r="K769">
        <v>37858</v>
      </c>
    </row>
    <row r="770" spans="1:11" x14ac:dyDescent="0.35">
      <c r="A770" t="s">
        <v>817</v>
      </c>
      <c r="B770">
        <v>11</v>
      </c>
      <c r="C770" t="s">
        <v>12</v>
      </c>
      <c r="D770" t="s">
        <v>24</v>
      </c>
      <c r="E770" t="s">
        <v>45</v>
      </c>
      <c r="F770" s="1">
        <v>45399</v>
      </c>
      <c r="G770" s="1">
        <v>45402</v>
      </c>
      <c r="H770">
        <v>10</v>
      </c>
      <c r="I770" t="s">
        <v>46</v>
      </c>
      <c r="J770" t="s">
        <v>26</v>
      </c>
      <c r="K770">
        <v>16145</v>
      </c>
    </row>
    <row r="771" spans="1:11" x14ac:dyDescent="0.35">
      <c r="A771" t="s">
        <v>818</v>
      </c>
      <c r="B771">
        <v>5</v>
      </c>
      <c r="C771" t="s">
        <v>18</v>
      </c>
      <c r="D771" t="s">
        <v>31</v>
      </c>
      <c r="E771" t="s">
        <v>90</v>
      </c>
      <c r="F771" s="1">
        <v>45392</v>
      </c>
      <c r="G771" s="1">
        <v>45394</v>
      </c>
      <c r="H771">
        <v>130</v>
      </c>
      <c r="I771" t="s">
        <v>15</v>
      </c>
      <c r="J771" t="s">
        <v>16</v>
      </c>
      <c r="K771">
        <v>84074</v>
      </c>
    </row>
    <row r="772" spans="1:11" x14ac:dyDescent="0.35">
      <c r="A772" t="s">
        <v>819</v>
      </c>
      <c r="B772">
        <v>13</v>
      </c>
      <c r="C772" t="s">
        <v>18</v>
      </c>
      <c r="D772" t="s">
        <v>28</v>
      </c>
      <c r="E772" t="s">
        <v>29</v>
      </c>
      <c r="F772" s="1">
        <v>45633</v>
      </c>
      <c r="G772" s="1">
        <v>45634</v>
      </c>
      <c r="H772">
        <v>103</v>
      </c>
      <c r="I772" t="s">
        <v>36</v>
      </c>
      <c r="J772" t="s">
        <v>16</v>
      </c>
      <c r="K772">
        <v>12670</v>
      </c>
    </row>
    <row r="773" spans="1:11" x14ac:dyDescent="0.35">
      <c r="A773" t="s">
        <v>820</v>
      </c>
      <c r="B773">
        <v>36</v>
      </c>
      <c r="C773" t="s">
        <v>12</v>
      </c>
      <c r="D773" t="s">
        <v>38</v>
      </c>
      <c r="E773" t="s">
        <v>66</v>
      </c>
      <c r="F773" s="1">
        <v>45338</v>
      </c>
      <c r="G773" s="1">
        <v>45341</v>
      </c>
      <c r="H773">
        <v>257</v>
      </c>
      <c r="I773" t="s">
        <v>36</v>
      </c>
      <c r="J773" t="s">
        <v>16</v>
      </c>
      <c r="K773">
        <v>30979</v>
      </c>
    </row>
    <row r="774" spans="1:11" x14ac:dyDescent="0.35">
      <c r="A774" t="s">
        <v>821</v>
      </c>
      <c r="B774">
        <v>2</v>
      </c>
      <c r="C774" t="s">
        <v>18</v>
      </c>
      <c r="D774" t="s">
        <v>13</v>
      </c>
      <c r="E774" t="s">
        <v>83</v>
      </c>
      <c r="F774" s="1">
        <v>45588</v>
      </c>
      <c r="G774" s="1">
        <v>45601</v>
      </c>
      <c r="H774">
        <v>88</v>
      </c>
      <c r="I774" t="s">
        <v>15</v>
      </c>
      <c r="J774" t="s">
        <v>16</v>
      </c>
      <c r="K774">
        <v>61102</v>
      </c>
    </row>
    <row r="775" spans="1:11" x14ac:dyDescent="0.35">
      <c r="A775" t="s">
        <v>822</v>
      </c>
      <c r="B775">
        <v>61</v>
      </c>
      <c r="C775" t="s">
        <v>12</v>
      </c>
      <c r="D775" t="s">
        <v>28</v>
      </c>
      <c r="E775" t="s">
        <v>66</v>
      </c>
      <c r="F775" s="1">
        <v>45550</v>
      </c>
      <c r="G775" s="1">
        <v>45564</v>
      </c>
      <c r="H775">
        <v>226</v>
      </c>
      <c r="I775" t="s">
        <v>15</v>
      </c>
      <c r="J775" t="s">
        <v>16</v>
      </c>
      <c r="K775">
        <v>98014</v>
      </c>
    </row>
    <row r="776" spans="1:11" x14ac:dyDescent="0.35">
      <c r="A776" t="s">
        <v>823</v>
      </c>
      <c r="B776">
        <v>28</v>
      </c>
      <c r="C776" t="s">
        <v>18</v>
      </c>
      <c r="D776" t="s">
        <v>31</v>
      </c>
      <c r="E776" t="s">
        <v>90</v>
      </c>
      <c r="F776" s="1">
        <v>45486</v>
      </c>
      <c r="G776" s="1">
        <v>45493</v>
      </c>
      <c r="H776">
        <v>161</v>
      </c>
      <c r="I776" t="s">
        <v>15</v>
      </c>
      <c r="J776" t="s">
        <v>26</v>
      </c>
      <c r="K776">
        <v>33918</v>
      </c>
    </row>
    <row r="777" spans="1:11" x14ac:dyDescent="0.35">
      <c r="A777" t="s">
        <v>824</v>
      </c>
      <c r="B777">
        <v>64</v>
      </c>
      <c r="C777" t="s">
        <v>12</v>
      </c>
      <c r="D777" t="s">
        <v>38</v>
      </c>
      <c r="E777" t="s">
        <v>61</v>
      </c>
      <c r="F777" s="1">
        <v>45558</v>
      </c>
      <c r="G777" s="1">
        <v>45561</v>
      </c>
      <c r="H777">
        <v>21</v>
      </c>
      <c r="I777" t="s">
        <v>15</v>
      </c>
      <c r="J777" t="s">
        <v>16</v>
      </c>
      <c r="K777">
        <v>134423</v>
      </c>
    </row>
    <row r="778" spans="1:11" x14ac:dyDescent="0.35">
      <c r="A778" t="s">
        <v>825</v>
      </c>
      <c r="B778">
        <v>37</v>
      </c>
      <c r="C778" t="s">
        <v>12</v>
      </c>
      <c r="D778" t="s">
        <v>28</v>
      </c>
      <c r="E778" t="s">
        <v>25</v>
      </c>
      <c r="F778" s="1">
        <v>45351</v>
      </c>
      <c r="G778" s="1">
        <v>45358</v>
      </c>
      <c r="H778">
        <v>160</v>
      </c>
      <c r="I778" t="s">
        <v>46</v>
      </c>
      <c r="J778" t="s">
        <v>16</v>
      </c>
      <c r="K778">
        <v>150205</v>
      </c>
    </row>
    <row r="779" spans="1:11" x14ac:dyDescent="0.35">
      <c r="A779" t="s">
        <v>826</v>
      </c>
      <c r="B779">
        <v>55</v>
      </c>
      <c r="C779" t="s">
        <v>18</v>
      </c>
      <c r="D779" t="s">
        <v>24</v>
      </c>
      <c r="E779" t="s">
        <v>43</v>
      </c>
      <c r="F779" s="1">
        <v>45500</v>
      </c>
      <c r="G779" s="1">
        <v>45505</v>
      </c>
      <c r="H779">
        <v>189</v>
      </c>
      <c r="I779" t="s">
        <v>36</v>
      </c>
      <c r="J779" t="s">
        <v>16</v>
      </c>
      <c r="K779">
        <v>181726</v>
      </c>
    </row>
    <row r="780" spans="1:11" x14ac:dyDescent="0.35">
      <c r="A780" t="s">
        <v>827</v>
      </c>
      <c r="B780">
        <v>14</v>
      </c>
      <c r="C780" t="s">
        <v>12</v>
      </c>
      <c r="D780" t="s">
        <v>31</v>
      </c>
      <c r="E780" t="s">
        <v>49</v>
      </c>
      <c r="F780" s="1">
        <v>45543</v>
      </c>
      <c r="G780" s="1">
        <v>45554</v>
      </c>
      <c r="H780">
        <v>44</v>
      </c>
      <c r="I780" t="s">
        <v>15</v>
      </c>
      <c r="J780" t="s">
        <v>16</v>
      </c>
      <c r="K780">
        <v>108497</v>
      </c>
    </row>
    <row r="781" spans="1:11" x14ac:dyDescent="0.35">
      <c r="A781" t="s">
        <v>828</v>
      </c>
      <c r="B781">
        <v>76</v>
      </c>
      <c r="C781" t="s">
        <v>18</v>
      </c>
      <c r="D781" t="s">
        <v>13</v>
      </c>
      <c r="E781" t="s">
        <v>45</v>
      </c>
      <c r="F781" s="1">
        <v>45497</v>
      </c>
      <c r="G781" s="1">
        <v>45509</v>
      </c>
      <c r="H781">
        <v>187</v>
      </c>
      <c r="I781" t="s">
        <v>36</v>
      </c>
      <c r="J781" t="s">
        <v>16</v>
      </c>
      <c r="K781">
        <v>57497</v>
      </c>
    </row>
    <row r="782" spans="1:11" x14ac:dyDescent="0.35">
      <c r="A782" t="s">
        <v>829</v>
      </c>
      <c r="B782">
        <v>52</v>
      </c>
      <c r="C782" t="s">
        <v>18</v>
      </c>
      <c r="D782" t="s">
        <v>13</v>
      </c>
      <c r="E782" t="s">
        <v>93</v>
      </c>
      <c r="F782" s="1">
        <v>45596</v>
      </c>
      <c r="G782" s="1">
        <v>45610</v>
      </c>
      <c r="H782">
        <v>256</v>
      </c>
      <c r="I782" t="s">
        <v>33</v>
      </c>
      <c r="J782" t="s">
        <v>16</v>
      </c>
      <c r="K782">
        <v>173776</v>
      </c>
    </row>
    <row r="783" spans="1:11" x14ac:dyDescent="0.35">
      <c r="A783" t="s">
        <v>830</v>
      </c>
      <c r="B783">
        <v>61</v>
      </c>
      <c r="C783" t="s">
        <v>12</v>
      </c>
      <c r="D783" t="s">
        <v>31</v>
      </c>
      <c r="E783" t="s">
        <v>49</v>
      </c>
      <c r="F783" s="1">
        <v>45496</v>
      </c>
      <c r="G783" s="1">
        <v>45502</v>
      </c>
      <c r="H783">
        <v>143</v>
      </c>
      <c r="I783" t="s">
        <v>36</v>
      </c>
      <c r="J783" t="s">
        <v>26</v>
      </c>
      <c r="K783">
        <v>33321</v>
      </c>
    </row>
    <row r="784" spans="1:11" x14ac:dyDescent="0.35">
      <c r="A784" t="s">
        <v>831</v>
      </c>
      <c r="B784">
        <v>63</v>
      </c>
      <c r="C784" t="s">
        <v>12</v>
      </c>
      <c r="D784" t="s">
        <v>13</v>
      </c>
      <c r="E784" t="s">
        <v>68</v>
      </c>
      <c r="F784" s="1">
        <v>45354</v>
      </c>
      <c r="G784" s="1">
        <v>45359</v>
      </c>
      <c r="H784">
        <v>69</v>
      </c>
      <c r="I784" t="s">
        <v>15</v>
      </c>
      <c r="J784" t="s">
        <v>16</v>
      </c>
      <c r="K784">
        <v>198409</v>
      </c>
    </row>
    <row r="785" spans="1:11" x14ac:dyDescent="0.35">
      <c r="A785" t="s">
        <v>832</v>
      </c>
      <c r="B785">
        <v>9</v>
      </c>
      <c r="C785" t="s">
        <v>12</v>
      </c>
      <c r="D785" t="s">
        <v>24</v>
      </c>
      <c r="E785" t="s">
        <v>66</v>
      </c>
      <c r="F785" s="1">
        <v>45319</v>
      </c>
      <c r="G785" s="1">
        <v>45333</v>
      </c>
      <c r="H785">
        <v>196</v>
      </c>
      <c r="I785" t="s">
        <v>33</v>
      </c>
      <c r="J785" t="s">
        <v>16</v>
      </c>
      <c r="K785">
        <v>84364</v>
      </c>
    </row>
    <row r="786" spans="1:11" x14ac:dyDescent="0.35">
      <c r="A786" t="s">
        <v>833</v>
      </c>
      <c r="B786">
        <v>13</v>
      </c>
      <c r="C786" t="s">
        <v>18</v>
      </c>
      <c r="D786" t="s">
        <v>28</v>
      </c>
      <c r="E786" t="s">
        <v>22</v>
      </c>
      <c r="F786" s="1">
        <v>45610</v>
      </c>
      <c r="G786" s="1">
        <v>45620</v>
      </c>
      <c r="H786">
        <v>253</v>
      </c>
      <c r="I786" t="s">
        <v>46</v>
      </c>
      <c r="J786" t="s">
        <v>16</v>
      </c>
      <c r="K786">
        <v>81955</v>
      </c>
    </row>
    <row r="787" spans="1:11" x14ac:dyDescent="0.35">
      <c r="A787" t="s">
        <v>834</v>
      </c>
      <c r="B787">
        <v>63</v>
      </c>
      <c r="C787" t="s">
        <v>12</v>
      </c>
      <c r="D787" t="s">
        <v>28</v>
      </c>
      <c r="E787" t="s">
        <v>95</v>
      </c>
      <c r="F787" s="1">
        <v>45630</v>
      </c>
      <c r="G787" s="1">
        <v>45638</v>
      </c>
      <c r="H787">
        <v>277</v>
      </c>
      <c r="I787" t="s">
        <v>15</v>
      </c>
      <c r="J787" t="s">
        <v>16</v>
      </c>
      <c r="K787">
        <v>117828</v>
      </c>
    </row>
    <row r="788" spans="1:11" x14ac:dyDescent="0.35">
      <c r="A788" t="s">
        <v>835</v>
      </c>
      <c r="B788">
        <v>58</v>
      </c>
      <c r="C788" t="s">
        <v>12</v>
      </c>
      <c r="D788" t="s">
        <v>31</v>
      </c>
      <c r="E788" t="s">
        <v>20</v>
      </c>
      <c r="F788" s="1">
        <v>45352</v>
      </c>
      <c r="G788" s="1">
        <v>45359</v>
      </c>
      <c r="H788">
        <v>236</v>
      </c>
      <c r="I788" t="s">
        <v>15</v>
      </c>
      <c r="J788" t="s">
        <v>16</v>
      </c>
      <c r="K788">
        <v>51365</v>
      </c>
    </row>
    <row r="789" spans="1:11" x14ac:dyDescent="0.35">
      <c r="A789" t="s">
        <v>836</v>
      </c>
      <c r="B789">
        <v>39</v>
      </c>
      <c r="C789" t="s">
        <v>18</v>
      </c>
      <c r="D789" t="s">
        <v>31</v>
      </c>
      <c r="E789" t="s">
        <v>93</v>
      </c>
      <c r="F789" s="1">
        <v>45577</v>
      </c>
      <c r="G789" s="1">
        <v>45588</v>
      </c>
      <c r="H789">
        <v>69</v>
      </c>
      <c r="I789" t="s">
        <v>33</v>
      </c>
      <c r="J789" t="s">
        <v>26</v>
      </c>
      <c r="K789">
        <v>132783</v>
      </c>
    </row>
    <row r="790" spans="1:11" x14ac:dyDescent="0.35">
      <c r="A790" t="s">
        <v>837</v>
      </c>
      <c r="B790">
        <v>87</v>
      </c>
      <c r="C790" t="s">
        <v>12</v>
      </c>
      <c r="D790" t="s">
        <v>28</v>
      </c>
      <c r="E790" t="s">
        <v>54</v>
      </c>
      <c r="F790" s="1">
        <v>45348</v>
      </c>
      <c r="G790" s="1">
        <v>45358</v>
      </c>
      <c r="H790">
        <v>277</v>
      </c>
      <c r="I790" t="s">
        <v>46</v>
      </c>
      <c r="J790" t="s">
        <v>26</v>
      </c>
      <c r="K790">
        <v>152391</v>
      </c>
    </row>
    <row r="791" spans="1:11" x14ac:dyDescent="0.35">
      <c r="A791" t="s">
        <v>838</v>
      </c>
      <c r="B791">
        <v>8</v>
      </c>
      <c r="C791" t="s">
        <v>12</v>
      </c>
      <c r="D791" t="s">
        <v>38</v>
      </c>
      <c r="E791" t="s">
        <v>43</v>
      </c>
      <c r="F791" s="1">
        <v>45372</v>
      </c>
      <c r="G791" s="1">
        <v>45381</v>
      </c>
      <c r="H791">
        <v>194</v>
      </c>
      <c r="I791" t="s">
        <v>33</v>
      </c>
      <c r="J791" t="s">
        <v>16</v>
      </c>
      <c r="K791">
        <v>89012</v>
      </c>
    </row>
    <row r="792" spans="1:11" x14ac:dyDescent="0.35">
      <c r="A792" t="s">
        <v>839</v>
      </c>
      <c r="B792">
        <v>76</v>
      </c>
      <c r="C792" t="s">
        <v>18</v>
      </c>
      <c r="D792" t="s">
        <v>13</v>
      </c>
      <c r="E792" t="s">
        <v>63</v>
      </c>
      <c r="F792" s="1">
        <v>45323</v>
      </c>
      <c r="G792" s="1">
        <v>45324</v>
      </c>
      <c r="H792">
        <v>179</v>
      </c>
      <c r="I792" t="s">
        <v>15</v>
      </c>
      <c r="J792" t="s">
        <v>16</v>
      </c>
      <c r="K792">
        <v>104765</v>
      </c>
    </row>
    <row r="793" spans="1:11" x14ac:dyDescent="0.35">
      <c r="A793" t="s">
        <v>840</v>
      </c>
      <c r="B793">
        <v>45</v>
      </c>
      <c r="C793" t="s">
        <v>12</v>
      </c>
      <c r="D793" t="s">
        <v>31</v>
      </c>
      <c r="E793" t="s">
        <v>63</v>
      </c>
      <c r="F793" s="1">
        <v>45341</v>
      </c>
      <c r="G793" s="1">
        <v>45348</v>
      </c>
      <c r="H793">
        <v>29</v>
      </c>
      <c r="I793" t="s">
        <v>36</v>
      </c>
      <c r="J793" t="s">
        <v>16</v>
      </c>
      <c r="K793">
        <v>66504</v>
      </c>
    </row>
    <row r="794" spans="1:11" x14ac:dyDescent="0.35">
      <c r="A794" t="s">
        <v>841</v>
      </c>
      <c r="B794">
        <v>76</v>
      </c>
      <c r="C794" t="s">
        <v>18</v>
      </c>
      <c r="D794" t="s">
        <v>24</v>
      </c>
      <c r="E794" t="s">
        <v>83</v>
      </c>
      <c r="F794" s="1">
        <v>45623</v>
      </c>
      <c r="G794" s="1">
        <v>45628</v>
      </c>
      <c r="H794">
        <v>59</v>
      </c>
      <c r="I794" t="s">
        <v>33</v>
      </c>
      <c r="J794" t="s">
        <v>16</v>
      </c>
      <c r="K794">
        <v>10167</v>
      </c>
    </row>
    <row r="795" spans="1:11" x14ac:dyDescent="0.35">
      <c r="A795" t="s">
        <v>842</v>
      </c>
      <c r="B795">
        <v>5</v>
      </c>
      <c r="C795" t="s">
        <v>12</v>
      </c>
      <c r="D795" t="s">
        <v>31</v>
      </c>
      <c r="E795" t="s">
        <v>58</v>
      </c>
      <c r="F795" s="1">
        <v>45567</v>
      </c>
      <c r="G795" s="1">
        <v>45573</v>
      </c>
      <c r="H795">
        <v>264</v>
      </c>
      <c r="I795" t="s">
        <v>46</v>
      </c>
      <c r="J795" t="s">
        <v>16</v>
      </c>
      <c r="K795">
        <v>10348</v>
      </c>
    </row>
    <row r="796" spans="1:11" x14ac:dyDescent="0.35">
      <c r="A796" t="s">
        <v>843</v>
      </c>
      <c r="B796">
        <v>76</v>
      </c>
      <c r="C796" t="s">
        <v>18</v>
      </c>
      <c r="D796" t="s">
        <v>38</v>
      </c>
      <c r="E796" t="s">
        <v>56</v>
      </c>
      <c r="F796" s="1">
        <v>45648</v>
      </c>
      <c r="G796" s="1">
        <v>45656</v>
      </c>
      <c r="H796">
        <v>293</v>
      </c>
      <c r="I796" t="s">
        <v>46</v>
      </c>
      <c r="J796" t="s">
        <v>16</v>
      </c>
      <c r="K796">
        <v>155087</v>
      </c>
    </row>
    <row r="797" spans="1:11" x14ac:dyDescent="0.35">
      <c r="A797" t="s">
        <v>844</v>
      </c>
      <c r="B797">
        <v>63</v>
      </c>
      <c r="C797" t="s">
        <v>18</v>
      </c>
      <c r="D797" t="s">
        <v>13</v>
      </c>
      <c r="E797" t="s">
        <v>95</v>
      </c>
      <c r="F797" s="1">
        <v>45342</v>
      </c>
      <c r="G797" s="1">
        <v>45355</v>
      </c>
      <c r="H797">
        <v>255</v>
      </c>
      <c r="I797" t="s">
        <v>33</v>
      </c>
      <c r="J797" t="s">
        <v>16</v>
      </c>
      <c r="K797">
        <v>166173</v>
      </c>
    </row>
    <row r="798" spans="1:11" x14ac:dyDescent="0.35">
      <c r="A798" t="s">
        <v>845</v>
      </c>
      <c r="B798">
        <v>56</v>
      </c>
      <c r="C798" t="s">
        <v>18</v>
      </c>
      <c r="D798" t="s">
        <v>31</v>
      </c>
      <c r="E798" t="s">
        <v>68</v>
      </c>
      <c r="F798" s="1">
        <v>45445</v>
      </c>
      <c r="G798" s="1">
        <v>45451</v>
      </c>
      <c r="H798">
        <v>39</v>
      </c>
      <c r="I798" t="s">
        <v>36</v>
      </c>
      <c r="J798" t="s">
        <v>16</v>
      </c>
      <c r="K798">
        <v>74508</v>
      </c>
    </row>
    <row r="799" spans="1:11" x14ac:dyDescent="0.35">
      <c r="A799" t="s">
        <v>846</v>
      </c>
      <c r="B799">
        <v>74</v>
      </c>
      <c r="C799" t="s">
        <v>12</v>
      </c>
      <c r="D799" t="s">
        <v>13</v>
      </c>
      <c r="E799" t="s">
        <v>35</v>
      </c>
      <c r="F799" s="1">
        <v>45316</v>
      </c>
      <c r="G799" s="1">
        <v>45321</v>
      </c>
      <c r="H799">
        <v>48</v>
      </c>
      <c r="I799" t="s">
        <v>15</v>
      </c>
      <c r="J799" t="s">
        <v>16</v>
      </c>
      <c r="K799">
        <v>76660</v>
      </c>
    </row>
    <row r="800" spans="1:11" x14ac:dyDescent="0.35">
      <c r="A800" t="s">
        <v>847</v>
      </c>
      <c r="B800">
        <v>68</v>
      </c>
      <c r="C800" t="s">
        <v>12</v>
      </c>
      <c r="D800" t="s">
        <v>31</v>
      </c>
      <c r="E800" t="s">
        <v>29</v>
      </c>
      <c r="F800" s="1">
        <v>45326</v>
      </c>
      <c r="G800" s="1">
        <v>45336</v>
      </c>
      <c r="H800">
        <v>178</v>
      </c>
      <c r="I800" t="s">
        <v>15</v>
      </c>
      <c r="J800" t="s">
        <v>16</v>
      </c>
      <c r="K800">
        <v>137288</v>
      </c>
    </row>
    <row r="801" spans="1:11" x14ac:dyDescent="0.35">
      <c r="A801" t="s">
        <v>848</v>
      </c>
      <c r="B801">
        <v>85</v>
      </c>
      <c r="C801" t="s">
        <v>12</v>
      </c>
      <c r="D801" t="s">
        <v>13</v>
      </c>
      <c r="E801" t="s">
        <v>93</v>
      </c>
      <c r="F801" s="1">
        <v>45445</v>
      </c>
      <c r="G801" s="1">
        <v>45452</v>
      </c>
      <c r="H801">
        <v>206</v>
      </c>
      <c r="I801" t="s">
        <v>33</v>
      </c>
      <c r="J801" t="s">
        <v>26</v>
      </c>
      <c r="K801">
        <v>181045</v>
      </c>
    </row>
    <row r="802" spans="1:11" x14ac:dyDescent="0.35">
      <c r="A802" t="s">
        <v>849</v>
      </c>
      <c r="B802">
        <v>3</v>
      </c>
      <c r="C802" t="s">
        <v>18</v>
      </c>
      <c r="D802" t="s">
        <v>28</v>
      </c>
      <c r="E802" t="s">
        <v>43</v>
      </c>
      <c r="F802" s="1">
        <v>45572</v>
      </c>
      <c r="G802" s="1">
        <v>45575</v>
      </c>
      <c r="H802">
        <v>110</v>
      </c>
      <c r="I802" t="s">
        <v>46</v>
      </c>
      <c r="J802" t="s">
        <v>16</v>
      </c>
      <c r="K802">
        <v>172228</v>
      </c>
    </row>
    <row r="803" spans="1:11" x14ac:dyDescent="0.35">
      <c r="A803" t="s">
        <v>850</v>
      </c>
      <c r="B803">
        <v>79</v>
      </c>
      <c r="C803" t="s">
        <v>12</v>
      </c>
      <c r="D803" t="s">
        <v>28</v>
      </c>
      <c r="E803" t="s">
        <v>25</v>
      </c>
      <c r="F803" s="1">
        <v>45564</v>
      </c>
      <c r="G803" s="1">
        <v>45577</v>
      </c>
      <c r="H803">
        <v>31</v>
      </c>
      <c r="I803" t="s">
        <v>36</v>
      </c>
      <c r="J803" t="s">
        <v>16</v>
      </c>
      <c r="K803">
        <v>126238</v>
      </c>
    </row>
    <row r="804" spans="1:11" x14ac:dyDescent="0.35">
      <c r="A804" t="s">
        <v>851</v>
      </c>
      <c r="B804">
        <v>20</v>
      </c>
      <c r="C804" t="s">
        <v>12</v>
      </c>
      <c r="D804" t="s">
        <v>31</v>
      </c>
      <c r="E804" t="s">
        <v>93</v>
      </c>
      <c r="F804" s="1">
        <v>45367</v>
      </c>
      <c r="G804" s="1">
        <v>45371</v>
      </c>
      <c r="H804">
        <v>164</v>
      </c>
      <c r="I804" t="s">
        <v>15</v>
      </c>
      <c r="J804" t="s">
        <v>16</v>
      </c>
      <c r="K804">
        <v>113118</v>
      </c>
    </row>
    <row r="805" spans="1:11" x14ac:dyDescent="0.35">
      <c r="A805" t="s">
        <v>852</v>
      </c>
      <c r="B805">
        <v>37</v>
      </c>
      <c r="C805" t="s">
        <v>18</v>
      </c>
      <c r="D805" t="s">
        <v>38</v>
      </c>
      <c r="E805" t="s">
        <v>54</v>
      </c>
      <c r="F805" s="1">
        <v>45428</v>
      </c>
      <c r="G805" s="1">
        <v>45442</v>
      </c>
      <c r="H805">
        <v>121</v>
      </c>
      <c r="I805" t="s">
        <v>46</v>
      </c>
      <c r="J805" t="s">
        <v>16</v>
      </c>
      <c r="K805">
        <v>34768</v>
      </c>
    </row>
    <row r="806" spans="1:11" x14ac:dyDescent="0.35">
      <c r="A806" t="s">
        <v>853</v>
      </c>
      <c r="B806">
        <v>4</v>
      </c>
      <c r="C806" t="s">
        <v>18</v>
      </c>
      <c r="D806" t="s">
        <v>38</v>
      </c>
      <c r="E806" t="s">
        <v>20</v>
      </c>
      <c r="F806" s="1">
        <v>45368</v>
      </c>
      <c r="G806" s="1">
        <v>45372</v>
      </c>
      <c r="H806">
        <v>249</v>
      </c>
      <c r="I806" t="s">
        <v>46</v>
      </c>
      <c r="J806" t="s">
        <v>26</v>
      </c>
      <c r="K806">
        <v>174586</v>
      </c>
    </row>
    <row r="807" spans="1:11" x14ac:dyDescent="0.35">
      <c r="A807" t="s">
        <v>854</v>
      </c>
      <c r="B807">
        <v>21</v>
      </c>
      <c r="C807" t="s">
        <v>12</v>
      </c>
      <c r="D807" t="s">
        <v>13</v>
      </c>
      <c r="E807" t="s">
        <v>80</v>
      </c>
      <c r="F807" s="1">
        <v>45310</v>
      </c>
      <c r="G807" s="1">
        <v>45314</v>
      </c>
      <c r="H807">
        <v>133</v>
      </c>
      <c r="I807" t="s">
        <v>33</v>
      </c>
      <c r="J807" t="s">
        <v>16</v>
      </c>
      <c r="K807">
        <v>173897</v>
      </c>
    </row>
    <row r="808" spans="1:11" x14ac:dyDescent="0.35">
      <c r="A808" t="s">
        <v>855</v>
      </c>
      <c r="B808">
        <v>63</v>
      </c>
      <c r="C808" t="s">
        <v>18</v>
      </c>
      <c r="D808" t="s">
        <v>24</v>
      </c>
      <c r="E808" t="s">
        <v>45</v>
      </c>
      <c r="F808" s="1">
        <v>45313</v>
      </c>
      <c r="G808" s="1">
        <v>45325</v>
      </c>
      <c r="H808">
        <v>161</v>
      </c>
      <c r="I808" t="s">
        <v>33</v>
      </c>
      <c r="J808" t="s">
        <v>16</v>
      </c>
      <c r="K808">
        <v>111694</v>
      </c>
    </row>
    <row r="809" spans="1:11" x14ac:dyDescent="0.35">
      <c r="A809" t="s">
        <v>856</v>
      </c>
      <c r="B809">
        <v>85</v>
      </c>
      <c r="C809" t="s">
        <v>18</v>
      </c>
      <c r="D809" t="s">
        <v>31</v>
      </c>
      <c r="E809" t="s">
        <v>25</v>
      </c>
      <c r="F809" s="1">
        <v>45478</v>
      </c>
      <c r="G809" s="1">
        <v>45489</v>
      </c>
      <c r="H809">
        <v>72</v>
      </c>
      <c r="I809" t="s">
        <v>36</v>
      </c>
      <c r="J809" t="s">
        <v>16</v>
      </c>
      <c r="K809">
        <v>154677</v>
      </c>
    </row>
    <row r="810" spans="1:11" x14ac:dyDescent="0.35">
      <c r="A810" t="s">
        <v>857</v>
      </c>
      <c r="B810">
        <v>16</v>
      </c>
      <c r="C810" t="s">
        <v>12</v>
      </c>
      <c r="D810" t="s">
        <v>31</v>
      </c>
      <c r="E810" t="s">
        <v>45</v>
      </c>
      <c r="F810" s="1">
        <v>45548</v>
      </c>
      <c r="G810" s="1">
        <v>45563</v>
      </c>
      <c r="H810">
        <v>122</v>
      </c>
      <c r="I810" t="s">
        <v>15</v>
      </c>
      <c r="J810" t="s">
        <v>16</v>
      </c>
      <c r="K810">
        <v>91320</v>
      </c>
    </row>
    <row r="811" spans="1:11" x14ac:dyDescent="0.35">
      <c r="A811" t="s">
        <v>858</v>
      </c>
      <c r="B811">
        <v>50</v>
      </c>
      <c r="C811" t="s">
        <v>18</v>
      </c>
      <c r="D811" t="s">
        <v>31</v>
      </c>
      <c r="E811" t="s">
        <v>29</v>
      </c>
      <c r="F811" s="1">
        <v>45591</v>
      </c>
      <c r="G811" s="1">
        <v>45603</v>
      </c>
      <c r="H811">
        <v>74</v>
      </c>
      <c r="I811" t="s">
        <v>15</v>
      </c>
      <c r="J811" t="s">
        <v>16</v>
      </c>
      <c r="K811">
        <v>61127</v>
      </c>
    </row>
    <row r="812" spans="1:11" x14ac:dyDescent="0.35">
      <c r="A812" t="s">
        <v>859</v>
      </c>
      <c r="B812">
        <v>53</v>
      </c>
      <c r="C812" t="s">
        <v>12</v>
      </c>
      <c r="D812" t="s">
        <v>28</v>
      </c>
      <c r="E812" t="s">
        <v>52</v>
      </c>
      <c r="F812" s="1">
        <v>45432</v>
      </c>
      <c r="G812" s="1">
        <v>45440</v>
      </c>
      <c r="H812">
        <v>252</v>
      </c>
      <c r="I812" t="s">
        <v>33</v>
      </c>
      <c r="J812" t="s">
        <v>16</v>
      </c>
      <c r="K812">
        <v>87965</v>
      </c>
    </row>
    <row r="813" spans="1:11" x14ac:dyDescent="0.35">
      <c r="A813" t="s">
        <v>860</v>
      </c>
      <c r="B813">
        <v>61</v>
      </c>
      <c r="C813" t="s">
        <v>18</v>
      </c>
      <c r="D813" t="s">
        <v>38</v>
      </c>
      <c r="E813" t="s">
        <v>106</v>
      </c>
      <c r="F813" s="1">
        <v>45571</v>
      </c>
      <c r="G813" s="1">
        <v>45578</v>
      </c>
      <c r="H813">
        <v>186</v>
      </c>
      <c r="I813" t="s">
        <v>46</v>
      </c>
      <c r="J813" t="s">
        <v>16</v>
      </c>
      <c r="K813">
        <v>85785</v>
      </c>
    </row>
    <row r="814" spans="1:11" x14ac:dyDescent="0.35">
      <c r="A814" t="s">
        <v>861</v>
      </c>
      <c r="B814">
        <v>78</v>
      </c>
      <c r="C814" t="s">
        <v>18</v>
      </c>
      <c r="D814" t="s">
        <v>24</v>
      </c>
      <c r="E814" t="s">
        <v>40</v>
      </c>
      <c r="F814" s="1">
        <v>45302</v>
      </c>
      <c r="G814" s="1">
        <v>45313</v>
      </c>
      <c r="H814">
        <v>123</v>
      </c>
      <c r="I814" t="s">
        <v>33</v>
      </c>
      <c r="J814" t="s">
        <v>26</v>
      </c>
      <c r="K814">
        <v>86072</v>
      </c>
    </row>
    <row r="815" spans="1:11" x14ac:dyDescent="0.35">
      <c r="A815" t="s">
        <v>862</v>
      </c>
      <c r="B815">
        <v>47</v>
      </c>
      <c r="C815" t="s">
        <v>18</v>
      </c>
      <c r="D815" t="s">
        <v>28</v>
      </c>
      <c r="E815" t="s">
        <v>14</v>
      </c>
      <c r="F815" s="1">
        <v>45619</v>
      </c>
      <c r="G815" s="1">
        <v>45631</v>
      </c>
      <c r="H815">
        <v>227</v>
      </c>
      <c r="I815" t="s">
        <v>46</v>
      </c>
      <c r="J815" t="s">
        <v>16</v>
      </c>
      <c r="K815">
        <v>108016</v>
      </c>
    </row>
    <row r="816" spans="1:11" x14ac:dyDescent="0.35">
      <c r="A816" t="s">
        <v>863</v>
      </c>
      <c r="B816">
        <v>12</v>
      </c>
      <c r="C816" t="s">
        <v>18</v>
      </c>
      <c r="D816" t="s">
        <v>38</v>
      </c>
      <c r="E816" t="s">
        <v>29</v>
      </c>
      <c r="F816" s="1">
        <v>45422</v>
      </c>
      <c r="G816" s="1">
        <v>45427</v>
      </c>
      <c r="H816">
        <v>83</v>
      </c>
      <c r="I816" t="s">
        <v>46</v>
      </c>
      <c r="J816" t="s">
        <v>16</v>
      </c>
      <c r="K816">
        <v>173933</v>
      </c>
    </row>
    <row r="817" spans="1:11" x14ac:dyDescent="0.35">
      <c r="A817" t="s">
        <v>864</v>
      </c>
      <c r="B817">
        <v>5</v>
      </c>
      <c r="C817" t="s">
        <v>12</v>
      </c>
      <c r="D817" t="s">
        <v>24</v>
      </c>
      <c r="E817" t="s">
        <v>22</v>
      </c>
      <c r="F817" s="1">
        <v>45500</v>
      </c>
      <c r="G817" s="1">
        <v>45513</v>
      </c>
      <c r="H817">
        <v>252</v>
      </c>
      <c r="I817" t="s">
        <v>46</v>
      </c>
      <c r="J817" t="s">
        <v>26</v>
      </c>
      <c r="K817">
        <v>92221</v>
      </c>
    </row>
    <row r="818" spans="1:11" x14ac:dyDescent="0.35">
      <c r="A818" t="s">
        <v>865</v>
      </c>
      <c r="B818">
        <v>13</v>
      </c>
      <c r="C818" t="s">
        <v>18</v>
      </c>
      <c r="D818" t="s">
        <v>38</v>
      </c>
      <c r="E818" t="s">
        <v>49</v>
      </c>
      <c r="F818" s="1">
        <v>45508</v>
      </c>
      <c r="G818" s="1">
        <v>45523</v>
      </c>
      <c r="H818">
        <v>34</v>
      </c>
      <c r="I818" t="s">
        <v>33</v>
      </c>
      <c r="J818" t="s">
        <v>26</v>
      </c>
      <c r="K818">
        <v>162841</v>
      </c>
    </row>
    <row r="819" spans="1:11" x14ac:dyDescent="0.35">
      <c r="A819" t="s">
        <v>866</v>
      </c>
      <c r="B819">
        <v>42</v>
      </c>
      <c r="C819" t="s">
        <v>12</v>
      </c>
      <c r="D819" t="s">
        <v>24</v>
      </c>
      <c r="E819" t="s">
        <v>22</v>
      </c>
      <c r="F819" s="1">
        <v>45572</v>
      </c>
      <c r="G819" s="1">
        <v>45584</v>
      </c>
      <c r="H819">
        <v>27</v>
      </c>
      <c r="I819" t="s">
        <v>36</v>
      </c>
      <c r="J819" t="s">
        <v>26</v>
      </c>
      <c r="K819">
        <v>173060</v>
      </c>
    </row>
    <row r="820" spans="1:11" x14ac:dyDescent="0.35">
      <c r="A820" t="s">
        <v>867</v>
      </c>
      <c r="B820">
        <v>52</v>
      </c>
      <c r="C820" t="s">
        <v>18</v>
      </c>
      <c r="D820" t="s">
        <v>38</v>
      </c>
      <c r="E820" t="s">
        <v>95</v>
      </c>
      <c r="F820" s="1">
        <v>45361</v>
      </c>
      <c r="G820" s="1">
        <v>45362</v>
      </c>
      <c r="H820">
        <v>295</v>
      </c>
      <c r="I820" t="s">
        <v>15</v>
      </c>
      <c r="J820" t="s">
        <v>16</v>
      </c>
      <c r="K820">
        <v>46372</v>
      </c>
    </row>
    <row r="821" spans="1:11" x14ac:dyDescent="0.35">
      <c r="A821" t="s">
        <v>868</v>
      </c>
      <c r="B821">
        <v>84</v>
      </c>
      <c r="C821" t="s">
        <v>18</v>
      </c>
      <c r="D821" t="s">
        <v>28</v>
      </c>
      <c r="E821" t="s">
        <v>54</v>
      </c>
      <c r="F821" s="1">
        <v>45419</v>
      </c>
      <c r="G821" s="1">
        <v>45428</v>
      </c>
      <c r="H821">
        <v>211</v>
      </c>
      <c r="I821" t="s">
        <v>33</v>
      </c>
      <c r="J821" t="s">
        <v>26</v>
      </c>
      <c r="K821">
        <v>130400</v>
      </c>
    </row>
    <row r="822" spans="1:11" x14ac:dyDescent="0.35">
      <c r="A822" t="s">
        <v>869</v>
      </c>
      <c r="B822">
        <v>23</v>
      </c>
      <c r="C822" t="s">
        <v>12</v>
      </c>
      <c r="D822" t="s">
        <v>38</v>
      </c>
      <c r="E822" t="s">
        <v>29</v>
      </c>
      <c r="F822" s="1">
        <v>45360</v>
      </c>
      <c r="G822" s="1">
        <v>45365</v>
      </c>
      <c r="H822">
        <v>44</v>
      </c>
      <c r="I822" t="s">
        <v>46</v>
      </c>
      <c r="J822" t="s">
        <v>16</v>
      </c>
      <c r="K822">
        <v>52681</v>
      </c>
    </row>
    <row r="823" spans="1:11" x14ac:dyDescent="0.35">
      <c r="A823" t="s">
        <v>870</v>
      </c>
      <c r="B823">
        <v>49</v>
      </c>
      <c r="C823" t="s">
        <v>18</v>
      </c>
      <c r="D823" t="s">
        <v>24</v>
      </c>
      <c r="E823" t="s">
        <v>80</v>
      </c>
      <c r="F823" s="1">
        <v>45493</v>
      </c>
      <c r="G823" s="1">
        <v>45508</v>
      </c>
      <c r="H823">
        <v>286</v>
      </c>
      <c r="I823" t="s">
        <v>36</v>
      </c>
      <c r="J823" t="s">
        <v>16</v>
      </c>
      <c r="K823">
        <v>126221</v>
      </c>
    </row>
    <row r="824" spans="1:11" x14ac:dyDescent="0.35">
      <c r="A824" t="s">
        <v>871</v>
      </c>
      <c r="B824">
        <v>90</v>
      </c>
      <c r="C824" t="s">
        <v>18</v>
      </c>
      <c r="D824" t="s">
        <v>24</v>
      </c>
      <c r="E824" t="s">
        <v>56</v>
      </c>
      <c r="F824" s="1">
        <v>45393</v>
      </c>
      <c r="G824" s="1">
        <v>45398</v>
      </c>
      <c r="H824">
        <v>220</v>
      </c>
      <c r="I824" t="s">
        <v>33</v>
      </c>
      <c r="J824" t="s">
        <v>16</v>
      </c>
      <c r="K824">
        <v>28346</v>
      </c>
    </row>
    <row r="825" spans="1:11" x14ac:dyDescent="0.35">
      <c r="A825" t="s">
        <v>872</v>
      </c>
      <c r="B825">
        <v>73</v>
      </c>
      <c r="C825" t="s">
        <v>18</v>
      </c>
      <c r="D825" t="s">
        <v>24</v>
      </c>
      <c r="E825" t="s">
        <v>40</v>
      </c>
      <c r="F825" s="1">
        <v>45480</v>
      </c>
      <c r="G825" s="1">
        <v>45483</v>
      </c>
      <c r="H825">
        <v>270</v>
      </c>
      <c r="I825" t="s">
        <v>46</v>
      </c>
      <c r="J825" t="s">
        <v>26</v>
      </c>
      <c r="K825">
        <v>181582</v>
      </c>
    </row>
    <row r="826" spans="1:11" x14ac:dyDescent="0.35">
      <c r="A826" t="s">
        <v>873</v>
      </c>
      <c r="B826">
        <v>29</v>
      </c>
      <c r="C826" t="s">
        <v>18</v>
      </c>
      <c r="D826" t="s">
        <v>13</v>
      </c>
      <c r="E826" t="s">
        <v>32</v>
      </c>
      <c r="F826" s="1">
        <v>45545</v>
      </c>
      <c r="G826" s="1">
        <v>45547</v>
      </c>
      <c r="H826">
        <v>148</v>
      </c>
      <c r="I826" t="s">
        <v>46</v>
      </c>
      <c r="J826" t="s">
        <v>26</v>
      </c>
      <c r="K826">
        <v>39130</v>
      </c>
    </row>
    <row r="827" spans="1:11" x14ac:dyDescent="0.35">
      <c r="A827" t="s">
        <v>874</v>
      </c>
      <c r="B827">
        <v>27</v>
      </c>
      <c r="C827" t="s">
        <v>18</v>
      </c>
      <c r="D827" t="s">
        <v>38</v>
      </c>
      <c r="E827" t="s">
        <v>25</v>
      </c>
      <c r="F827" s="1">
        <v>45512</v>
      </c>
      <c r="G827" s="1">
        <v>45526</v>
      </c>
      <c r="H827">
        <v>97</v>
      </c>
      <c r="I827" t="s">
        <v>46</v>
      </c>
      <c r="J827" t="s">
        <v>16</v>
      </c>
      <c r="K827">
        <v>112092</v>
      </c>
    </row>
    <row r="828" spans="1:11" x14ac:dyDescent="0.35">
      <c r="A828" t="s">
        <v>875</v>
      </c>
      <c r="B828">
        <v>38</v>
      </c>
      <c r="C828" t="s">
        <v>12</v>
      </c>
      <c r="D828" t="s">
        <v>13</v>
      </c>
      <c r="E828" t="s">
        <v>35</v>
      </c>
      <c r="F828" s="1">
        <v>45366</v>
      </c>
      <c r="G828" s="1">
        <v>45367</v>
      </c>
      <c r="H828">
        <v>231</v>
      </c>
      <c r="I828" t="s">
        <v>36</v>
      </c>
      <c r="J828" t="s">
        <v>16</v>
      </c>
      <c r="K828">
        <v>157804</v>
      </c>
    </row>
    <row r="829" spans="1:11" x14ac:dyDescent="0.35">
      <c r="A829" t="s">
        <v>876</v>
      </c>
      <c r="B829">
        <v>59</v>
      </c>
      <c r="C829" t="s">
        <v>18</v>
      </c>
      <c r="D829" t="s">
        <v>24</v>
      </c>
      <c r="E829" t="s">
        <v>43</v>
      </c>
      <c r="F829" s="1">
        <v>45642</v>
      </c>
      <c r="G829" s="1">
        <v>45653</v>
      </c>
      <c r="H829">
        <v>69</v>
      </c>
      <c r="I829" t="s">
        <v>33</v>
      </c>
      <c r="J829" t="s">
        <v>26</v>
      </c>
      <c r="K829">
        <v>185054</v>
      </c>
    </row>
    <row r="830" spans="1:11" x14ac:dyDescent="0.35">
      <c r="A830" t="s">
        <v>877</v>
      </c>
      <c r="B830">
        <v>50</v>
      </c>
      <c r="C830" t="s">
        <v>12</v>
      </c>
      <c r="D830" t="s">
        <v>28</v>
      </c>
      <c r="E830" t="s">
        <v>32</v>
      </c>
      <c r="F830" s="1">
        <v>45400</v>
      </c>
      <c r="G830" s="1">
        <v>45412</v>
      </c>
      <c r="H830">
        <v>38</v>
      </c>
      <c r="I830" t="s">
        <v>15</v>
      </c>
      <c r="J830" t="s">
        <v>16</v>
      </c>
      <c r="K830">
        <v>18661</v>
      </c>
    </row>
    <row r="831" spans="1:11" x14ac:dyDescent="0.35">
      <c r="A831" t="s">
        <v>878</v>
      </c>
      <c r="B831">
        <v>31</v>
      </c>
      <c r="C831" t="s">
        <v>12</v>
      </c>
      <c r="D831" t="s">
        <v>38</v>
      </c>
      <c r="E831" t="s">
        <v>35</v>
      </c>
      <c r="F831" s="1">
        <v>45462</v>
      </c>
      <c r="G831" s="1">
        <v>45477</v>
      </c>
      <c r="H831">
        <v>24</v>
      </c>
      <c r="I831" t="s">
        <v>15</v>
      </c>
      <c r="J831" t="s">
        <v>16</v>
      </c>
      <c r="K831">
        <v>137262</v>
      </c>
    </row>
    <row r="832" spans="1:11" x14ac:dyDescent="0.35">
      <c r="A832" t="s">
        <v>879</v>
      </c>
      <c r="B832">
        <v>39</v>
      </c>
      <c r="C832" t="s">
        <v>12</v>
      </c>
      <c r="D832" t="s">
        <v>38</v>
      </c>
      <c r="E832" t="s">
        <v>106</v>
      </c>
      <c r="F832" s="1">
        <v>45609</v>
      </c>
      <c r="G832" s="1">
        <v>45616</v>
      </c>
      <c r="H832">
        <v>287</v>
      </c>
      <c r="I832" t="s">
        <v>15</v>
      </c>
      <c r="J832" t="s">
        <v>16</v>
      </c>
      <c r="K832">
        <v>73233</v>
      </c>
    </row>
    <row r="833" spans="1:11" x14ac:dyDescent="0.35">
      <c r="A833" t="s">
        <v>880</v>
      </c>
      <c r="B833">
        <v>64</v>
      </c>
      <c r="C833" t="s">
        <v>12</v>
      </c>
      <c r="D833" t="s">
        <v>31</v>
      </c>
      <c r="E833" t="s">
        <v>106</v>
      </c>
      <c r="F833" s="1">
        <v>45378</v>
      </c>
      <c r="G833" s="1">
        <v>45387</v>
      </c>
      <c r="H833">
        <v>46</v>
      </c>
      <c r="I833" t="s">
        <v>33</v>
      </c>
      <c r="J833" t="s">
        <v>26</v>
      </c>
      <c r="K833">
        <v>42170</v>
      </c>
    </row>
    <row r="834" spans="1:11" x14ac:dyDescent="0.35">
      <c r="A834" t="s">
        <v>881</v>
      </c>
      <c r="B834">
        <v>41</v>
      </c>
      <c r="C834" t="s">
        <v>18</v>
      </c>
      <c r="D834" t="s">
        <v>13</v>
      </c>
      <c r="E834" t="s">
        <v>43</v>
      </c>
      <c r="F834" s="1">
        <v>45425</v>
      </c>
      <c r="G834" s="1">
        <v>45427</v>
      </c>
      <c r="H834">
        <v>144</v>
      </c>
      <c r="I834" t="s">
        <v>33</v>
      </c>
      <c r="J834" t="s">
        <v>26</v>
      </c>
      <c r="K834">
        <v>79167</v>
      </c>
    </row>
    <row r="835" spans="1:11" x14ac:dyDescent="0.35">
      <c r="A835" t="s">
        <v>882</v>
      </c>
      <c r="B835">
        <v>34</v>
      </c>
      <c r="C835" t="s">
        <v>12</v>
      </c>
      <c r="D835" t="s">
        <v>31</v>
      </c>
      <c r="E835" t="s">
        <v>66</v>
      </c>
      <c r="F835" s="1">
        <v>45426</v>
      </c>
      <c r="G835" s="1">
        <v>45436</v>
      </c>
      <c r="H835">
        <v>162</v>
      </c>
      <c r="I835" t="s">
        <v>46</v>
      </c>
      <c r="J835" t="s">
        <v>16</v>
      </c>
      <c r="K835">
        <v>150666</v>
      </c>
    </row>
    <row r="836" spans="1:11" x14ac:dyDescent="0.35">
      <c r="A836" t="s">
        <v>883</v>
      </c>
      <c r="B836">
        <v>57</v>
      </c>
      <c r="C836" t="s">
        <v>18</v>
      </c>
      <c r="D836" t="s">
        <v>13</v>
      </c>
      <c r="E836" t="s">
        <v>106</v>
      </c>
      <c r="F836" s="1">
        <v>45628</v>
      </c>
      <c r="G836" s="1">
        <v>45639</v>
      </c>
      <c r="H836">
        <v>28</v>
      </c>
      <c r="I836" t="s">
        <v>36</v>
      </c>
      <c r="J836" t="s">
        <v>16</v>
      </c>
      <c r="K836">
        <v>14401</v>
      </c>
    </row>
    <row r="837" spans="1:11" x14ac:dyDescent="0.35">
      <c r="A837" t="s">
        <v>884</v>
      </c>
      <c r="B837">
        <v>21</v>
      </c>
      <c r="C837" t="s">
        <v>12</v>
      </c>
      <c r="D837" t="s">
        <v>31</v>
      </c>
      <c r="E837" t="s">
        <v>90</v>
      </c>
      <c r="F837" s="1">
        <v>45532</v>
      </c>
      <c r="G837" s="1">
        <v>45537</v>
      </c>
      <c r="H837">
        <v>254</v>
      </c>
      <c r="I837" t="s">
        <v>15</v>
      </c>
      <c r="J837" t="s">
        <v>26</v>
      </c>
      <c r="K837">
        <v>98459</v>
      </c>
    </row>
    <row r="838" spans="1:11" x14ac:dyDescent="0.35">
      <c r="A838" t="s">
        <v>885</v>
      </c>
      <c r="B838">
        <v>63</v>
      </c>
      <c r="C838" t="s">
        <v>12</v>
      </c>
      <c r="D838" t="s">
        <v>31</v>
      </c>
      <c r="E838" t="s">
        <v>90</v>
      </c>
      <c r="F838" s="1">
        <v>45655</v>
      </c>
      <c r="G838" s="1">
        <v>45664</v>
      </c>
      <c r="H838">
        <v>76</v>
      </c>
      <c r="I838" t="s">
        <v>15</v>
      </c>
      <c r="J838" t="s">
        <v>16</v>
      </c>
      <c r="K838">
        <v>29530</v>
      </c>
    </row>
    <row r="839" spans="1:11" x14ac:dyDescent="0.35">
      <c r="A839" t="s">
        <v>886</v>
      </c>
      <c r="B839">
        <v>37</v>
      </c>
      <c r="C839" t="s">
        <v>18</v>
      </c>
      <c r="D839" t="s">
        <v>13</v>
      </c>
      <c r="E839" t="s">
        <v>25</v>
      </c>
      <c r="F839" s="1">
        <v>45396</v>
      </c>
      <c r="G839" s="1">
        <v>45410</v>
      </c>
      <c r="H839">
        <v>261</v>
      </c>
      <c r="I839" t="s">
        <v>33</v>
      </c>
      <c r="J839" t="s">
        <v>16</v>
      </c>
      <c r="K839">
        <v>157973</v>
      </c>
    </row>
    <row r="840" spans="1:11" x14ac:dyDescent="0.35">
      <c r="A840" t="s">
        <v>887</v>
      </c>
      <c r="B840">
        <v>74</v>
      </c>
      <c r="C840" t="s">
        <v>18</v>
      </c>
      <c r="D840" t="s">
        <v>31</v>
      </c>
      <c r="E840" t="s">
        <v>45</v>
      </c>
      <c r="F840" s="1">
        <v>45294</v>
      </c>
      <c r="G840" s="1">
        <v>45303</v>
      </c>
      <c r="H840">
        <v>127</v>
      </c>
      <c r="I840" t="s">
        <v>46</v>
      </c>
      <c r="J840" t="s">
        <v>16</v>
      </c>
      <c r="K840">
        <v>91155</v>
      </c>
    </row>
    <row r="841" spans="1:11" x14ac:dyDescent="0.35">
      <c r="A841" t="s">
        <v>888</v>
      </c>
      <c r="B841">
        <v>88</v>
      </c>
      <c r="C841" t="s">
        <v>18</v>
      </c>
      <c r="D841" t="s">
        <v>31</v>
      </c>
      <c r="E841" t="s">
        <v>63</v>
      </c>
      <c r="F841" s="1">
        <v>45305</v>
      </c>
      <c r="G841" s="1">
        <v>45310</v>
      </c>
      <c r="H841">
        <v>55</v>
      </c>
      <c r="I841" t="s">
        <v>33</v>
      </c>
      <c r="J841" t="s">
        <v>16</v>
      </c>
      <c r="K841">
        <v>12569</v>
      </c>
    </row>
    <row r="842" spans="1:11" x14ac:dyDescent="0.35">
      <c r="A842" t="s">
        <v>889</v>
      </c>
      <c r="B842">
        <v>85</v>
      </c>
      <c r="C842" t="s">
        <v>12</v>
      </c>
      <c r="D842" t="s">
        <v>31</v>
      </c>
      <c r="E842" t="s">
        <v>68</v>
      </c>
      <c r="F842" s="1">
        <v>45333</v>
      </c>
      <c r="G842" s="1">
        <v>45341</v>
      </c>
      <c r="H842">
        <v>138</v>
      </c>
      <c r="I842" t="s">
        <v>15</v>
      </c>
      <c r="J842" t="s">
        <v>16</v>
      </c>
      <c r="K842">
        <v>16494</v>
      </c>
    </row>
    <row r="843" spans="1:11" x14ac:dyDescent="0.35">
      <c r="A843" t="s">
        <v>890</v>
      </c>
      <c r="B843">
        <v>58</v>
      </c>
      <c r="C843" t="s">
        <v>12</v>
      </c>
      <c r="D843" t="s">
        <v>28</v>
      </c>
      <c r="E843" t="s">
        <v>106</v>
      </c>
      <c r="F843" s="1">
        <v>45627</v>
      </c>
      <c r="G843" s="1">
        <v>45637</v>
      </c>
      <c r="H843">
        <v>109</v>
      </c>
      <c r="I843" t="s">
        <v>15</v>
      </c>
      <c r="J843" t="s">
        <v>16</v>
      </c>
      <c r="K843">
        <v>89717</v>
      </c>
    </row>
    <row r="844" spans="1:11" x14ac:dyDescent="0.35">
      <c r="A844" t="s">
        <v>891</v>
      </c>
      <c r="B844">
        <v>10</v>
      </c>
      <c r="C844" t="s">
        <v>12</v>
      </c>
      <c r="D844" t="s">
        <v>24</v>
      </c>
      <c r="E844" t="s">
        <v>56</v>
      </c>
      <c r="F844" s="1">
        <v>45320</v>
      </c>
      <c r="G844" s="1">
        <v>45332</v>
      </c>
      <c r="H844">
        <v>131</v>
      </c>
      <c r="I844" t="s">
        <v>36</v>
      </c>
      <c r="J844" t="s">
        <v>16</v>
      </c>
      <c r="K844">
        <v>109573</v>
      </c>
    </row>
    <row r="845" spans="1:11" x14ac:dyDescent="0.35">
      <c r="A845" t="s">
        <v>892</v>
      </c>
      <c r="B845">
        <v>27</v>
      </c>
      <c r="C845" t="s">
        <v>18</v>
      </c>
      <c r="D845" t="s">
        <v>31</v>
      </c>
      <c r="E845" t="s">
        <v>22</v>
      </c>
      <c r="F845" s="1">
        <v>45337</v>
      </c>
      <c r="G845" s="1">
        <v>45338</v>
      </c>
      <c r="H845">
        <v>207</v>
      </c>
      <c r="I845" t="s">
        <v>33</v>
      </c>
      <c r="J845" t="s">
        <v>16</v>
      </c>
      <c r="K845">
        <v>36615</v>
      </c>
    </row>
    <row r="846" spans="1:11" x14ac:dyDescent="0.35">
      <c r="A846" t="s">
        <v>893</v>
      </c>
      <c r="B846">
        <v>56</v>
      </c>
      <c r="C846" t="s">
        <v>12</v>
      </c>
      <c r="D846" t="s">
        <v>28</v>
      </c>
      <c r="E846" t="s">
        <v>106</v>
      </c>
      <c r="F846" s="1">
        <v>45444</v>
      </c>
      <c r="G846" s="1">
        <v>45452</v>
      </c>
      <c r="H846">
        <v>184</v>
      </c>
      <c r="I846" t="s">
        <v>15</v>
      </c>
      <c r="J846" t="s">
        <v>16</v>
      </c>
      <c r="K846">
        <v>139388</v>
      </c>
    </row>
    <row r="847" spans="1:11" x14ac:dyDescent="0.35">
      <c r="A847" t="s">
        <v>894</v>
      </c>
      <c r="B847">
        <v>58</v>
      </c>
      <c r="C847" t="s">
        <v>12</v>
      </c>
      <c r="D847" t="s">
        <v>31</v>
      </c>
      <c r="E847" t="s">
        <v>32</v>
      </c>
      <c r="F847" s="1">
        <v>45394</v>
      </c>
      <c r="G847" s="1">
        <v>45402</v>
      </c>
      <c r="H847">
        <v>289</v>
      </c>
      <c r="I847" t="s">
        <v>46</v>
      </c>
      <c r="J847" t="s">
        <v>16</v>
      </c>
      <c r="K847">
        <v>115765</v>
      </c>
    </row>
    <row r="848" spans="1:11" x14ac:dyDescent="0.35">
      <c r="A848" t="s">
        <v>895</v>
      </c>
      <c r="B848">
        <v>24</v>
      </c>
      <c r="C848" t="s">
        <v>12</v>
      </c>
      <c r="D848" t="s">
        <v>31</v>
      </c>
      <c r="E848" t="s">
        <v>45</v>
      </c>
      <c r="F848" s="1">
        <v>45480</v>
      </c>
      <c r="G848" s="1">
        <v>45490</v>
      </c>
      <c r="H848">
        <v>21</v>
      </c>
      <c r="I848" t="s">
        <v>33</v>
      </c>
      <c r="J848" t="s">
        <v>26</v>
      </c>
      <c r="K848">
        <v>182324</v>
      </c>
    </row>
    <row r="849" spans="1:11" x14ac:dyDescent="0.35">
      <c r="A849" t="s">
        <v>896</v>
      </c>
      <c r="B849">
        <v>88</v>
      </c>
      <c r="C849" t="s">
        <v>18</v>
      </c>
      <c r="D849" t="s">
        <v>31</v>
      </c>
      <c r="E849" t="s">
        <v>49</v>
      </c>
      <c r="F849" s="1">
        <v>45406</v>
      </c>
      <c r="G849" s="1">
        <v>45417</v>
      </c>
      <c r="H849">
        <v>269</v>
      </c>
      <c r="I849" t="s">
        <v>15</v>
      </c>
      <c r="J849" t="s">
        <v>16</v>
      </c>
      <c r="K849">
        <v>127740</v>
      </c>
    </row>
    <row r="850" spans="1:11" x14ac:dyDescent="0.35">
      <c r="A850" t="s">
        <v>897</v>
      </c>
      <c r="B850">
        <v>62</v>
      </c>
      <c r="C850" t="s">
        <v>12</v>
      </c>
      <c r="D850" t="s">
        <v>13</v>
      </c>
      <c r="E850" t="s">
        <v>106</v>
      </c>
      <c r="F850" s="1">
        <v>45515</v>
      </c>
      <c r="G850" s="1">
        <v>45517</v>
      </c>
      <c r="H850">
        <v>154</v>
      </c>
      <c r="I850" t="s">
        <v>36</v>
      </c>
      <c r="J850" t="s">
        <v>26</v>
      </c>
      <c r="K850">
        <v>82458</v>
      </c>
    </row>
    <row r="851" spans="1:11" x14ac:dyDescent="0.35">
      <c r="A851" t="s">
        <v>898</v>
      </c>
      <c r="B851">
        <v>71</v>
      </c>
      <c r="C851" t="s">
        <v>18</v>
      </c>
      <c r="D851" t="s">
        <v>24</v>
      </c>
      <c r="E851" t="s">
        <v>49</v>
      </c>
      <c r="F851" s="1">
        <v>45583</v>
      </c>
      <c r="G851" s="1">
        <v>45584</v>
      </c>
      <c r="H851">
        <v>56</v>
      </c>
      <c r="I851" t="s">
        <v>46</v>
      </c>
      <c r="J851" t="s">
        <v>26</v>
      </c>
      <c r="K851">
        <v>29768</v>
      </c>
    </row>
    <row r="852" spans="1:11" x14ac:dyDescent="0.35">
      <c r="A852" t="s">
        <v>899</v>
      </c>
      <c r="B852">
        <v>73</v>
      </c>
      <c r="C852" t="s">
        <v>12</v>
      </c>
      <c r="D852" t="s">
        <v>38</v>
      </c>
      <c r="E852" t="s">
        <v>32</v>
      </c>
      <c r="F852" s="1">
        <v>45529</v>
      </c>
      <c r="G852" s="1">
        <v>45540</v>
      </c>
      <c r="H852">
        <v>300</v>
      </c>
      <c r="I852" t="s">
        <v>15</v>
      </c>
      <c r="J852" t="s">
        <v>16</v>
      </c>
      <c r="K852">
        <v>34867</v>
      </c>
    </row>
    <row r="853" spans="1:11" x14ac:dyDescent="0.35">
      <c r="A853" t="s">
        <v>900</v>
      </c>
      <c r="B853">
        <v>23</v>
      </c>
      <c r="C853" t="s">
        <v>18</v>
      </c>
      <c r="D853" t="s">
        <v>31</v>
      </c>
      <c r="E853" t="s">
        <v>52</v>
      </c>
      <c r="F853" s="1">
        <v>45630</v>
      </c>
      <c r="G853" s="1">
        <v>45638</v>
      </c>
      <c r="H853">
        <v>43</v>
      </c>
      <c r="I853" t="s">
        <v>46</v>
      </c>
      <c r="J853" t="s">
        <v>16</v>
      </c>
      <c r="K853">
        <v>87299</v>
      </c>
    </row>
    <row r="854" spans="1:11" x14ac:dyDescent="0.35">
      <c r="A854" t="s">
        <v>901</v>
      </c>
      <c r="B854">
        <v>59</v>
      </c>
      <c r="C854" t="s">
        <v>12</v>
      </c>
      <c r="D854" t="s">
        <v>28</v>
      </c>
      <c r="E854" t="s">
        <v>32</v>
      </c>
      <c r="F854" s="1">
        <v>45592</v>
      </c>
      <c r="G854" s="1">
        <v>45604</v>
      </c>
      <c r="H854">
        <v>175</v>
      </c>
      <c r="I854" t="s">
        <v>36</v>
      </c>
      <c r="J854" t="s">
        <v>16</v>
      </c>
      <c r="K854">
        <v>53519</v>
      </c>
    </row>
    <row r="855" spans="1:11" x14ac:dyDescent="0.35">
      <c r="A855" t="s">
        <v>902</v>
      </c>
      <c r="B855">
        <v>78</v>
      </c>
      <c r="C855" t="s">
        <v>12</v>
      </c>
      <c r="D855" t="s">
        <v>24</v>
      </c>
      <c r="E855" t="s">
        <v>93</v>
      </c>
      <c r="F855" s="1">
        <v>45332</v>
      </c>
      <c r="G855" s="1">
        <v>45344</v>
      </c>
      <c r="H855">
        <v>274</v>
      </c>
      <c r="I855" t="s">
        <v>15</v>
      </c>
      <c r="J855" t="s">
        <v>16</v>
      </c>
      <c r="K855">
        <v>108529</v>
      </c>
    </row>
    <row r="856" spans="1:11" x14ac:dyDescent="0.35">
      <c r="A856" t="s">
        <v>903</v>
      </c>
      <c r="B856">
        <v>22</v>
      </c>
      <c r="C856" t="s">
        <v>12</v>
      </c>
      <c r="D856" t="s">
        <v>31</v>
      </c>
      <c r="E856" t="s">
        <v>40</v>
      </c>
      <c r="F856" s="1">
        <v>45351</v>
      </c>
      <c r="G856" s="1">
        <v>45352</v>
      </c>
      <c r="H856">
        <v>208</v>
      </c>
      <c r="I856" t="s">
        <v>46</v>
      </c>
      <c r="J856" t="s">
        <v>16</v>
      </c>
      <c r="K856">
        <v>167135</v>
      </c>
    </row>
    <row r="857" spans="1:11" x14ac:dyDescent="0.35">
      <c r="A857" t="s">
        <v>904</v>
      </c>
      <c r="B857">
        <v>89</v>
      </c>
      <c r="C857" t="s">
        <v>12</v>
      </c>
      <c r="D857" t="s">
        <v>38</v>
      </c>
      <c r="E857" t="s">
        <v>45</v>
      </c>
      <c r="F857" s="1">
        <v>45607</v>
      </c>
      <c r="G857" s="1">
        <v>45613</v>
      </c>
      <c r="H857">
        <v>65</v>
      </c>
      <c r="I857" t="s">
        <v>36</v>
      </c>
      <c r="J857" t="s">
        <v>16</v>
      </c>
      <c r="K857">
        <v>55017</v>
      </c>
    </row>
    <row r="858" spans="1:11" x14ac:dyDescent="0.35">
      <c r="A858" t="s">
        <v>905</v>
      </c>
      <c r="B858">
        <v>3</v>
      </c>
      <c r="C858" t="s">
        <v>18</v>
      </c>
      <c r="D858" t="s">
        <v>24</v>
      </c>
      <c r="E858" t="s">
        <v>29</v>
      </c>
      <c r="F858" s="1">
        <v>45349</v>
      </c>
      <c r="G858" s="1">
        <v>45363</v>
      </c>
      <c r="H858">
        <v>247</v>
      </c>
      <c r="I858" t="s">
        <v>36</v>
      </c>
      <c r="J858" t="s">
        <v>16</v>
      </c>
      <c r="K858">
        <v>119239</v>
      </c>
    </row>
    <row r="859" spans="1:11" x14ac:dyDescent="0.35">
      <c r="A859" t="s">
        <v>906</v>
      </c>
      <c r="B859">
        <v>69</v>
      </c>
      <c r="C859" t="s">
        <v>18</v>
      </c>
      <c r="D859" t="s">
        <v>24</v>
      </c>
      <c r="E859" t="s">
        <v>83</v>
      </c>
      <c r="F859" s="1">
        <v>45612</v>
      </c>
      <c r="G859" s="1">
        <v>45626</v>
      </c>
      <c r="H859">
        <v>238</v>
      </c>
      <c r="I859" t="s">
        <v>36</v>
      </c>
      <c r="J859" t="s">
        <v>26</v>
      </c>
      <c r="K859">
        <v>115593</v>
      </c>
    </row>
    <row r="860" spans="1:11" x14ac:dyDescent="0.35">
      <c r="A860" t="s">
        <v>907</v>
      </c>
      <c r="B860">
        <v>22</v>
      </c>
      <c r="C860" t="s">
        <v>18</v>
      </c>
      <c r="D860" t="s">
        <v>31</v>
      </c>
      <c r="E860" t="s">
        <v>43</v>
      </c>
      <c r="F860" s="1">
        <v>45303</v>
      </c>
      <c r="G860" s="1">
        <v>45305</v>
      </c>
      <c r="H860">
        <v>242</v>
      </c>
      <c r="I860" t="s">
        <v>15</v>
      </c>
      <c r="J860" t="s">
        <v>26</v>
      </c>
      <c r="K860">
        <v>158413</v>
      </c>
    </row>
    <row r="861" spans="1:11" x14ac:dyDescent="0.35">
      <c r="A861" t="s">
        <v>908</v>
      </c>
      <c r="B861">
        <v>38</v>
      </c>
      <c r="C861" t="s">
        <v>12</v>
      </c>
      <c r="D861" t="s">
        <v>24</v>
      </c>
      <c r="E861" t="s">
        <v>95</v>
      </c>
      <c r="F861" s="1">
        <v>45416</v>
      </c>
      <c r="G861" s="1">
        <v>45420</v>
      </c>
      <c r="H861">
        <v>5</v>
      </c>
      <c r="I861" t="s">
        <v>15</v>
      </c>
      <c r="J861" t="s">
        <v>26</v>
      </c>
      <c r="K861">
        <v>113969</v>
      </c>
    </row>
    <row r="862" spans="1:11" x14ac:dyDescent="0.35">
      <c r="A862" t="s">
        <v>909</v>
      </c>
      <c r="B862">
        <v>75</v>
      </c>
      <c r="C862" t="s">
        <v>12</v>
      </c>
      <c r="D862" t="s">
        <v>24</v>
      </c>
      <c r="E862" t="s">
        <v>43</v>
      </c>
      <c r="F862" s="1">
        <v>45545</v>
      </c>
      <c r="G862" s="1">
        <v>45557</v>
      </c>
      <c r="H862">
        <v>205</v>
      </c>
      <c r="I862" t="s">
        <v>46</v>
      </c>
      <c r="J862" t="s">
        <v>26</v>
      </c>
      <c r="K862">
        <v>65792</v>
      </c>
    </row>
    <row r="863" spans="1:11" x14ac:dyDescent="0.35">
      <c r="A863" t="s">
        <v>910</v>
      </c>
      <c r="B863">
        <v>3</v>
      </c>
      <c r="C863" t="s">
        <v>12</v>
      </c>
      <c r="D863" t="s">
        <v>28</v>
      </c>
      <c r="E863" t="s">
        <v>95</v>
      </c>
      <c r="F863" s="1">
        <v>45323</v>
      </c>
      <c r="G863" s="1">
        <v>45332</v>
      </c>
      <c r="H863">
        <v>284</v>
      </c>
      <c r="I863" t="s">
        <v>15</v>
      </c>
      <c r="J863" t="s">
        <v>16</v>
      </c>
      <c r="K863">
        <v>174948</v>
      </c>
    </row>
    <row r="864" spans="1:11" x14ac:dyDescent="0.35">
      <c r="A864" t="s">
        <v>911</v>
      </c>
      <c r="B864">
        <v>61</v>
      </c>
      <c r="C864" t="s">
        <v>18</v>
      </c>
      <c r="D864" t="s">
        <v>31</v>
      </c>
      <c r="E864" t="s">
        <v>35</v>
      </c>
      <c r="F864" s="1">
        <v>45505</v>
      </c>
      <c r="G864" s="1">
        <v>45520</v>
      </c>
      <c r="H864">
        <v>178</v>
      </c>
      <c r="I864" t="s">
        <v>46</v>
      </c>
      <c r="J864" t="s">
        <v>26</v>
      </c>
      <c r="K864">
        <v>10454</v>
      </c>
    </row>
    <row r="865" spans="1:11" x14ac:dyDescent="0.35">
      <c r="A865" t="s">
        <v>912</v>
      </c>
      <c r="B865">
        <v>25</v>
      </c>
      <c r="C865" t="s">
        <v>12</v>
      </c>
      <c r="D865" t="s">
        <v>38</v>
      </c>
      <c r="E865" t="s">
        <v>20</v>
      </c>
      <c r="F865" s="1">
        <v>45374</v>
      </c>
      <c r="G865" s="1">
        <v>45379</v>
      </c>
      <c r="H865">
        <v>119</v>
      </c>
      <c r="I865" t="s">
        <v>36</v>
      </c>
      <c r="J865" t="s">
        <v>16</v>
      </c>
      <c r="K865">
        <v>162836</v>
      </c>
    </row>
    <row r="866" spans="1:11" x14ac:dyDescent="0.35">
      <c r="A866" t="s">
        <v>913</v>
      </c>
      <c r="B866">
        <v>17</v>
      </c>
      <c r="C866" t="s">
        <v>12</v>
      </c>
      <c r="D866" t="s">
        <v>31</v>
      </c>
      <c r="E866" t="s">
        <v>93</v>
      </c>
      <c r="F866" s="1">
        <v>45628</v>
      </c>
      <c r="G866" s="1">
        <v>45636</v>
      </c>
      <c r="H866">
        <v>185</v>
      </c>
      <c r="I866" t="s">
        <v>46</v>
      </c>
      <c r="J866" t="s">
        <v>16</v>
      </c>
      <c r="K866">
        <v>168012</v>
      </c>
    </row>
    <row r="867" spans="1:11" x14ac:dyDescent="0.35">
      <c r="A867" t="s">
        <v>914</v>
      </c>
      <c r="B867">
        <v>89</v>
      </c>
      <c r="C867" t="s">
        <v>18</v>
      </c>
      <c r="D867" t="s">
        <v>31</v>
      </c>
      <c r="E867" t="s">
        <v>106</v>
      </c>
      <c r="F867" s="1">
        <v>45398</v>
      </c>
      <c r="G867" s="1">
        <v>45403</v>
      </c>
      <c r="H867">
        <v>89</v>
      </c>
      <c r="I867" t="s">
        <v>36</v>
      </c>
      <c r="J867" t="s">
        <v>16</v>
      </c>
      <c r="K867">
        <v>163793</v>
      </c>
    </row>
    <row r="868" spans="1:11" x14ac:dyDescent="0.35">
      <c r="A868" t="s">
        <v>915</v>
      </c>
      <c r="B868">
        <v>54</v>
      </c>
      <c r="C868" t="s">
        <v>12</v>
      </c>
      <c r="D868" t="s">
        <v>38</v>
      </c>
      <c r="E868" t="s">
        <v>14</v>
      </c>
      <c r="F868" s="1">
        <v>45543</v>
      </c>
      <c r="G868" s="1">
        <v>45545</v>
      </c>
      <c r="H868">
        <v>108</v>
      </c>
      <c r="I868" t="s">
        <v>15</v>
      </c>
      <c r="J868" t="s">
        <v>16</v>
      </c>
      <c r="K868">
        <v>99053</v>
      </c>
    </row>
    <row r="869" spans="1:11" x14ac:dyDescent="0.35">
      <c r="A869" t="s">
        <v>916</v>
      </c>
      <c r="B869">
        <v>87</v>
      </c>
      <c r="C869" t="s">
        <v>18</v>
      </c>
      <c r="D869" t="s">
        <v>13</v>
      </c>
      <c r="E869" t="s">
        <v>49</v>
      </c>
      <c r="F869" s="1">
        <v>45425</v>
      </c>
      <c r="G869" s="1">
        <v>45431</v>
      </c>
      <c r="H869">
        <v>17</v>
      </c>
      <c r="I869" t="s">
        <v>15</v>
      </c>
      <c r="J869" t="s">
        <v>16</v>
      </c>
      <c r="K869">
        <v>117884</v>
      </c>
    </row>
    <row r="870" spans="1:11" x14ac:dyDescent="0.35">
      <c r="A870" t="s">
        <v>917</v>
      </c>
      <c r="B870">
        <v>30</v>
      </c>
      <c r="C870" t="s">
        <v>18</v>
      </c>
      <c r="D870" t="s">
        <v>28</v>
      </c>
      <c r="E870" t="s">
        <v>14</v>
      </c>
      <c r="F870" s="1">
        <v>45350</v>
      </c>
      <c r="G870" s="1">
        <v>45360</v>
      </c>
      <c r="H870">
        <v>250</v>
      </c>
      <c r="I870" t="s">
        <v>33</v>
      </c>
      <c r="J870" t="s">
        <v>16</v>
      </c>
      <c r="K870">
        <v>98124</v>
      </c>
    </row>
    <row r="871" spans="1:11" x14ac:dyDescent="0.35">
      <c r="A871" t="s">
        <v>918</v>
      </c>
      <c r="B871">
        <v>72</v>
      </c>
      <c r="C871" t="s">
        <v>12</v>
      </c>
      <c r="D871" t="s">
        <v>13</v>
      </c>
      <c r="E871" t="s">
        <v>40</v>
      </c>
      <c r="F871" s="1">
        <v>45315</v>
      </c>
      <c r="G871" s="1">
        <v>45328</v>
      </c>
      <c r="H871">
        <v>264</v>
      </c>
      <c r="I871" t="s">
        <v>15</v>
      </c>
      <c r="J871" t="s">
        <v>16</v>
      </c>
      <c r="K871">
        <v>119773</v>
      </c>
    </row>
    <row r="872" spans="1:11" x14ac:dyDescent="0.35">
      <c r="A872" t="s">
        <v>919</v>
      </c>
      <c r="B872">
        <v>15</v>
      </c>
      <c r="C872" t="s">
        <v>18</v>
      </c>
      <c r="D872" t="s">
        <v>28</v>
      </c>
      <c r="E872" t="s">
        <v>35</v>
      </c>
      <c r="F872" s="1">
        <v>45526</v>
      </c>
      <c r="G872" s="1">
        <v>45540</v>
      </c>
      <c r="H872">
        <v>53</v>
      </c>
      <c r="I872" t="s">
        <v>15</v>
      </c>
      <c r="J872" t="s">
        <v>16</v>
      </c>
      <c r="K872">
        <v>48790</v>
      </c>
    </row>
    <row r="873" spans="1:11" x14ac:dyDescent="0.35">
      <c r="A873" t="s">
        <v>920</v>
      </c>
      <c r="B873">
        <v>27</v>
      </c>
      <c r="C873" t="s">
        <v>12</v>
      </c>
      <c r="D873" t="s">
        <v>13</v>
      </c>
      <c r="E873" t="s">
        <v>25</v>
      </c>
      <c r="F873" s="1">
        <v>45614</v>
      </c>
      <c r="G873" s="1">
        <v>45616</v>
      </c>
      <c r="H873">
        <v>150</v>
      </c>
      <c r="I873" t="s">
        <v>46</v>
      </c>
      <c r="J873" t="s">
        <v>26</v>
      </c>
      <c r="K873">
        <v>197034</v>
      </c>
    </row>
    <row r="874" spans="1:11" x14ac:dyDescent="0.35">
      <c r="A874" t="s">
        <v>921</v>
      </c>
      <c r="B874">
        <v>83</v>
      </c>
      <c r="C874" t="s">
        <v>12</v>
      </c>
      <c r="D874" t="s">
        <v>38</v>
      </c>
      <c r="E874" t="s">
        <v>106</v>
      </c>
      <c r="F874" s="1">
        <v>45342</v>
      </c>
      <c r="G874" s="1">
        <v>45345</v>
      </c>
      <c r="H874">
        <v>63</v>
      </c>
      <c r="I874" t="s">
        <v>36</v>
      </c>
      <c r="J874" t="s">
        <v>26</v>
      </c>
      <c r="K874">
        <v>113986</v>
      </c>
    </row>
    <row r="875" spans="1:11" x14ac:dyDescent="0.35">
      <c r="A875" t="s">
        <v>922</v>
      </c>
      <c r="B875">
        <v>61</v>
      </c>
      <c r="C875" t="s">
        <v>12</v>
      </c>
      <c r="D875" t="s">
        <v>38</v>
      </c>
      <c r="E875" t="s">
        <v>49</v>
      </c>
      <c r="F875" s="1">
        <v>45295</v>
      </c>
      <c r="G875" s="1">
        <v>45299</v>
      </c>
      <c r="H875">
        <v>88</v>
      </c>
      <c r="I875" t="s">
        <v>15</v>
      </c>
      <c r="J875" t="s">
        <v>16</v>
      </c>
      <c r="K875">
        <v>102631</v>
      </c>
    </row>
    <row r="876" spans="1:11" x14ac:dyDescent="0.35">
      <c r="A876" t="s">
        <v>923</v>
      </c>
      <c r="B876">
        <v>81</v>
      </c>
      <c r="C876" t="s">
        <v>18</v>
      </c>
      <c r="D876" t="s">
        <v>13</v>
      </c>
      <c r="E876" t="s">
        <v>22</v>
      </c>
      <c r="F876" s="1">
        <v>45504</v>
      </c>
      <c r="G876" s="1">
        <v>45510</v>
      </c>
      <c r="H876">
        <v>272</v>
      </c>
      <c r="I876" t="s">
        <v>46</v>
      </c>
      <c r="J876" t="s">
        <v>16</v>
      </c>
      <c r="K876">
        <v>41174</v>
      </c>
    </row>
    <row r="877" spans="1:11" x14ac:dyDescent="0.35">
      <c r="A877" t="s">
        <v>924</v>
      </c>
      <c r="B877">
        <v>53</v>
      </c>
      <c r="C877" t="s">
        <v>12</v>
      </c>
      <c r="D877" t="s">
        <v>28</v>
      </c>
      <c r="E877" t="s">
        <v>54</v>
      </c>
      <c r="F877" s="1">
        <v>45511</v>
      </c>
      <c r="G877" s="1">
        <v>45518</v>
      </c>
      <c r="H877">
        <v>186</v>
      </c>
      <c r="I877" t="s">
        <v>15</v>
      </c>
      <c r="J877" t="s">
        <v>26</v>
      </c>
      <c r="K877">
        <v>43164</v>
      </c>
    </row>
    <row r="878" spans="1:11" x14ac:dyDescent="0.35">
      <c r="A878" t="s">
        <v>925</v>
      </c>
      <c r="B878">
        <v>67</v>
      </c>
      <c r="C878" t="s">
        <v>18</v>
      </c>
      <c r="D878" t="s">
        <v>24</v>
      </c>
      <c r="E878" t="s">
        <v>95</v>
      </c>
      <c r="F878" s="1">
        <v>45297</v>
      </c>
      <c r="G878" s="1">
        <v>45309</v>
      </c>
      <c r="H878">
        <v>162</v>
      </c>
      <c r="I878" t="s">
        <v>46</v>
      </c>
      <c r="J878" t="s">
        <v>16</v>
      </c>
      <c r="K878">
        <v>118789</v>
      </c>
    </row>
    <row r="879" spans="1:11" x14ac:dyDescent="0.35">
      <c r="A879" t="s">
        <v>926</v>
      </c>
      <c r="B879">
        <v>5</v>
      </c>
      <c r="C879" t="s">
        <v>18</v>
      </c>
      <c r="D879" t="s">
        <v>28</v>
      </c>
      <c r="E879" t="s">
        <v>52</v>
      </c>
      <c r="F879" s="1">
        <v>45323</v>
      </c>
      <c r="G879" s="1">
        <v>45330</v>
      </c>
      <c r="H879">
        <v>267</v>
      </c>
      <c r="I879" t="s">
        <v>33</v>
      </c>
      <c r="J879" t="s">
        <v>26</v>
      </c>
      <c r="K879">
        <v>110382</v>
      </c>
    </row>
    <row r="880" spans="1:11" x14ac:dyDescent="0.35">
      <c r="A880" t="s">
        <v>927</v>
      </c>
      <c r="B880">
        <v>71</v>
      </c>
      <c r="C880" t="s">
        <v>12</v>
      </c>
      <c r="D880" t="s">
        <v>38</v>
      </c>
      <c r="E880" t="s">
        <v>63</v>
      </c>
      <c r="F880" s="1">
        <v>45640</v>
      </c>
      <c r="G880" s="1">
        <v>45652</v>
      </c>
      <c r="H880">
        <v>5</v>
      </c>
      <c r="I880" t="s">
        <v>33</v>
      </c>
      <c r="J880" t="s">
        <v>16</v>
      </c>
      <c r="K880">
        <v>188578</v>
      </c>
    </row>
    <row r="881" spans="1:11" x14ac:dyDescent="0.35">
      <c r="A881" t="s">
        <v>928</v>
      </c>
      <c r="B881">
        <v>83</v>
      </c>
      <c r="C881" t="s">
        <v>18</v>
      </c>
      <c r="D881" t="s">
        <v>28</v>
      </c>
      <c r="E881" t="s">
        <v>35</v>
      </c>
      <c r="F881" s="1">
        <v>45498</v>
      </c>
      <c r="G881" s="1">
        <v>45506</v>
      </c>
      <c r="H881">
        <v>227</v>
      </c>
      <c r="I881" t="s">
        <v>33</v>
      </c>
      <c r="J881" t="s">
        <v>26</v>
      </c>
      <c r="K881">
        <v>56719</v>
      </c>
    </row>
    <row r="882" spans="1:11" x14ac:dyDescent="0.35">
      <c r="A882" t="s">
        <v>929</v>
      </c>
      <c r="B882">
        <v>5</v>
      </c>
      <c r="C882" t="s">
        <v>12</v>
      </c>
      <c r="D882" t="s">
        <v>31</v>
      </c>
      <c r="E882" t="s">
        <v>25</v>
      </c>
      <c r="F882" s="1">
        <v>45446</v>
      </c>
      <c r="G882" s="1">
        <v>45448</v>
      </c>
      <c r="H882">
        <v>65</v>
      </c>
      <c r="I882" t="s">
        <v>33</v>
      </c>
      <c r="J882" t="s">
        <v>16</v>
      </c>
      <c r="K882">
        <v>29332</v>
      </c>
    </row>
    <row r="883" spans="1:11" x14ac:dyDescent="0.35">
      <c r="A883" t="s">
        <v>930</v>
      </c>
      <c r="B883">
        <v>40</v>
      </c>
      <c r="C883" t="s">
        <v>12</v>
      </c>
      <c r="D883" t="s">
        <v>13</v>
      </c>
      <c r="E883" t="s">
        <v>80</v>
      </c>
      <c r="F883" s="1">
        <v>45553</v>
      </c>
      <c r="G883" s="1">
        <v>45562</v>
      </c>
      <c r="H883">
        <v>15</v>
      </c>
      <c r="I883" t="s">
        <v>33</v>
      </c>
      <c r="J883" t="s">
        <v>16</v>
      </c>
      <c r="K883">
        <v>84676</v>
      </c>
    </row>
    <row r="884" spans="1:11" x14ac:dyDescent="0.35">
      <c r="A884" t="s">
        <v>931</v>
      </c>
      <c r="B884">
        <v>15</v>
      </c>
      <c r="C884" t="s">
        <v>18</v>
      </c>
      <c r="D884" t="s">
        <v>38</v>
      </c>
      <c r="E884" t="s">
        <v>32</v>
      </c>
      <c r="F884" s="1">
        <v>45508</v>
      </c>
      <c r="G884" s="1">
        <v>45517</v>
      </c>
      <c r="H884">
        <v>260</v>
      </c>
      <c r="I884" t="s">
        <v>33</v>
      </c>
      <c r="J884" t="s">
        <v>16</v>
      </c>
      <c r="K884">
        <v>17512</v>
      </c>
    </row>
    <row r="885" spans="1:11" x14ac:dyDescent="0.35">
      <c r="A885" t="s">
        <v>932</v>
      </c>
      <c r="B885">
        <v>58</v>
      </c>
      <c r="C885" t="s">
        <v>12</v>
      </c>
      <c r="D885" t="s">
        <v>28</v>
      </c>
      <c r="E885" t="s">
        <v>25</v>
      </c>
      <c r="F885" s="1">
        <v>45625</v>
      </c>
      <c r="G885" s="1">
        <v>45627</v>
      </c>
      <c r="H885">
        <v>3</v>
      </c>
      <c r="I885" t="s">
        <v>46</v>
      </c>
      <c r="J885" t="s">
        <v>16</v>
      </c>
      <c r="K885">
        <v>66891</v>
      </c>
    </row>
    <row r="886" spans="1:11" x14ac:dyDescent="0.35">
      <c r="A886" t="s">
        <v>933</v>
      </c>
      <c r="B886">
        <v>81</v>
      </c>
      <c r="C886" t="s">
        <v>18</v>
      </c>
      <c r="D886" t="s">
        <v>38</v>
      </c>
      <c r="E886" t="s">
        <v>83</v>
      </c>
      <c r="F886" s="1">
        <v>45589</v>
      </c>
      <c r="G886" s="1">
        <v>45599</v>
      </c>
      <c r="H886">
        <v>146</v>
      </c>
      <c r="I886" t="s">
        <v>36</v>
      </c>
      <c r="J886" t="s">
        <v>26</v>
      </c>
      <c r="K886">
        <v>141227</v>
      </c>
    </row>
    <row r="887" spans="1:11" x14ac:dyDescent="0.35">
      <c r="A887" t="s">
        <v>934</v>
      </c>
      <c r="B887">
        <v>42</v>
      </c>
      <c r="C887" t="s">
        <v>18</v>
      </c>
      <c r="D887" t="s">
        <v>38</v>
      </c>
      <c r="E887" t="s">
        <v>20</v>
      </c>
      <c r="F887" s="1">
        <v>45418</v>
      </c>
      <c r="G887" s="1">
        <v>45420</v>
      </c>
      <c r="H887">
        <v>51</v>
      </c>
      <c r="I887" t="s">
        <v>36</v>
      </c>
      <c r="J887" t="s">
        <v>26</v>
      </c>
      <c r="K887">
        <v>113017</v>
      </c>
    </row>
    <row r="888" spans="1:11" x14ac:dyDescent="0.35">
      <c r="A888" t="s">
        <v>935</v>
      </c>
      <c r="B888">
        <v>8</v>
      </c>
      <c r="C888" t="s">
        <v>12</v>
      </c>
      <c r="D888" t="s">
        <v>13</v>
      </c>
      <c r="E888" t="s">
        <v>43</v>
      </c>
      <c r="F888" s="1">
        <v>45333</v>
      </c>
      <c r="G888" s="1">
        <v>45335</v>
      </c>
      <c r="H888">
        <v>110</v>
      </c>
      <c r="I888" t="s">
        <v>46</v>
      </c>
      <c r="J888" t="s">
        <v>16</v>
      </c>
      <c r="K888">
        <v>101808</v>
      </c>
    </row>
    <row r="889" spans="1:11" x14ac:dyDescent="0.35">
      <c r="A889" t="s">
        <v>936</v>
      </c>
      <c r="B889">
        <v>52</v>
      </c>
      <c r="C889" t="s">
        <v>12</v>
      </c>
      <c r="D889" t="s">
        <v>38</v>
      </c>
      <c r="E889" t="s">
        <v>58</v>
      </c>
      <c r="F889" s="1">
        <v>45638</v>
      </c>
      <c r="G889" s="1">
        <v>45647</v>
      </c>
      <c r="H889">
        <v>256</v>
      </c>
      <c r="I889" t="s">
        <v>46</v>
      </c>
      <c r="J889" t="s">
        <v>26</v>
      </c>
      <c r="K889">
        <v>185621</v>
      </c>
    </row>
    <row r="890" spans="1:11" x14ac:dyDescent="0.35">
      <c r="A890" t="s">
        <v>937</v>
      </c>
      <c r="B890">
        <v>54</v>
      </c>
      <c r="C890" t="s">
        <v>18</v>
      </c>
      <c r="D890" t="s">
        <v>13</v>
      </c>
      <c r="E890" t="s">
        <v>49</v>
      </c>
      <c r="F890" s="1">
        <v>45542</v>
      </c>
      <c r="G890" s="1">
        <v>45554</v>
      </c>
      <c r="H890">
        <v>66</v>
      </c>
      <c r="I890" t="s">
        <v>46</v>
      </c>
      <c r="J890" t="s">
        <v>26</v>
      </c>
      <c r="K890">
        <v>38917</v>
      </c>
    </row>
    <row r="891" spans="1:11" x14ac:dyDescent="0.35">
      <c r="A891" t="s">
        <v>938</v>
      </c>
      <c r="B891">
        <v>68</v>
      </c>
      <c r="C891" t="s">
        <v>18</v>
      </c>
      <c r="D891" t="s">
        <v>13</v>
      </c>
      <c r="E891" t="s">
        <v>20</v>
      </c>
      <c r="F891" s="1">
        <v>45652</v>
      </c>
      <c r="G891" s="1">
        <v>45661</v>
      </c>
      <c r="H891">
        <v>243</v>
      </c>
      <c r="I891" t="s">
        <v>15</v>
      </c>
      <c r="J891" t="s">
        <v>16</v>
      </c>
      <c r="K891">
        <v>151545</v>
      </c>
    </row>
    <row r="892" spans="1:11" x14ac:dyDescent="0.35">
      <c r="A892" t="s">
        <v>939</v>
      </c>
      <c r="B892">
        <v>16</v>
      </c>
      <c r="C892" t="s">
        <v>12</v>
      </c>
      <c r="D892" t="s">
        <v>24</v>
      </c>
      <c r="E892" t="s">
        <v>90</v>
      </c>
      <c r="F892" s="1">
        <v>45481</v>
      </c>
      <c r="G892" s="1">
        <v>45496</v>
      </c>
      <c r="H892">
        <v>190</v>
      </c>
      <c r="I892" t="s">
        <v>33</v>
      </c>
      <c r="J892" t="s">
        <v>16</v>
      </c>
      <c r="K892">
        <v>142042</v>
      </c>
    </row>
    <row r="893" spans="1:11" x14ac:dyDescent="0.35">
      <c r="A893" t="s">
        <v>940</v>
      </c>
      <c r="B893">
        <v>48</v>
      </c>
      <c r="C893" t="s">
        <v>12</v>
      </c>
      <c r="D893" t="s">
        <v>38</v>
      </c>
      <c r="E893" t="s">
        <v>83</v>
      </c>
      <c r="F893" s="1">
        <v>45370</v>
      </c>
      <c r="G893" s="1">
        <v>45372</v>
      </c>
      <c r="H893">
        <v>151</v>
      </c>
      <c r="I893" t="s">
        <v>46</v>
      </c>
      <c r="J893" t="s">
        <v>16</v>
      </c>
      <c r="K893">
        <v>42452</v>
      </c>
    </row>
    <row r="894" spans="1:11" x14ac:dyDescent="0.35">
      <c r="A894" t="s">
        <v>941</v>
      </c>
      <c r="B894">
        <v>76</v>
      </c>
      <c r="C894" t="s">
        <v>12</v>
      </c>
      <c r="D894" t="s">
        <v>24</v>
      </c>
      <c r="E894" t="s">
        <v>83</v>
      </c>
      <c r="F894" s="1">
        <v>45364</v>
      </c>
      <c r="G894" s="1">
        <v>45377</v>
      </c>
      <c r="H894">
        <v>146</v>
      </c>
      <c r="I894" t="s">
        <v>36</v>
      </c>
      <c r="J894" t="s">
        <v>16</v>
      </c>
      <c r="K894">
        <v>198897</v>
      </c>
    </row>
    <row r="895" spans="1:11" x14ac:dyDescent="0.35">
      <c r="A895" t="s">
        <v>942</v>
      </c>
      <c r="B895">
        <v>16</v>
      </c>
      <c r="C895" t="s">
        <v>12</v>
      </c>
      <c r="D895" t="s">
        <v>24</v>
      </c>
      <c r="E895" t="s">
        <v>52</v>
      </c>
      <c r="F895" s="1">
        <v>45542</v>
      </c>
      <c r="G895" s="1">
        <v>45543</v>
      </c>
      <c r="H895">
        <v>214</v>
      </c>
      <c r="I895" t="s">
        <v>46</v>
      </c>
      <c r="J895" t="s">
        <v>16</v>
      </c>
      <c r="K895">
        <v>153311</v>
      </c>
    </row>
    <row r="896" spans="1:11" x14ac:dyDescent="0.35">
      <c r="A896" t="s">
        <v>943</v>
      </c>
      <c r="B896">
        <v>44</v>
      </c>
      <c r="C896" t="s">
        <v>12</v>
      </c>
      <c r="D896" t="s">
        <v>31</v>
      </c>
      <c r="E896" t="s">
        <v>25</v>
      </c>
      <c r="F896" s="1">
        <v>45523</v>
      </c>
      <c r="G896" s="1">
        <v>45538</v>
      </c>
      <c r="H896">
        <v>68</v>
      </c>
      <c r="I896" t="s">
        <v>36</v>
      </c>
      <c r="J896" t="s">
        <v>26</v>
      </c>
      <c r="K896">
        <v>122946</v>
      </c>
    </row>
    <row r="897" spans="1:11" x14ac:dyDescent="0.35">
      <c r="A897" t="s">
        <v>944</v>
      </c>
      <c r="B897">
        <v>20</v>
      </c>
      <c r="C897" t="s">
        <v>12</v>
      </c>
      <c r="D897" t="s">
        <v>24</v>
      </c>
      <c r="E897" t="s">
        <v>35</v>
      </c>
      <c r="F897" s="1">
        <v>45633</v>
      </c>
      <c r="G897" s="1">
        <v>45641</v>
      </c>
      <c r="H897">
        <v>210</v>
      </c>
      <c r="I897" t="s">
        <v>46</v>
      </c>
      <c r="J897" t="s">
        <v>16</v>
      </c>
      <c r="K897">
        <v>108650</v>
      </c>
    </row>
    <row r="898" spans="1:11" x14ac:dyDescent="0.35">
      <c r="A898" t="s">
        <v>945</v>
      </c>
      <c r="B898">
        <v>6</v>
      </c>
      <c r="C898" t="s">
        <v>12</v>
      </c>
      <c r="D898" t="s">
        <v>38</v>
      </c>
      <c r="E898" t="s">
        <v>68</v>
      </c>
      <c r="F898" s="1">
        <v>45465</v>
      </c>
      <c r="G898" s="1">
        <v>45474</v>
      </c>
      <c r="H898">
        <v>46</v>
      </c>
      <c r="I898" t="s">
        <v>36</v>
      </c>
      <c r="J898" t="s">
        <v>16</v>
      </c>
      <c r="K898">
        <v>154945</v>
      </c>
    </row>
    <row r="899" spans="1:11" x14ac:dyDescent="0.35">
      <c r="A899" t="s">
        <v>946</v>
      </c>
      <c r="B899">
        <v>40</v>
      </c>
      <c r="C899" t="s">
        <v>18</v>
      </c>
      <c r="D899" t="s">
        <v>28</v>
      </c>
      <c r="E899" t="s">
        <v>45</v>
      </c>
      <c r="F899" s="1">
        <v>45614</v>
      </c>
      <c r="G899" s="1">
        <v>45627</v>
      </c>
      <c r="H899">
        <v>99</v>
      </c>
      <c r="I899" t="s">
        <v>15</v>
      </c>
      <c r="J899" t="s">
        <v>16</v>
      </c>
      <c r="K899">
        <v>129737</v>
      </c>
    </row>
    <row r="900" spans="1:11" x14ac:dyDescent="0.35">
      <c r="A900" t="s">
        <v>947</v>
      </c>
      <c r="B900">
        <v>3</v>
      </c>
      <c r="C900" t="s">
        <v>18</v>
      </c>
      <c r="D900" t="s">
        <v>28</v>
      </c>
      <c r="E900" t="s">
        <v>66</v>
      </c>
      <c r="F900" s="1">
        <v>45549</v>
      </c>
      <c r="G900" s="1">
        <v>45564</v>
      </c>
      <c r="H900">
        <v>10</v>
      </c>
      <c r="I900" t="s">
        <v>33</v>
      </c>
      <c r="J900" t="s">
        <v>16</v>
      </c>
      <c r="K900">
        <v>69300</v>
      </c>
    </row>
    <row r="901" spans="1:11" x14ac:dyDescent="0.35">
      <c r="A901" t="s">
        <v>948</v>
      </c>
      <c r="B901">
        <v>75</v>
      </c>
      <c r="C901" t="s">
        <v>12</v>
      </c>
      <c r="D901" t="s">
        <v>24</v>
      </c>
      <c r="E901" t="s">
        <v>61</v>
      </c>
      <c r="F901" s="1">
        <v>45653</v>
      </c>
      <c r="G901" s="1">
        <v>45667</v>
      </c>
      <c r="H901">
        <v>165</v>
      </c>
      <c r="I901" t="s">
        <v>46</v>
      </c>
      <c r="J901" t="s">
        <v>16</v>
      </c>
      <c r="K901">
        <v>133836</v>
      </c>
    </row>
    <row r="902" spans="1:11" x14ac:dyDescent="0.35">
      <c r="A902" t="s">
        <v>949</v>
      </c>
      <c r="B902">
        <v>56</v>
      </c>
      <c r="C902" t="s">
        <v>18</v>
      </c>
      <c r="D902" t="s">
        <v>31</v>
      </c>
      <c r="E902" t="s">
        <v>80</v>
      </c>
      <c r="F902" s="1">
        <v>45303</v>
      </c>
      <c r="G902" s="1">
        <v>45309</v>
      </c>
      <c r="H902">
        <v>271</v>
      </c>
      <c r="I902" t="s">
        <v>33</v>
      </c>
      <c r="J902" t="s">
        <v>26</v>
      </c>
      <c r="K902">
        <v>72417</v>
      </c>
    </row>
    <row r="903" spans="1:11" x14ac:dyDescent="0.35">
      <c r="A903" t="s">
        <v>950</v>
      </c>
      <c r="B903">
        <v>13</v>
      </c>
      <c r="C903" t="s">
        <v>18</v>
      </c>
      <c r="D903" t="s">
        <v>38</v>
      </c>
      <c r="E903" t="s">
        <v>106</v>
      </c>
      <c r="F903" s="1">
        <v>45338</v>
      </c>
      <c r="G903" s="1">
        <v>45340</v>
      </c>
      <c r="H903">
        <v>94</v>
      </c>
      <c r="I903" t="s">
        <v>33</v>
      </c>
      <c r="J903" t="s">
        <v>16</v>
      </c>
      <c r="K903">
        <v>45429</v>
      </c>
    </row>
    <row r="904" spans="1:11" x14ac:dyDescent="0.35">
      <c r="A904" t="s">
        <v>951</v>
      </c>
      <c r="B904">
        <v>87</v>
      </c>
      <c r="C904" t="s">
        <v>18</v>
      </c>
      <c r="D904" t="s">
        <v>24</v>
      </c>
      <c r="E904" t="s">
        <v>35</v>
      </c>
      <c r="F904" s="1">
        <v>45449</v>
      </c>
      <c r="G904" s="1">
        <v>45456</v>
      </c>
      <c r="H904">
        <v>167</v>
      </c>
      <c r="I904" t="s">
        <v>36</v>
      </c>
      <c r="J904" t="s">
        <v>16</v>
      </c>
      <c r="K904">
        <v>191987</v>
      </c>
    </row>
    <row r="905" spans="1:11" x14ac:dyDescent="0.35">
      <c r="A905" t="s">
        <v>952</v>
      </c>
      <c r="B905">
        <v>50</v>
      </c>
      <c r="C905" t="s">
        <v>18</v>
      </c>
      <c r="D905" t="s">
        <v>38</v>
      </c>
      <c r="E905" t="s">
        <v>106</v>
      </c>
      <c r="F905" s="1">
        <v>45321</v>
      </c>
      <c r="G905" s="1">
        <v>45326</v>
      </c>
      <c r="H905">
        <v>212</v>
      </c>
      <c r="I905" t="s">
        <v>33</v>
      </c>
      <c r="J905" t="s">
        <v>16</v>
      </c>
      <c r="K905">
        <v>103438</v>
      </c>
    </row>
    <row r="906" spans="1:11" x14ac:dyDescent="0.35">
      <c r="A906" t="s">
        <v>953</v>
      </c>
      <c r="B906">
        <v>26</v>
      </c>
      <c r="C906" t="s">
        <v>18</v>
      </c>
      <c r="D906" t="s">
        <v>28</v>
      </c>
      <c r="E906" t="s">
        <v>58</v>
      </c>
      <c r="F906" s="1">
        <v>45353</v>
      </c>
      <c r="G906" s="1">
        <v>45354</v>
      </c>
      <c r="H906">
        <v>122</v>
      </c>
      <c r="I906" t="s">
        <v>46</v>
      </c>
      <c r="J906" t="s">
        <v>26</v>
      </c>
      <c r="K906">
        <v>35167</v>
      </c>
    </row>
    <row r="907" spans="1:11" x14ac:dyDescent="0.35">
      <c r="A907" t="s">
        <v>954</v>
      </c>
      <c r="B907">
        <v>41</v>
      </c>
      <c r="C907" t="s">
        <v>12</v>
      </c>
      <c r="D907" t="s">
        <v>28</v>
      </c>
      <c r="E907" t="s">
        <v>93</v>
      </c>
      <c r="F907" s="1">
        <v>45429</v>
      </c>
      <c r="G907" s="1">
        <v>45430</v>
      </c>
      <c r="H907">
        <v>34</v>
      </c>
      <c r="I907" t="s">
        <v>46</v>
      </c>
      <c r="J907" t="s">
        <v>16</v>
      </c>
      <c r="K907">
        <v>111822</v>
      </c>
    </row>
    <row r="908" spans="1:11" x14ac:dyDescent="0.35">
      <c r="A908" t="s">
        <v>955</v>
      </c>
      <c r="B908">
        <v>3</v>
      </c>
      <c r="C908" t="s">
        <v>12</v>
      </c>
      <c r="D908" t="s">
        <v>28</v>
      </c>
      <c r="E908" t="s">
        <v>58</v>
      </c>
      <c r="F908" s="1">
        <v>45616</v>
      </c>
      <c r="G908" s="1">
        <v>45620</v>
      </c>
      <c r="H908">
        <v>52</v>
      </c>
      <c r="I908" t="s">
        <v>36</v>
      </c>
      <c r="J908" t="s">
        <v>16</v>
      </c>
      <c r="K908">
        <v>84852</v>
      </c>
    </row>
    <row r="909" spans="1:11" x14ac:dyDescent="0.35">
      <c r="A909" t="s">
        <v>956</v>
      </c>
      <c r="B909">
        <v>58</v>
      </c>
      <c r="C909" t="s">
        <v>18</v>
      </c>
      <c r="D909" t="s">
        <v>28</v>
      </c>
      <c r="E909" t="s">
        <v>29</v>
      </c>
      <c r="F909" s="1">
        <v>45582</v>
      </c>
      <c r="G909" s="1">
        <v>45589</v>
      </c>
      <c r="H909">
        <v>73</v>
      </c>
      <c r="I909" t="s">
        <v>33</v>
      </c>
      <c r="J909" t="s">
        <v>16</v>
      </c>
      <c r="K909">
        <v>69267</v>
      </c>
    </row>
    <row r="910" spans="1:11" x14ac:dyDescent="0.35">
      <c r="A910" t="s">
        <v>957</v>
      </c>
      <c r="B910">
        <v>72</v>
      </c>
      <c r="C910" t="s">
        <v>12</v>
      </c>
      <c r="D910" t="s">
        <v>24</v>
      </c>
      <c r="E910" t="s">
        <v>80</v>
      </c>
      <c r="F910" s="1">
        <v>45567</v>
      </c>
      <c r="G910" s="1">
        <v>45574</v>
      </c>
      <c r="H910">
        <v>238</v>
      </c>
      <c r="I910" t="s">
        <v>33</v>
      </c>
      <c r="J910" t="s">
        <v>16</v>
      </c>
      <c r="K910">
        <v>5142</v>
      </c>
    </row>
    <row r="911" spans="1:11" x14ac:dyDescent="0.35">
      <c r="A911" t="s">
        <v>958</v>
      </c>
      <c r="B911">
        <v>62</v>
      </c>
      <c r="C911" t="s">
        <v>12</v>
      </c>
      <c r="D911" t="s">
        <v>28</v>
      </c>
      <c r="E911" t="s">
        <v>32</v>
      </c>
      <c r="F911" s="1">
        <v>45322</v>
      </c>
      <c r="G911" s="1">
        <v>45337</v>
      </c>
      <c r="H911">
        <v>195</v>
      </c>
      <c r="I911" t="s">
        <v>33</v>
      </c>
      <c r="J911" t="s">
        <v>16</v>
      </c>
      <c r="K911">
        <v>158395</v>
      </c>
    </row>
    <row r="912" spans="1:11" x14ac:dyDescent="0.35">
      <c r="A912" t="s">
        <v>959</v>
      </c>
      <c r="B912">
        <v>6</v>
      </c>
      <c r="C912" t="s">
        <v>18</v>
      </c>
      <c r="D912" t="s">
        <v>28</v>
      </c>
      <c r="E912" t="s">
        <v>58</v>
      </c>
      <c r="F912" s="1">
        <v>45553</v>
      </c>
      <c r="G912" s="1">
        <v>45558</v>
      </c>
      <c r="H912">
        <v>36</v>
      </c>
      <c r="I912" t="s">
        <v>33</v>
      </c>
      <c r="J912" t="s">
        <v>16</v>
      </c>
      <c r="K912">
        <v>108626</v>
      </c>
    </row>
    <row r="913" spans="1:11" x14ac:dyDescent="0.35">
      <c r="A913" t="s">
        <v>960</v>
      </c>
      <c r="B913">
        <v>18</v>
      </c>
      <c r="C913" t="s">
        <v>12</v>
      </c>
      <c r="D913" t="s">
        <v>31</v>
      </c>
      <c r="E913" t="s">
        <v>29</v>
      </c>
      <c r="F913" s="1">
        <v>45649</v>
      </c>
      <c r="G913" s="1">
        <v>45651</v>
      </c>
      <c r="H913">
        <v>259</v>
      </c>
      <c r="I913" t="s">
        <v>33</v>
      </c>
      <c r="J913" t="s">
        <v>16</v>
      </c>
      <c r="K913">
        <v>171505</v>
      </c>
    </row>
    <row r="914" spans="1:11" x14ac:dyDescent="0.35">
      <c r="A914" t="s">
        <v>961</v>
      </c>
      <c r="B914">
        <v>58</v>
      </c>
      <c r="C914" t="s">
        <v>12</v>
      </c>
      <c r="D914" t="s">
        <v>13</v>
      </c>
      <c r="E914" t="s">
        <v>54</v>
      </c>
      <c r="F914" s="1">
        <v>45425</v>
      </c>
      <c r="G914" s="1">
        <v>45438</v>
      </c>
      <c r="H914">
        <v>165</v>
      </c>
      <c r="I914" t="s">
        <v>33</v>
      </c>
      <c r="J914" t="s">
        <v>16</v>
      </c>
      <c r="K914">
        <v>125533</v>
      </c>
    </row>
    <row r="915" spans="1:11" x14ac:dyDescent="0.35">
      <c r="A915" t="s">
        <v>962</v>
      </c>
      <c r="B915">
        <v>3</v>
      </c>
      <c r="C915" t="s">
        <v>18</v>
      </c>
      <c r="D915" t="s">
        <v>24</v>
      </c>
      <c r="E915" t="s">
        <v>35</v>
      </c>
      <c r="F915" s="1">
        <v>45598</v>
      </c>
      <c r="G915" s="1">
        <v>45604</v>
      </c>
      <c r="H915">
        <v>244</v>
      </c>
      <c r="I915" t="s">
        <v>15</v>
      </c>
      <c r="J915" t="s">
        <v>16</v>
      </c>
      <c r="K915">
        <v>181345</v>
      </c>
    </row>
    <row r="916" spans="1:11" x14ac:dyDescent="0.35">
      <c r="A916" t="s">
        <v>963</v>
      </c>
      <c r="B916">
        <v>72</v>
      </c>
      <c r="C916" t="s">
        <v>12</v>
      </c>
      <c r="D916" t="s">
        <v>31</v>
      </c>
      <c r="E916" t="s">
        <v>61</v>
      </c>
      <c r="F916" s="1">
        <v>45380</v>
      </c>
      <c r="G916" s="1">
        <v>45387</v>
      </c>
      <c r="H916">
        <v>42</v>
      </c>
      <c r="I916" t="s">
        <v>15</v>
      </c>
      <c r="J916" t="s">
        <v>16</v>
      </c>
      <c r="K916">
        <v>181059</v>
      </c>
    </row>
    <row r="917" spans="1:11" x14ac:dyDescent="0.35">
      <c r="A917" t="s">
        <v>964</v>
      </c>
      <c r="B917">
        <v>16</v>
      </c>
      <c r="C917" t="s">
        <v>12</v>
      </c>
      <c r="D917" t="s">
        <v>31</v>
      </c>
      <c r="E917" t="s">
        <v>35</v>
      </c>
      <c r="F917" s="1">
        <v>45519</v>
      </c>
      <c r="G917" s="1">
        <v>45530</v>
      </c>
      <c r="H917">
        <v>184</v>
      </c>
      <c r="I917" t="s">
        <v>46</v>
      </c>
      <c r="J917" t="s">
        <v>16</v>
      </c>
      <c r="K917">
        <v>187722</v>
      </c>
    </row>
    <row r="918" spans="1:11" x14ac:dyDescent="0.35">
      <c r="A918" t="s">
        <v>965</v>
      </c>
      <c r="B918">
        <v>60</v>
      </c>
      <c r="C918" t="s">
        <v>12</v>
      </c>
      <c r="D918" t="s">
        <v>13</v>
      </c>
      <c r="E918" t="s">
        <v>20</v>
      </c>
      <c r="F918" s="1">
        <v>45296</v>
      </c>
      <c r="G918" s="1">
        <v>45298</v>
      </c>
      <c r="H918">
        <v>5</v>
      </c>
      <c r="I918" t="s">
        <v>36</v>
      </c>
      <c r="J918" t="s">
        <v>16</v>
      </c>
      <c r="K918">
        <v>78697</v>
      </c>
    </row>
    <row r="919" spans="1:11" x14ac:dyDescent="0.35">
      <c r="A919" t="s">
        <v>966</v>
      </c>
      <c r="B919">
        <v>46</v>
      </c>
      <c r="C919" t="s">
        <v>18</v>
      </c>
      <c r="D919" t="s">
        <v>24</v>
      </c>
      <c r="E919" t="s">
        <v>35</v>
      </c>
      <c r="F919" s="1">
        <v>45640</v>
      </c>
      <c r="G919" s="1">
        <v>45655</v>
      </c>
      <c r="H919">
        <v>156</v>
      </c>
      <c r="I919" t="s">
        <v>36</v>
      </c>
      <c r="J919" t="s">
        <v>16</v>
      </c>
      <c r="K919">
        <v>134448</v>
      </c>
    </row>
    <row r="920" spans="1:11" x14ac:dyDescent="0.35">
      <c r="A920" t="s">
        <v>967</v>
      </c>
      <c r="B920">
        <v>36</v>
      </c>
      <c r="C920" t="s">
        <v>12</v>
      </c>
      <c r="D920" t="s">
        <v>28</v>
      </c>
      <c r="E920" t="s">
        <v>29</v>
      </c>
      <c r="F920" s="1">
        <v>45477</v>
      </c>
      <c r="G920" s="1">
        <v>45478</v>
      </c>
      <c r="H920">
        <v>4</v>
      </c>
      <c r="I920" t="s">
        <v>36</v>
      </c>
      <c r="J920" t="s">
        <v>26</v>
      </c>
      <c r="K920">
        <v>34083</v>
      </c>
    </row>
    <row r="921" spans="1:11" x14ac:dyDescent="0.35">
      <c r="A921" t="s">
        <v>968</v>
      </c>
      <c r="B921">
        <v>65</v>
      </c>
      <c r="C921" t="s">
        <v>12</v>
      </c>
      <c r="D921" t="s">
        <v>13</v>
      </c>
      <c r="E921" t="s">
        <v>61</v>
      </c>
      <c r="F921" s="1">
        <v>45434</v>
      </c>
      <c r="G921" s="1">
        <v>45444</v>
      </c>
      <c r="H921">
        <v>100</v>
      </c>
      <c r="I921" t="s">
        <v>36</v>
      </c>
      <c r="J921" t="s">
        <v>16</v>
      </c>
      <c r="K921">
        <v>159183</v>
      </c>
    </row>
    <row r="922" spans="1:11" x14ac:dyDescent="0.35">
      <c r="A922" t="s">
        <v>969</v>
      </c>
      <c r="B922">
        <v>9</v>
      </c>
      <c r="C922" t="s">
        <v>18</v>
      </c>
      <c r="D922" t="s">
        <v>38</v>
      </c>
      <c r="E922" t="s">
        <v>58</v>
      </c>
      <c r="F922" s="1">
        <v>45357</v>
      </c>
      <c r="G922" s="1">
        <v>45369</v>
      </c>
      <c r="H922">
        <v>117</v>
      </c>
      <c r="I922" t="s">
        <v>33</v>
      </c>
      <c r="J922" t="s">
        <v>16</v>
      </c>
      <c r="K922">
        <v>182728</v>
      </c>
    </row>
    <row r="923" spans="1:11" x14ac:dyDescent="0.35">
      <c r="A923" t="s">
        <v>970</v>
      </c>
      <c r="B923">
        <v>87</v>
      </c>
      <c r="C923" t="s">
        <v>12</v>
      </c>
      <c r="D923" t="s">
        <v>28</v>
      </c>
      <c r="E923" t="s">
        <v>20</v>
      </c>
      <c r="F923" s="1">
        <v>45303</v>
      </c>
      <c r="G923" s="1">
        <v>45315</v>
      </c>
      <c r="H923">
        <v>2</v>
      </c>
      <c r="I923" t="s">
        <v>46</v>
      </c>
      <c r="J923" t="s">
        <v>16</v>
      </c>
      <c r="K923">
        <v>89672</v>
      </c>
    </row>
    <row r="924" spans="1:11" x14ac:dyDescent="0.35">
      <c r="A924" t="s">
        <v>971</v>
      </c>
      <c r="B924">
        <v>53</v>
      </c>
      <c r="C924" t="s">
        <v>12</v>
      </c>
      <c r="D924" t="s">
        <v>24</v>
      </c>
      <c r="E924" t="s">
        <v>54</v>
      </c>
      <c r="F924" s="1">
        <v>45513</v>
      </c>
      <c r="G924" s="1">
        <v>45527</v>
      </c>
      <c r="H924">
        <v>266</v>
      </c>
      <c r="I924" t="s">
        <v>46</v>
      </c>
      <c r="J924" t="s">
        <v>26</v>
      </c>
      <c r="K924">
        <v>99757</v>
      </c>
    </row>
    <row r="925" spans="1:11" x14ac:dyDescent="0.35">
      <c r="A925" t="s">
        <v>972</v>
      </c>
      <c r="B925">
        <v>6</v>
      </c>
      <c r="C925" t="s">
        <v>18</v>
      </c>
      <c r="D925" t="s">
        <v>24</v>
      </c>
      <c r="E925" t="s">
        <v>32</v>
      </c>
      <c r="F925" s="1">
        <v>45556</v>
      </c>
      <c r="G925" s="1">
        <v>45569</v>
      </c>
      <c r="H925">
        <v>216</v>
      </c>
      <c r="I925" t="s">
        <v>46</v>
      </c>
      <c r="J925" t="s">
        <v>16</v>
      </c>
      <c r="K925">
        <v>6352</v>
      </c>
    </row>
    <row r="926" spans="1:11" x14ac:dyDescent="0.35">
      <c r="A926" t="s">
        <v>973</v>
      </c>
      <c r="B926">
        <v>43</v>
      </c>
      <c r="C926" t="s">
        <v>18</v>
      </c>
      <c r="D926" t="s">
        <v>28</v>
      </c>
      <c r="E926" t="s">
        <v>80</v>
      </c>
      <c r="F926" s="1">
        <v>45492</v>
      </c>
      <c r="G926" s="1">
        <v>45496</v>
      </c>
      <c r="H926">
        <v>116</v>
      </c>
      <c r="I926" t="s">
        <v>46</v>
      </c>
      <c r="J926" t="s">
        <v>16</v>
      </c>
      <c r="K926">
        <v>70531</v>
      </c>
    </row>
    <row r="927" spans="1:11" x14ac:dyDescent="0.35">
      <c r="A927" t="s">
        <v>974</v>
      </c>
      <c r="B927">
        <v>43</v>
      </c>
      <c r="C927" t="s">
        <v>12</v>
      </c>
      <c r="D927" t="s">
        <v>24</v>
      </c>
      <c r="E927" t="s">
        <v>68</v>
      </c>
      <c r="F927" s="1">
        <v>45392</v>
      </c>
      <c r="G927" s="1">
        <v>45395</v>
      </c>
      <c r="H927">
        <v>50</v>
      </c>
      <c r="I927" t="s">
        <v>15</v>
      </c>
      <c r="J927" t="s">
        <v>26</v>
      </c>
      <c r="K927">
        <v>118232</v>
      </c>
    </row>
    <row r="928" spans="1:11" x14ac:dyDescent="0.35">
      <c r="A928" t="s">
        <v>975</v>
      </c>
      <c r="B928">
        <v>81</v>
      </c>
      <c r="C928" t="s">
        <v>12</v>
      </c>
      <c r="D928" t="s">
        <v>38</v>
      </c>
      <c r="E928" t="s">
        <v>14</v>
      </c>
      <c r="F928" s="1">
        <v>45304</v>
      </c>
      <c r="G928" s="1">
        <v>45314</v>
      </c>
      <c r="H928">
        <v>56</v>
      </c>
      <c r="I928" t="s">
        <v>46</v>
      </c>
      <c r="J928" t="s">
        <v>16</v>
      </c>
      <c r="K928">
        <v>94339</v>
      </c>
    </row>
    <row r="929" spans="1:11" x14ac:dyDescent="0.35">
      <c r="A929" t="s">
        <v>976</v>
      </c>
      <c r="B929">
        <v>43</v>
      </c>
      <c r="C929" t="s">
        <v>18</v>
      </c>
      <c r="D929" t="s">
        <v>24</v>
      </c>
      <c r="E929" t="s">
        <v>22</v>
      </c>
      <c r="F929" s="1">
        <v>45319</v>
      </c>
      <c r="G929" s="1">
        <v>45333</v>
      </c>
      <c r="H929">
        <v>225</v>
      </c>
      <c r="I929" t="s">
        <v>15</v>
      </c>
      <c r="J929" t="s">
        <v>26</v>
      </c>
      <c r="K929">
        <v>156764</v>
      </c>
    </row>
    <row r="930" spans="1:11" x14ac:dyDescent="0.35">
      <c r="A930" t="s">
        <v>977</v>
      </c>
      <c r="B930">
        <v>8</v>
      </c>
      <c r="C930" t="s">
        <v>18</v>
      </c>
      <c r="D930" t="s">
        <v>31</v>
      </c>
      <c r="E930" t="s">
        <v>95</v>
      </c>
      <c r="F930" s="1">
        <v>45355</v>
      </c>
      <c r="G930" s="1">
        <v>45357</v>
      </c>
      <c r="H930">
        <v>34</v>
      </c>
      <c r="I930" t="s">
        <v>36</v>
      </c>
      <c r="J930" t="s">
        <v>16</v>
      </c>
      <c r="K930">
        <v>120846</v>
      </c>
    </row>
    <row r="931" spans="1:11" x14ac:dyDescent="0.35">
      <c r="A931" t="s">
        <v>978</v>
      </c>
      <c r="B931">
        <v>79</v>
      </c>
      <c r="C931" t="s">
        <v>12</v>
      </c>
      <c r="D931" t="s">
        <v>24</v>
      </c>
      <c r="E931" t="s">
        <v>90</v>
      </c>
      <c r="F931" s="1">
        <v>45320</v>
      </c>
      <c r="G931" s="1">
        <v>45325</v>
      </c>
      <c r="H931">
        <v>29</v>
      </c>
      <c r="I931" t="s">
        <v>15</v>
      </c>
      <c r="J931" t="s">
        <v>16</v>
      </c>
      <c r="K931">
        <v>104996</v>
      </c>
    </row>
    <row r="932" spans="1:11" x14ac:dyDescent="0.35">
      <c r="A932" t="s">
        <v>979</v>
      </c>
      <c r="B932">
        <v>80</v>
      </c>
      <c r="C932" t="s">
        <v>12</v>
      </c>
      <c r="D932" t="s">
        <v>13</v>
      </c>
      <c r="E932" t="s">
        <v>35</v>
      </c>
      <c r="F932" s="1">
        <v>45497</v>
      </c>
      <c r="G932" s="1">
        <v>45499</v>
      </c>
      <c r="H932">
        <v>6</v>
      </c>
      <c r="I932" t="s">
        <v>46</v>
      </c>
      <c r="J932" t="s">
        <v>26</v>
      </c>
      <c r="K932">
        <v>126689</v>
      </c>
    </row>
    <row r="933" spans="1:11" x14ac:dyDescent="0.35">
      <c r="A933" t="s">
        <v>980</v>
      </c>
      <c r="B933">
        <v>80</v>
      </c>
      <c r="C933" t="s">
        <v>18</v>
      </c>
      <c r="D933" t="s">
        <v>38</v>
      </c>
      <c r="E933" t="s">
        <v>68</v>
      </c>
      <c r="F933" s="1">
        <v>45511</v>
      </c>
      <c r="G933" s="1">
        <v>45526</v>
      </c>
      <c r="H933">
        <v>14</v>
      </c>
      <c r="I933" t="s">
        <v>46</v>
      </c>
      <c r="J933" t="s">
        <v>16</v>
      </c>
      <c r="K933">
        <v>159091</v>
      </c>
    </row>
    <row r="934" spans="1:11" x14ac:dyDescent="0.35">
      <c r="A934" t="s">
        <v>981</v>
      </c>
      <c r="B934">
        <v>14</v>
      </c>
      <c r="C934" t="s">
        <v>18</v>
      </c>
      <c r="D934" t="s">
        <v>28</v>
      </c>
      <c r="E934" t="s">
        <v>40</v>
      </c>
      <c r="F934" s="1">
        <v>45390</v>
      </c>
      <c r="G934" s="1">
        <v>45392</v>
      </c>
      <c r="H934">
        <v>35</v>
      </c>
      <c r="I934" t="s">
        <v>36</v>
      </c>
      <c r="J934" t="s">
        <v>16</v>
      </c>
      <c r="K934">
        <v>172081</v>
      </c>
    </row>
    <row r="935" spans="1:11" x14ac:dyDescent="0.35">
      <c r="A935" t="s">
        <v>982</v>
      </c>
      <c r="B935">
        <v>46</v>
      </c>
      <c r="C935" t="s">
        <v>12</v>
      </c>
      <c r="D935" t="s">
        <v>31</v>
      </c>
      <c r="E935" t="s">
        <v>25</v>
      </c>
      <c r="F935" s="1">
        <v>45552</v>
      </c>
      <c r="G935" s="1">
        <v>45557</v>
      </c>
      <c r="H935">
        <v>228</v>
      </c>
      <c r="I935" t="s">
        <v>36</v>
      </c>
      <c r="J935" t="s">
        <v>16</v>
      </c>
      <c r="K935">
        <v>41090</v>
      </c>
    </row>
    <row r="936" spans="1:11" x14ac:dyDescent="0.35">
      <c r="A936" t="s">
        <v>983</v>
      </c>
      <c r="B936">
        <v>17</v>
      </c>
      <c r="C936" t="s">
        <v>12</v>
      </c>
      <c r="D936" t="s">
        <v>28</v>
      </c>
      <c r="E936" t="s">
        <v>93</v>
      </c>
      <c r="F936" s="1">
        <v>45314</v>
      </c>
      <c r="G936" s="1">
        <v>45315</v>
      </c>
      <c r="H936">
        <v>263</v>
      </c>
      <c r="I936" t="s">
        <v>33</v>
      </c>
      <c r="J936" t="s">
        <v>16</v>
      </c>
      <c r="K936">
        <v>158004</v>
      </c>
    </row>
    <row r="937" spans="1:11" x14ac:dyDescent="0.35">
      <c r="A937" t="s">
        <v>984</v>
      </c>
      <c r="B937">
        <v>19</v>
      </c>
      <c r="C937" t="s">
        <v>18</v>
      </c>
      <c r="D937" t="s">
        <v>31</v>
      </c>
      <c r="E937" t="s">
        <v>83</v>
      </c>
      <c r="F937" s="1">
        <v>45569</v>
      </c>
      <c r="G937" s="1">
        <v>45582</v>
      </c>
      <c r="H937">
        <v>176</v>
      </c>
      <c r="I937" t="s">
        <v>33</v>
      </c>
      <c r="J937" t="s">
        <v>16</v>
      </c>
      <c r="K937">
        <v>7118</v>
      </c>
    </row>
    <row r="938" spans="1:11" x14ac:dyDescent="0.35">
      <c r="A938" t="s">
        <v>985</v>
      </c>
      <c r="B938">
        <v>85</v>
      </c>
      <c r="C938" t="s">
        <v>18</v>
      </c>
      <c r="D938" t="s">
        <v>24</v>
      </c>
      <c r="E938" t="s">
        <v>14</v>
      </c>
      <c r="F938" s="1">
        <v>45557</v>
      </c>
      <c r="G938" s="1">
        <v>45567</v>
      </c>
      <c r="H938">
        <v>260</v>
      </c>
      <c r="I938" t="s">
        <v>15</v>
      </c>
      <c r="J938" t="s">
        <v>26</v>
      </c>
      <c r="K938">
        <v>95129</v>
      </c>
    </row>
    <row r="939" spans="1:11" x14ac:dyDescent="0.35">
      <c r="A939" t="s">
        <v>986</v>
      </c>
      <c r="B939">
        <v>82</v>
      </c>
      <c r="C939" t="s">
        <v>18</v>
      </c>
      <c r="D939" t="s">
        <v>24</v>
      </c>
      <c r="E939" t="s">
        <v>95</v>
      </c>
      <c r="F939" s="1">
        <v>45392</v>
      </c>
      <c r="G939" s="1">
        <v>45396</v>
      </c>
      <c r="H939">
        <v>97</v>
      </c>
      <c r="I939" t="s">
        <v>46</v>
      </c>
      <c r="J939" t="s">
        <v>26</v>
      </c>
      <c r="K939">
        <v>162224</v>
      </c>
    </row>
    <row r="940" spans="1:11" x14ac:dyDescent="0.35">
      <c r="A940" t="s">
        <v>987</v>
      </c>
      <c r="B940">
        <v>75</v>
      </c>
      <c r="C940" t="s">
        <v>12</v>
      </c>
      <c r="D940" t="s">
        <v>28</v>
      </c>
      <c r="E940" t="s">
        <v>83</v>
      </c>
      <c r="F940" s="1">
        <v>45646</v>
      </c>
      <c r="G940" s="1">
        <v>45652</v>
      </c>
      <c r="H940">
        <v>215</v>
      </c>
      <c r="I940" t="s">
        <v>33</v>
      </c>
      <c r="J940" t="s">
        <v>16</v>
      </c>
      <c r="K940">
        <v>32485</v>
      </c>
    </row>
    <row r="941" spans="1:11" x14ac:dyDescent="0.35">
      <c r="A941" t="s">
        <v>988</v>
      </c>
      <c r="B941">
        <v>6</v>
      </c>
      <c r="C941" t="s">
        <v>12</v>
      </c>
      <c r="D941" t="s">
        <v>13</v>
      </c>
      <c r="E941" t="s">
        <v>80</v>
      </c>
      <c r="F941" s="1">
        <v>45524</v>
      </c>
      <c r="G941" s="1">
        <v>45539</v>
      </c>
      <c r="H941">
        <v>115</v>
      </c>
      <c r="I941" t="s">
        <v>36</v>
      </c>
      <c r="J941" t="s">
        <v>26</v>
      </c>
      <c r="K941">
        <v>168556</v>
      </c>
    </row>
    <row r="942" spans="1:11" x14ac:dyDescent="0.35">
      <c r="A942" t="s">
        <v>989</v>
      </c>
      <c r="B942">
        <v>62</v>
      </c>
      <c r="C942" t="s">
        <v>12</v>
      </c>
      <c r="D942" t="s">
        <v>31</v>
      </c>
      <c r="E942" t="s">
        <v>29</v>
      </c>
      <c r="F942" s="1">
        <v>45401</v>
      </c>
      <c r="G942" s="1">
        <v>45405</v>
      </c>
      <c r="H942">
        <v>205</v>
      </c>
      <c r="I942" t="s">
        <v>36</v>
      </c>
      <c r="J942" t="s">
        <v>16</v>
      </c>
      <c r="K942">
        <v>100110</v>
      </c>
    </row>
    <row r="943" spans="1:11" x14ac:dyDescent="0.35">
      <c r="A943" t="s">
        <v>990</v>
      </c>
      <c r="B943">
        <v>46</v>
      </c>
      <c r="C943" t="s">
        <v>18</v>
      </c>
      <c r="D943" t="s">
        <v>28</v>
      </c>
      <c r="E943" t="s">
        <v>90</v>
      </c>
      <c r="F943" s="1">
        <v>45297</v>
      </c>
      <c r="G943" s="1">
        <v>45299</v>
      </c>
      <c r="H943">
        <v>73</v>
      </c>
      <c r="I943" t="s">
        <v>33</v>
      </c>
      <c r="J943" t="s">
        <v>26</v>
      </c>
      <c r="K943">
        <v>55961</v>
      </c>
    </row>
    <row r="944" spans="1:11" x14ac:dyDescent="0.35">
      <c r="A944" t="s">
        <v>991</v>
      </c>
      <c r="B944">
        <v>47</v>
      </c>
      <c r="C944" t="s">
        <v>18</v>
      </c>
      <c r="D944" t="s">
        <v>24</v>
      </c>
      <c r="E944" t="s">
        <v>29</v>
      </c>
      <c r="F944" s="1">
        <v>45615</v>
      </c>
      <c r="G944" s="1">
        <v>45625</v>
      </c>
      <c r="H944">
        <v>102</v>
      </c>
      <c r="I944" t="s">
        <v>33</v>
      </c>
      <c r="J944" t="s">
        <v>16</v>
      </c>
      <c r="K944">
        <v>62395</v>
      </c>
    </row>
    <row r="945" spans="1:11" x14ac:dyDescent="0.35">
      <c r="A945" t="s">
        <v>992</v>
      </c>
      <c r="B945">
        <v>23</v>
      </c>
      <c r="C945" t="s">
        <v>12</v>
      </c>
      <c r="D945" t="s">
        <v>28</v>
      </c>
      <c r="E945" t="s">
        <v>14</v>
      </c>
      <c r="F945" s="1">
        <v>45426</v>
      </c>
      <c r="G945" s="1">
        <v>45438</v>
      </c>
      <c r="H945">
        <v>92</v>
      </c>
      <c r="I945" t="s">
        <v>36</v>
      </c>
      <c r="J945" t="s">
        <v>16</v>
      </c>
      <c r="K945">
        <v>51157</v>
      </c>
    </row>
    <row r="946" spans="1:11" x14ac:dyDescent="0.35">
      <c r="A946" t="s">
        <v>993</v>
      </c>
      <c r="B946">
        <v>13</v>
      </c>
      <c r="C946" t="s">
        <v>18</v>
      </c>
      <c r="D946" t="s">
        <v>13</v>
      </c>
      <c r="E946" t="s">
        <v>56</v>
      </c>
      <c r="F946" s="1">
        <v>45426</v>
      </c>
      <c r="G946" s="1">
        <v>45441</v>
      </c>
      <c r="H946">
        <v>57</v>
      </c>
      <c r="I946" t="s">
        <v>33</v>
      </c>
      <c r="J946" t="s">
        <v>16</v>
      </c>
      <c r="K946">
        <v>84972</v>
      </c>
    </row>
    <row r="947" spans="1:11" x14ac:dyDescent="0.35">
      <c r="A947" t="s">
        <v>994</v>
      </c>
      <c r="B947">
        <v>48</v>
      </c>
      <c r="C947" t="s">
        <v>12</v>
      </c>
      <c r="D947" t="s">
        <v>13</v>
      </c>
      <c r="E947" t="s">
        <v>49</v>
      </c>
      <c r="F947" s="1">
        <v>45525</v>
      </c>
      <c r="G947" s="1">
        <v>45529</v>
      </c>
      <c r="H947">
        <v>223</v>
      </c>
      <c r="I947" t="s">
        <v>15</v>
      </c>
      <c r="J947" t="s">
        <v>16</v>
      </c>
      <c r="K947">
        <v>42862</v>
      </c>
    </row>
    <row r="948" spans="1:11" x14ac:dyDescent="0.35">
      <c r="A948" t="s">
        <v>995</v>
      </c>
      <c r="B948">
        <v>25</v>
      </c>
      <c r="C948" t="s">
        <v>18</v>
      </c>
      <c r="D948" t="s">
        <v>28</v>
      </c>
      <c r="E948" t="s">
        <v>56</v>
      </c>
      <c r="F948" s="1">
        <v>45358</v>
      </c>
      <c r="G948" s="1">
        <v>45371</v>
      </c>
      <c r="H948">
        <v>192</v>
      </c>
      <c r="I948" t="s">
        <v>33</v>
      </c>
      <c r="J948" t="s">
        <v>26</v>
      </c>
      <c r="K948">
        <v>171761</v>
      </c>
    </row>
    <row r="949" spans="1:11" x14ac:dyDescent="0.35">
      <c r="A949" t="s">
        <v>996</v>
      </c>
      <c r="B949">
        <v>6</v>
      </c>
      <c r="C949" t="s">
        <v>18</v>
      </c>
      <c r="D949" t="s">
        <v>28</v>
      </c>
      <c r="E949" t="s">
        <v>83</v>
      </c>
      <c r="F949" s="1">
        <v>45417</v>
      </c>
      <c r="G949" s="1">
        <v>45432</v>
      </c>
      <c r="H949">
        <v>77</v>
      </c>
      <c r="I949" t="s">
        <v>33</v>
      </c>
      <c r="J949" t="s">
        <v>16</v>
      </c>
      <c r="K949">
        <v>18961</v>
      </c>
    </row>
    <row r="950" spans="1:11" x14ac:dyDescent="0.35">
      <c r="A950" t="s">
        <v>997</v>
      </c>
      <c r="B950">
        <v>36</v>
      </c>
      <c r="C950" t="s">
        <v>18</v>
      </c>
      <c r="D950" t="s">
        <v>28</v>
      </c>
      <c r="E950" t="s">
        <v>58</v>
      </c>
      <c r="F950" s="1">
        <v>45614</v>
      </c>
      <c r="G950" s="1">
        <v>45627</v>
      </c>
      <c r="H950">
        <v>251</v>
      </c>
      <c r="I950" t="s">
        <v>36</v>
      </c>
      <c r="J950" t="s">
        <v>16</v>
      </c>
      <c r="K950">
        <v>128382</v>
      </c>
    </row>
    <row r="951" spans="1:11" x14ac:dyDescent="0.35">
      <c r="A951" t="s">
        <v>998</v>
      </c>
      <c r="B951">
        <v>9</v>
      </c>
      <c r="C951" t="s">
        <v>18</v>
      </c>
      <c r="D951" t="s">
        <v>28</v>
      </c>
      <c r="E951" t="s">
        <v>56</v>
      </c>
      <c r="F951" s="1">
        <v>45631</v>
      </c>
      <c r="G951" s="1">
        <v>45641</v>
      </c>
      <c r="H951">
        <v>261</v>
      </c>
      <c r="I951" t="s">
        <v>33</v>
      </c>
      <c r="J951" t="s">
        <v>26</v>
      </c>
      <c r="K951">
        <v>141024</v>
      </c>
    </row>
    <row r="952" spans="1:11" x14ac:dyDescent="0.35">
      <c r="A952" t="s">
        <v>999</v>
      </c>
      <c r="B952">
        <v>42</v>
      </c>
      <c r="C952" t="s">
        <v>12</v>
      </c>
      <c r="D952" t="s">
        <v>28</v>
      </c>
      <c r="E952" t="s">
        <v>40</v>
      </c>
      <c r="F952" s="1">
        <v>45529</v>
      </c>
      <c r="G952" s="1">
        <v>45532</v>
      </c>
      <c r="H952">
        <v>248</v>
      </c>
      <c r="I952" t="s">
        <v>46</v>
      </c>
      <c r="J952" t="s">
        <v>26</v>
      </c>
      <c r="K952">
        <v>75342</v>
      </c>
    </row>
    <row r="953" spans="1:11" x14ac:dyDescent="0.35">
      <c r="A953" t="s">
        <v>1000</v>
      </c>
      <c r="B953">
        <v>82</v>
      </c>
      <c r="C953" t="s">
        <v>18</v>
      </c>
      <c r="D953" t="s">
        <v>13</v>
      </c>
      <c r="E953" t="s">
        <v>14</v>
      </c>
      <c r="F953" s="1">
        <v>45589</v>
      </c>
      <c r="G953" s="1">
        <v>45596</v>
      </c>
      <c r="H953">
        <v>104</v>
      </c>
      <c r="I953" t="s">
        <v>46</v>
      </c>
      <c r="J953" t="s">
        <v>16</v>
      </c>
      <c r="K953">
        <v>108782</v>
      </c>
    </row>
    <row r="954" spans="1:11" x14ac:dyDescent="0.35">
      <c r="A954" t="s">
        <v>1001</v>
      </c>
      <c r="B954">
        <v>55</v>
      </c>
      <c r="C954" t="s">
        <v>12</v>
      </c>
      <c r="D954" t="s">
        <v>28</v>
      </c>
      <c r="E954" t="s">
        <v>66</v>
      </c>
      <c r="F954" s="1">
        <v>45403</v>
      </c>
      <c r="G954" s="1">
        <v>45408</v>
      </c>
      <c r="H954">
        <v>192</v>
      </c>
      <c r="I954" t="s">
        <v>33</v>
      </c>
      <c r="J954" t="s">
        <v>16</v>
      </c>
      <c r="K954">
        <v>40213</v>
      </c>
    </row>
    <row r="955" spans="1:11" x14ac:dyDescent="0.35">
      <c r="A955" t="s">
        <v>1002</v>
      </c>
      <c r="B955">
        <v>57</v>
      </c>
      <c r="C955" t="s">
        <v>12</v>
      </c>
      <c r="D955" t="s">
        <v>13</v>
      </c>
      <c r="E955" t="s">
        <v>58</v>
      </c>
      <c r="F955" s="1">
        <v>45335</v>
      </c>
      <c r="G955" s="1">
        <v>45340</v>
      </c>
      <c r="H955">
        <v>22</v>
      </c>
      <c r="I955" t="s">
        <v>46</v>
      </c>
      <c r="J955" t="s">
        <v>16</v>
      </c>
      <c r="K955">
        <v>116700</v>
      </c>
    </row>
    <row r="956" spans="1:11" x14ac:dyDescent="0.35">
      <c r="A956" t="s">
        <v>1003</v>
      </c>
      <c r="B956">
        <v>56</v>
      </c>
      <c r="C956" t="s">
        <v>12</v>
      </c>
      <c r="D956" t="s">
        <v>38</v>
      </c>
      <c r="E956" t="s">
        <v>43</v>
      </c>
      <c r="F956" s="1">
        <v>45522</v>
      </c>
      <c r="G956" s="1">
        <v>45530</v>
      </c>
      <c r="H956">
        <v>163</v>
      </c>
      <c r="I956" t="s">
        <v>33</v>
      </c>
      <c r="J956" t="s">
        <v>26</v>
      </c>
      <c r="K956">
        <v>11479</v>
      </c>
    </row>
    <row r="957" spans="1:11" x14ac:dyDescent="0.35">
      <c r="A957" t="s">
        <v>1004</v>
      </c>
      <c r="B957">
        <v>30</v>
      </c>
      <c r="C957" t="s">
        <v>12</v>
      </c>
      <c r="D957" t="s">
        <v>24</v>
      </c>
      <c r="E957" t="s">
        <v>63</v>
      </c>
      <c r="F957" s="1">
        <v>45383</v>
      </c>
      <c r="G957" s="1">
        <v>45391</v>
      </c>
      <c r="H957">
        <v>43</v>
      </c>
      <c r="I957" t="s">
        <v>33</v>
      </c>
      <c r="J957" t="s">
        <v>16</v>
      </c>
      <c r="K957">
        <v>77463</v>
      </c>
    </row>
    <row r="958" spans="1:11" x14ac:dyDescent="0.35">
      <c r="A958" t="s">
        <v>1005</v>
      </c>
      <c r="B958">
        <v>16</v>
      </c>
      <c r="C958" t="s">
        <v>18</v>
      </c>
      <c r="D958" t="s">
        <v>38</v>
      </c>
      <c r="E958" t="s">
        <v>52</v>
      </c>
      <c r="F958" s="1">
        <v>45408</v>
      </c>
      <c r="G958" s="1">
        <v>45410</v>
      </c>
      <c r="H958">
        <v>280</v>
      </c>
      <c r="I958" t="s">
        <v>36</v>
      </c>
      <c r="J958" t="s">
        <v>16</v>
      </c>
      <c r="K958">
        <v>56549</v>
      </c>
    </row>
    <row r="959" spans="1:11" x14ac:dyDescent="0.35">
      <c r="A959" t="s">
        <v>1006</v>
      </c>
      <c r="B959">
        <v>33</v>
      </c>
      <c r="C959" t="s">
        <v>12</v>
      </c>
      <c r="D959" t="s">
        <v>38</v>
      </c>
      <c r="E959" t="s">
        <v>29</v>
      </c>
      <c r="F959" s="1">
        <v>45637</v>
      </c>
      <c r="G959" s="1">
        <v>45643</v>
      </c>
      <c r="H959">
        <v>71</v>
      </c>
      <c r="I959" t="s">
        <v>33</v>
      </c>
      <c r="J959" t="s">
        <v>16</v>
      </c>
      <c r="K959">
        <v>83505</v>
      </c>
    </row>
    <row r="960" spans="1:11" x14ac:dyDescent="0.35">
      <c r="A960" t="s">
        <v>1007</v>
      </c>
      <c r="B960">
        <v>45</v>
      </c>
      <c r="C960" t="s">
        <v>12</v>
      </c>
      <c r="D960" t="s">
        <v>31</v>
      </c>
      <c r="E960" t="s">
        <v>58</v>
      </c>
      <c r="F960" s="1">
        <v>45436</v>
      </c>
      <c r="G960" s="1">
        <v>45450</v>
      </c>
      <c r="H960">
        <v>7</v>
      </c>
      <c r="I960" t="s">
        <v>46</v>
      </c>
      <c r="J960" t="s">
        <v>16</v>
      </c>
      <c r="K960">
        <v>109203</v>
      </c>
    </row>
    <row r="961" spans="1:11" x14ac:dyDescent="0.35">
      <c r="A961" t="s">
        <v>1008</v>
      </c>
      <c r="B961">
        <v>27</v>
      </c>
      <c r="C961" t="s">
        <v>12</v>
      </c>
      <c r="D961" t="s">
        <v>13</v>
      </c>
      <c r="E961" t="s">
        <v>49</v>
      </c>
      <c r="F961" s="1">
        <v>45408</v>
      </c>
      <c r="G961" s="1">
        <v>45412</v>
      </c>
      <c r="H961">
        <v>283</v>
      </c>
      <c r="I961" t="s">
        <v>46</v>
      </c>
      <c r="J961" t="s">
        <v>26</v>
      </c>
      <c r="K961">
        <v>94301</v>
      </c>
    </row>
    <row r="962" spans="1:11" x14ac:dyDescent="0.35">
      <c r="A962" t="s">
        <v>1009</v>
      </c>
      <c r="B962">
        <v>25</v>
      </c>
      <c r="C962" t="s">
        <v>12</v>
      </c>
      <c r="D962" t="s">
        <v>31</v>
      </c>
      <c r="E962" t="s">
        <v>29</v>
      </c>
      <c r="F962" s="1">
        <v>45335</v>
      </c>
      <c r="G962" s="1">
        <v>45341</v>
      </c>
      <c r="H962">
        <v>225</v>
      </c>
      <c r="I962" t="s">
        <v>46</v>
      </c>
      <c r="J962" t="s">
        <v>16</v>
      </c>
      <c r="K962">
        <v>103225</v>
      </c>
    </row>
    <row r="963" spans="1:11" x14ac:dyDescent="0.35">
      <c r="A963" t="s">
        <v>1010</v>
      </c>
      <c r="B963">
        <v>17</v>
      </c>
      <c r="C963" t="s">
        <v>12</v>
      </c>
      <c r="D963" t="s">
        <v>24</v>
      </c>
      <c r="E963" t="s">
        <v>43</v>
      </c>
      <c r="F963" s="1">
        <v>45363</v>
      </c>
      <c r="G963" s="1">
        <v>45373</v>
      </c>
      <c r="H963">
        <v>182</v>
      </c>
      <c r="I963" t="s">
        <v>33</v>
      </c>
      <c r="J963" t="s">
        <v>16</v>
      </c>
      <c r="K963">
        <v>114876</v>
      </c>
    </row>
    <row r="964" spans="1:11" x14ac:dyDescent="0.35">
      <c r="A964" t="s">
        <v>1011</v>
      </c>
      <c r="B964">
        <v>52</v>
      </c>
      <c r="C964" t="s">
        <v>12</v>
      </c>
      <c r="D964" t="s">
        <v>38</v>
      </c>
      <c r="E964" t="s">
        <v>58</v>
      </c>
      <c r="F964" s="1">
        <v>45509</v>
      </c>
      <c r="G964" s="1">
        <v>45520</v>
      </c>
      <c r="H964">
        <v>12</v>
      </c>
      <c r="I964" t="s">
        <v>15</v>
      </c>
      <c r="J964" t="s">
        <v>16</v>
      </c>
      <c r="K964">
        <v>45289</v>
      </c>
    </row>
    <row r="965" spans="1:11" x14ac:dyDescent="0.35">
      <c r="A965" t="s">
        <v>1012</v>
      </c>
      <c r="B965">
        <v>81</v>
      </c>
      <c r="C965" t="s">
        <v>12</v>
      </c>
      <c r="D965" t="s">
        <v>31</v>
      </c>
      <c r="E965" t="s">
        <v>29</v>
      </c>
      <c r="F965" s="1">
        <v>45461</v>
      </c>
      <c r="G965" s="1">
        <v>45471</v>
      </c>
      <c r="H965">
        <v>201</v>
      </c>
      <c r="I965" t="s">
        <v>15</v>
      </c>
      <c r="J965" t="s">
        <v>26</v>
      </c>
      <c r="K965">
        <v>54371</v>
      </c>
    </row>
    <row r="966" spans="1:11" x14ac:dyDescent="0.35">
      <c r="A966" t="s">
        <v>1013</v>
      </c>
      <c r="B966">
        <v>43</v>
      </c>
      <c r="C966" t="s">
        <v>12</v>
      </c>
      <c r="D966" t="s">
        <v>38</v>
      </c>
      <c r="E966" t="s">
        <v>45</v>
      </c>
      <c r="F966" s="1">
        <v>45535</v>
      </c>
      <c r="G966" s="1">
        <v>45537</v>
      </c>
      <c r="H966">
        <v>88</v>
      </c>
      <c r="I966" t="s">
        <v>15</v>
      </c>
      <c r="J966" t="s">
        <v>16</v>
      </c>
      <c r="K966">
        <v>13404</v>
      </c>
    </row>
    <row r="967" spans="1:11" x14ac:dyDescent="0.35">
      <c r="A967" t="s">
        <v>1014</v>
      </c>
      <c r="B967">
        <v>63</v>
      </c>
      <c r="C967" t="s">
        <v>18</v>
      </c>
      <c r="D967" t="s">
        <v>13</v>
      </c>
      <c r="E967" t="s">
        <v>29</v>
      </c>
      <c r="F967" s="1">
        <v>45644</v>
      </c>
      <c r="G967" s="1">
        <v>45654</v>
      </c>
      <c r="H967">
        <v>36</v>
      </c>
      <c r="I967" t="s">
        <v>46</v>
      </c>
      <c r="J967" t="s">
        <v>16</v>
      </c>
      <c r="K967">
        <v>58973</v>
      </c>
    </row>
    <row r="968" spans="1:11" x14ac:dyDescent="0.35">
      <c r="A968" t="s">
        <v>1015</v>
      </c>
      <c r="B968">
        <v>85</v>
      </c>
      <c r="C968" t="s">
        <v>18</v>
      </c>
      <c r="D968" t="s">
        <v>31</v>
      </c>
      <c r="E968" t="s">
        <v>52</v>
      </c>
      <c r="F968" s="1">
        <v>45411</v>
      </c>
      <c r="G968" s="1">
        <v>45416</v>
      </c>
      <c r="H968">
        <v>189</v>
      </c>
      <c r="I968" t="s">
        <v>15</v>
      </c>
      <c r="J968" t="s">
        <v>16</v>
      </c>
      <c r="K968">
        <v>90661</v>
      </c>
    </row>
    <row r="969" spans="1:11" x14ac:dyDescent="0.35">
      <c r="A969" t="s">
        <v>1016</v>
      </c>
      <c r="B969">
        <v>21</v>
      </c>
      <c r="C969" t="s">
        <v>18</v>
      </c>
      <c r="D969" t="s">
        <v>13</v>
      </c>
      <c r="E969" t="s">
        <v>61</v>
      </c>
      <c r="F969" s="1">
        <v>45502</v>
      </c>
      <c r="G969" s="1">
        <v>45509</v>
      </c>
      <c r="H969">
        <v>215</v>
      </c>
      <c r="I969" t="s">
        <v>46</v>
      </c>
      <c r="J969" t="s">
        <v>16</v>
      </c>
      <c r="K969">
        <v>106972</v>
      </c>
    </row>
    <row r="970" spans="1:11" x14ac:dyDescent="0.35">
      <c r="A970" t="s">
        <v>1017</v>
      </c>
      <c r="B970">
        <v>27</v>
      </c>
      <c r="C970" t="s">
        <v>12</v>
      </c>
      <c r="D970" t="s">
        <v>31</v>
      </c>
      <c r="E970" t="s">
        <v>40</v>
      </c>
      <c r="F970" s="1">
        <v>45397</v>
      </c>
      <c r="G970" s="1">
        <v>45400</v>
      </c>
      <c r="H970">
        <v>244</v>
      </c>
      <c r="I970" t="s">
        <v>36</v>
      </c>
      <c r="J970" t="s">
        <v>16</v>
      </c>
      <c r="K970">
        <v>159007</v>
      </c>
    </row>
    <row r="971" spans="1:11" x14ac:dyDescent="0.35">
      <c r="A971" t="s">
        <v>1018</v>
      </c>
      <c r="B971">
        <v>88</v>
      </c>
      <c r="C971" t="s">
        <v>12</v>
      </c>
      <c r="D971" t="s">
        <v>38</v>
      </c>
      <c r="E971" t="s">
        <v>29</v>
      </c>
      <c r="F971" s="1">
        <v>45395</v>
      </c>
      <c r="G971" s="1">
        <v>45404</v>
      </c>
      <c r="H971">
        <v>4</v>
      </c>
      <c r="I971" t="s">
        <v>36</v>
      </c>
      <c r="J971" t="s">
        <v>26</v>
      </c>
      <c r="K971">
        <v>21769</v>
      </c>
    </row>
    <row r="972" spans="1:11" x14ac:dyDescent="0.35">
      <c r="A972" t="s">
        <v>1019</v>
      </c>
      <c r="B972">
        <v>32</v>
      </c>
      <c r="C972" t="s">
        <v>12</v>
      </c>
      <c r="D972" t="s">
        <v>28</v>
      </c>
      <c r="E972" t="s">
        <v>43</v>
      </c>
      <c r="F972" s="1">
        <v>45496</v>
      </c>
      <c r="G972" s="1">
        <v>45506</v>
      </c>
      <c r="H972">
        <v>236</v>
      </c>
      <c r="I972" t="s">
        <v>46</v>
      </c>
      <c r="J972" t="s">
        <v>16</v>
      </c>
      <c r="K972">
        <v>198276</v>
      </c>
    </row>
    <row r="973" spans="1:11" x14ac:dyDescent="0.35">
      <c r="A973" t="s">
        <v>1020</v>
      </c>
      <c r="B973">
        <v>83</v>
      </c>
      <c r="C973" t="s">
        <v>12</v>
      </c>
      <c r="D973" t="s">
        <v>38</v>
      </c>
      <c r="E973" t="s">
        <v>40</v>
      </c>
      <c r="F973" s="1">
        <v>45338</v>
      </c>
      <c r="G973" s="1">
        <v>45343</v>
      </c>
      <c r="H973">
        <v>153</v>
      </c>
      <c r="I973" t="s">
        <v>46</v>
      </c>
      <c r="J973" t="s">
        <v>16</v>
      </c>
      <c r="K973">
        <v>113803</v>
      </c>
    </row>
    <row r="974" spans="1:11" x14ac:dyDescent="0.35">
      <c r="A974" t="s">
        <v>1021</v>
      </c>
      <c r="B974">
        <v>80</v>
      </c>
      <c r="C974" t="s">
        <v>12</v>
      </c>
      <c r="D974" t="s">
        <v>31</v>
      </c>
      <c r="E974" t="s">
        <v>56</v>
      </c>
      <c r="F974" s="1">
        <v>45419</v>
      </c>
      <c r="G974" s="1">
        <v>45422</v>
      </c>
      <c r="H974">
        <v>94</v>
      </c>
      <c r="I974" t="s">
        <v>15</v>
      </c>
      <c r="J974" t="s">
        <v>26</v>
      </c>
      <c r="K974">
        <v>188145</v>
      </c>
    </row>
    <row r="975" spans="1:11" x14ac:dyDescent="0.35">
      <c r="A975" t="s">
        <v>1022</v>
      </c>
      <c r="B975">
        <v>21</v>
      </c>
      <c r="C975" t="s">
        <v>12</v>
      </c>
      <c r="D975" t="s">
        <v>28</v>
      </c>
      <c r="E975" t="s">
        <v>83</v>
      </c>
      <c r="F975" s="1">
        <v>45314</v>
      </c>
      <c r="G975" s="1">
        <v>45318</v>
      </c>
      <c r="H975">
        <v>35</v>
      </c>
      <c r="I975" t="s">
        <v>36</v>
      </c>
      <c r="J975" t="s">
        <v>26</v>
      </c>
      <c r="K975">
        <v>112814</v>
      </c>
    </row>
    <row r="976" spans="1:11" x14ac:dyDescent="0.35">
      <c r="A976" t="s">
        <v>1023</v>
      </c>
      <c r="B976">
        <v>48</v>
      </c>
      <c r="C976" t="s">
        <v>18</v>
      </c>
      <c r="D976" t="s">
        <v>24</v>
      </c>
      <c r="E976" t="s">
        <v>49</v>
      </c>
      <c r="F976" s="1">
        <v>45575</v>
      </c>
      <c r="G976" s="1">
        <v>45577</v>
      </c>
      <c r="H976">
        <v>167</v>
      </c>
      <c r="I976" t="s">
        <v>46</v>
      </c>
      <c r="J976" t="s">
        <v>26</v>
      </c>
      <c r="K976">
        <v>48211</v>
      </c>
    </row>
    <row r="977" spans="1:11" x14ac:dyDescent="0.35">
      <c r="A977" t="s">
        <v>1024</v>
      </c>
      <c r="B977">
        <v>65</v>
      </c>
      <c r="C977" t="s">
        <v>18</v>
      </c>
      <c r="D977" t="s">
        <v>31</v>
      </c>
      <c r="E977" t="s">
        <v>80</v>
      </c>
      <c r="F977" s="1">
        <v>45421</v>
      </c>
      <c r="G977" s="1">
        <v>45425</v>
      </c>
      <c r="H977">
        <v>38</v>
      </c>
      <c r="I977" t="s">
        <v>46</v>
      </c>
      <c r="J977" t="s">
        <v>26</v>
      </c>
      <c r="K977">
        <v>95087</v>
      </c>
    </row>
    <row r="978" spans="1:11" x14ac:dyDescent="0.35">
      <c r="A978" t="s">
        <v>1025</v>
      </c>
      <c r="B978">
        <v>25</v>
      </c>
      <c r="C978" t="s">
        <v>12</v>
      </c>
      <c r="D978" t="s">
        <v>24</v>
      </c>
      <c r="E978" t="s">
        <v>80</v>
      </c>
      <c r="F978" s="1">
        <v>45496</v>
      </c>
      <c r="G978" s="1">
        <v>45510</v>
      </c>
      <c r="H978">
        <v>129</v>
      </c>
      <c r="I978" t="s">
        <v>15</v>
      </c>
      <c r="J978" t="s">
        <v>16</v>
      </c>
      <c r="K978">
        <v>90750</v>
      </c>
    </row>
    <row r="979" spans="1:11" x14ac:dyDescent="0.35">
      <c r="A979" t="s">
        <v>1026</v>
      </c>
      <c r="B979">
        <v>60</v>
      </c>
      <c r="C979" t="s">
        <v>12</v>
      </c>
      <c r="D979" t="s">
        <v>31</v>
      </c>
      <c r="E979" t="s">
        <v>45</v>
      </c>
      <c r="F979" s="1">
        <v>45635</v>
      </c>
      <c r="G979" s="1">
        <v>45647</v>
      </c>
      <c r="H979">
        <v>43</v>
      </c>
      <c r="I979" t="s">
        <v>36</v>
      </c>
      <c r="J979" t="s">
        <v>26</v>
      </c>
      <c r="K979">
        <v>41767</v>
      </c>
    </row>
    <row r="980" spans="1:11" x14ac:dyDescent="0.35">
      <c r="A980" t="s">
        <v>1027</v>
      </c>
      <c r="B980">
        <v>36</v>
      </c>
      <c r="C980" t="s">
        <v>18</v>
      </c>
      <c r="D980" t="s">
        <v>13</v>
      </c>
      <c r="E980" t="s">
        <v>80</v>
      </c>
      <c r="F980" s="1">
        <v>45533</v>
      </c>
      <c r="G980" s="1">
        <v>45547</v>
      </c>
      <c r="H980">
        <v>52</v>
      </c>
      <c r="I980" t="s">
        <v>36</v>
      </c>
      <c r="J980" t="s">
        <v>16</v>
      </c>
      <c r="K980">
        <v>37545</v>
      </c>
    </row>
    <row r="981" spans="1:11" x14ac:dyDescent="0.35">
      <c r="A981" t="s">
        <v>1028</v>
      </c>
      <c r="B981">
        <v>51</v>
      </c>
      <c r="C981" t="s">
        <v>18</v>
      </c>
      <c r="D981" t="s">
        <v>24</v>
      </c>
      <c r="E981" t="s">
        <v>54</v>
      </c>
      <c r="F981" s="1">
        <v>45565</v>
      </c>
      <c r="G981" s="1">
        <v>45577</v>
      </c>
      <c r="H981">
        <v>6</v>
      </c>
      <c r="I981" t="s">
        <v>33</v>
      </c>
      <c r="J981" t="s">
        <v>16</v>
      </c>
      <c r="K981">
        <v>120515</v>
      </c>
    </row>
    <row r="982" spans="1:11" x14ac:dyDescent="0.35">
      <c r="A982" t="s">
        <v>1029</v>
      </c>
      <c r="B982">
        <v>28</v>
      </c>
      <c r="C982" t="s">
        <v>18</v>
      </c>
      <c r="D982" t="s">
        <v>28</v>
      </c>
      <c r="E982" t="s">
        <v>29</v>
      </c>
      <c r="F982" s="1">
        <v>45475</v>
      </c>
      <c r="G982" s="1">
        <v>45478</v>
      </c>
      <c r="H982">
        <v>227</v>
      </c>
      <c r="I982" t="s">
        <v>15</v>
      </c>
      <c r="J982" t="s">
        <v>16</v>
      </c>
      <c r="K982">
        <v>107398</v>
      </c>
    </row>
    <row r="983" spans="1:11" x14ac:dyDescent="0.35">
      <c r="A983" t="s">
        <v>1030</v>
      </c>
      <c r="B983">
        <v>57</v>
      </c>
      <c r="C983" t="s">
        <v>18</v>
      </c>
      <c r="D983" t="s">
        <v>28</v>
      </c>
      <c r="E983" t="s">
        <v>80</v>
      </c>
      <c r="F983" s="1">
        <v>45645</v>
      </c>
      <c r="G983" s="1">
        <v>45650</v>
      </c>
      <c r="H983">
        <v>25</v>
      </c>
      <c r="I983" t="s">
        <v>46</v>
      </c>
      <c r="J983" t="s">
        <v>16</v>
      </c>
      <c r="K983">
        <v>70457</v>
      </c>
    </row>
    <row r="984" spans="1:11" x14ac:dyDescent="0.35">
      <c r="A984" t="s">
        <v>1031</v>
      </c>
      <c r="B984">
        <v>31</v>
      </c>
      <c r="C984" t="s">
        <v>18</v>
      </c>
      <c r="D984" t="s">
        <v>24</v>
      </c>
      <c r="E984" t="s">
        <v>80</v>
      </c>
      <c r="F984" s="1">
        <v>45483</v>
      </c>
      <c r="G984" s="1">
        <v>45498</v>
      </c>
      <c r="H984">
        <v>216</v>
      </c>
      <c r="I984" t="s">
        <v>15</v>
      </c>
      <c r="J984" t="s">
        <v>16</v>
      </c>
      <c r="K984">
        <v>93373</v>
      </c>
    </row>
    <row r="985" spans="1:11" x14ac:dyDescent="0.35">
      <c r="A985" t="s">
        <v>1032</v>
      </c>
      <c r="B985">
        <v>86</v>
      </c>
      <c r="C985" t="s">
        <v>18</v>
      </c>
      <c r="D985" t="s">
        <v>13</v>
      </c>
      <c r="E985" t="s">
        <v>90</v>
      </c>
      <c r="F985" s="1">
        <v>45390</v>
      </c>
      <c r="G985" s="1">
        <v>45401</v>
      </c>
      <c r="H985">
        <v>86</v>
      </c>
      <c r="I985" t="s">
        <v>36</v>
      </c>
      <c r="J985" t="s">
        <v>16</v>
      </c>
      <c r="K985">
        <v>113968</v>
      </c>
    </row>
    <row r="986" spans="1:11" x14ac:dyDescent="0.35">
      <c r="A986" t="s">
        <v>1033</v>
      </c>
      <c r="B986">
        <v>42</v>
      </c>
      <c r="C986" t="s">
        <v>12</v>
      </c>
      <c r="D986" t="s">
        <v>28</v>
      </c>
      <c r="E986" t="s">
        <v>68</v>
      </c>
      <c r="F986" s="1">
        <v>45554</v>
      </c>
      <c r="G986" s="1">
        <v>45556</v>
      </c>
      <c r="H986">
        <v>98</v>
      </c>
      <c r="I986" t="s">
        <v>36</v>
      </c>
      <c r="J986" t="s">
        <v>26</v>
      </c>
      <c r="K986">
        <v>117166</v>
      </c>
    </row>
    <row r="987" spans="1:11" x14ac:dyDescent="0.35">
      <c r="A987" t="s">
        <v>1034</v>
      </c>
      <c r="B987">
        <v>28</v>
      </c>
      <c r="C987" t="s">
        <v>18</v>
      </c>
      <c r="D987" t="s">
        <v>38</v>
      </c>
      <c r="E987" t="s">
        <v>95</v>
      </c>
      <c r="F987" s="1">
        <v>45353</v>
      </c>
      <c r="G987" s="1">
        <v>45357</v>
      </c>
      <c r="H987">
        <v>89</v>
      </c>
      <c r="I987" t="s">
        <v>15</v>
      </c>
      <c r="J987" t="s">
        <v>26</v>
      </c>
      <c r="K987">
        <v>176440</v>
      </c>
    </row>
    <row r="988" spans="1:11" x14ac:dyDescent="0.35">
      <c r="A988" t="s">
        <v>1035</v>
      </c>
      <c r="B988">
        <v>50</v>
      </c>
      <c r="C988" t="s">
        <v>18</v>
      </c>
      <c r="D988" t="s">
        <v>31</v>
      </c>
      <c r="E988" t="s">
        <v>14</v>
      </c>
      <c r="F988" s="1">
        <v>45453</v>
      </c>
      <c r="G988" s="1">
        <v>45454</v>
      </c>
      <c r="H988">
        <v>34</v>
      </c>
      <c r="I988" t="s">
        <v>33</v>
      </c>
      <c r="J988" t="s">
        <v>16</v>
      </c>
      <c r="K988">
        <v>16518</v>
      </c>
    </row>
    <row r="989" spans="1:11" x14ac:dyDescent="0.35">
      <c r="A989" t="s">
        <v>1036</v>
      </c>
      <c r="B989">
        <v>28</v>
      </c>
      <c r="C989" t="s">
        <v>12</v>
      </c>
      <c r="D989" t="s">
        <v>38</v>
      </c>
      <c r="E989" t="s">
        <v>22</v>
      </c>
      <c r="F989" s="1">
        <v>45326</v>
      </c>
      <c r="G989" s="1">
        <v>45341</v>
      </c>
      <c r="H989">
        <v>256</v>
      </c>
      <c r="I989" t="s">
        <v>15</v>
      </c>
      <c r="J989" t="s">
        <v>16</v>
      </c>
      <c r="K989">
        <v>71044</v>
      </c>
    </row>
    <row r="990" spans="1:11" x14ac:dyDescent="0.35">
      <c r="A990" t="s">
        <v>1037</v>
      </c>
      <c r="B990">
        <v>42</v>
      </c>
      <c r="C990" t="s">
        <v>12</v>
      </c>
      <c r="D990" t="s">
        <v>13</v>
      </c>
      <c r="E990" t="s">
        <v>95</v>
      </c>
      <c r="F990" s="1">
        <v>45340</v>
      </c>
      <c r="G990" s="1">
        <v>45350</v>
      </c>
      <c r="H990">
        <v>90</v>
      </c>
      <c r="I990" t="s">
        <v>33</v>
      </c>
      <c r="J990" t="s">
        <v>26</v>
      </c>
      <c r="K990">
        <v>22698</v>
      </c>
    </row>
    <row r="991" spans="1:11" x14ac:dyDescent="0.35">
      <c r="A991" t="s">
        <v>1038</v>
      </c>
      <c r="B991">
        <v>78</v>
      </c>
      <c r="C991" t="s">
        <v>12</v>
      </c>
      <c r="D991" t="s">
        <v>31</v>
      </c>
      <c r="E991" t="s">
        <v>49</v>
      </c>
      <c r="F991" s="1">
        <v>45463</v>
      </c>
      <c r="G991" s="1">
        <v>45464</v>
      </c>
      <c r="H991">
        <v>120</v>
      </c>
      <c r="I991" t="s">
        <v>15</v>
      </c>
      <c r="J991" t="s">
        <v>16</v>
      </c>
      <c r="K991">
        <v>10560</v>
      </c>
    </row>
    <row r="992" spans="1:11" x14ac:dyDescent="0.35">
      <c r="A992" t="s">
        <v>1039</v>
      </c>
      <c r="B992">
        <v>16</v>
      </c>
      <c r="C992" t="s">
        <v>12</v>
      </c>
      <c r="D992" t="s">
        <v>13</v>
      </c>
      <c r="E992" t="s">
        <v>25</v>
      </c>
      <c r="F992" s="1">
        <v>45607</v>
      </c>
      <c r="G992" s="1">
        <v>45620</v>
      </c>
      <c r="H992">
        <v>220</v>
      </c>
      <c r="I992" t="s">
        <v>36</v>
      </c>
      <c r="J992" t="s">
        <v>16</v>
      </c>
      <c r="K992">
        <v>20708</v>
      </c>
    </row>
    <row r="993" spans="1:11" x14ac:dyDescent="0.35">
      <c r="A993" t="s">
        <v>1040</v>
      </c>
      <c r="B993">
        <v>64</v>
      </c>
      <c r="C993" t="s">
        <v>12</v>
      </c>
      <c r="D993" t="s">
        <v>13</v>
      </c>
      <c r="E993" t="s">
        <v>106</v>
      </c>
      <c r="F993" s="1">
        <v>45362</v>
      </c>
      <c r="G993" s="1">
        <v>45368</v>
      </c>
      <c r="H993">
        <v>193</v>
      </c>
      <c r="I993" t="s">
        <v>36</v>
      </c>
      <c r="J993" t="s">
        <v>16</v>
      </c>
      <c r="K993">
        <v>67407</v>
      </c>
    </row>
    <row r="994" spans="1:11" x14ac:dyDescent="0.35">
      <c r="A994" t="s">
        <v>1041</v>
      </c>
      <c r="B994">
        <v>43</v>
      </c>
      <c r="C994" t="s">
        <v>18</v>
      </c>
      <c r="D994" t="s">
        <v>38</v>
      </c>
      <c r="E994" t="s">
        <v>95</v>
      </c>
      <c r="F994" s="1">
        <v>45598</v>
      </c>
      <c r="G994" s="1">
        <v>45606</v>
      </c>
      <c r="H994">
        <v>21</v>
      </c>
      <c r="I994" t="s">
        <v>46</v>
      </c>
      <c r="J994" t="s">
        <v>16</v>
      </c>
      <c r="K994">
        <v>11211</v>
      </c>
    </row>
    <row r="995" spans="1:11" x14ac:dyDescent="0.35">
      <c r="A995" t="s">
        <v>1042</v>
      </c>
      <c r="B995">
        <v>43</v>
      </c>
      <c r="C995" t="s">
        <v>12</v>
      </c>
      <c r="D995" t="s">
        <v>13</v>
      </c>
      <c r="E995" t="s">
        <v>29</v>
      </c>
      <c r="F995" s="1">
        <v>45409</v>
      </c>
      <c r="G995" s="1">
        <v>45423</v>
      </c>
      <c r="H995">
        <v>277</v>
      </c>
      <c r="I995" t="s">
        <v>15</v>
      </c>
      <c r="J995" t="s">
        <v>16</v>
      </c>
      <c r="K995">
        <v>185184</v>
      </c>
    </row>
    <row r="996" spans="1:11" x14ac:dyDescent="0.35">
      <c r="A996" t="s">
        <v>1043</v>
      </c>
      <c r="B996">
        <v>29</v>
      </c>
      <c r="C996" t="s">
        <v>12</v>
      </c>
      <c r="D996" t="s">
        <v>28</v>
      </c>
      <c r="E996" t="s">
        <v>95</v>
      </c>
      <c r="F996" s="1">
        <v>45648</v>
      </c>
      <c r="G996" s="1">
        <v>45660</v>
      </c>
      <c r="H996">
        <v>94</v>
      </c>
      <c r="I996" t="s">
        <v>46</v>
      </c>
      <c r="J996" t="s">
        <v>16</v>
      </c>
      <c r="K996">
        <v>21938</v>
      </c>
    </row>
    <row r="997" spans="1:11" x14ac:dyDescent="0.35">
      <c r="A997" t="s">
        <v>1044</v>
      </c>
      <c r="B997">
        <v>25</v>
      </c>
      <c r="C997" t="s">
        <v>18</v>
      </c>
      <c r="D997" t="s">
        <v>13</v>
      </c>
      <c r="E997" t="s">
        <v>29</v>
      </c>
      <c r="F997" s="1">
        <v>45543</v>
      </c>
      <c r="G997" s="1">
        <v>45545</v>
      </c>
      <c r="H997">
        <v>65</v>
      </c>
      <c r="I997" t="s">
        <v>15</v>
      </c>
      <c r="J997" t="s">
        <v>16</v>
      </c>
      <c r="K997">
        <v>160354</v>
      </c>
    </row>
    <row r="998" spans="1:11" x14ac:dyDescent="0.35">
      <c r="A998" t="s">
        <v>1045</v>
      </c>
      <c r="B998">
        <v>27</v>
      </c>
      <c r="C998" t="s">
        <v>18</v>
      </c>
      <c r="D998" t="s">
        <v>28</v>
      </c>
      <c r="E998" t="s">
        <v>45</v>
      </c>
      <c r="F998" s="1">
        <v>45573</v>
      </c>
      <c r="G998" s="1">
        <v>45587</v>
      </c>
      <c r="H998">
        <v>219</v>
      </c>
      <c r="I998" t="s">
        <v>46</v>
      </c>
      <c r="J998" t="s">
        <v>16</v>
      </c>
      <c r="K998">
        <v>48033</v>
      </c>
    </row>
    <row r="999" spans="1:11" x14ac:dyDescent="0.35">
      <c r="A999" t="s">
        <v>1046</v>
      </c>
      <c r="B999">
        <v>55</v>
      </c>
      <c r="C999" t="s">
        <v>18</v>
      </c>
      <c r="D999" t="s">
        <v>28</v>
      </c>
      <c r="E999" t="s">
        <v>14</v>
      </c>
      <c r="F999" s="1">
        <v>45393</v>
      </c>
      <c r="G999" s="1">
        <v>45397</v>
      </c>
      <c r="H999">
        <v>156</v>
      </c>
      <c r="I999" t="s">
        <v>33</v>
      </c>
      <c r="J999" t="s">
        <v>26</v>
      </c>
      <c r="K999">
        <v>171619</v>
      </c>
    </row>
    <row r="1000" spans="1:11" x14ac:dyDescent="0.35">
      <c r="A1000" t="s">
        <v>1047</v>
      </c>
      <c r="B1000">
        <v>62</v>
      </c>
      <c r="C1000" t="s">
        <v>18</v>
      </c>
      <c r="D1000" t="s">
        <v>38</v>
      </c>
      <c r="E1000" t="s">
        <v>56</v>
      </c>
      <c r="F1000" s="1">
        <v>45395</v>
      </c>
      <c r="G1000" s="1">
        <v>45400</v>
      </c>
      <c r="H1000">
        <v>194</v>
      </c>
      <c r="I1000" t="s">
        <v>36</v>
      </c>
      <c r="J1000" t="s">
        <v>26</v>
      </c>
      <c r="K1000">
        <v>120704</v>
      </c>
    </row>
    <row r="1001" spans="1:11" x14ac:dyDescent="0.35">
      <c r="A1001" t="s">
        <v>1048</v>
      </c>
      <c r="B1001">
        <v>79</v>
      </c>
      <c r="C1001" t="s">
        <v>12</v>
      </c>
      <c r="D1001" t="s">
        <v>13</v>
      </c>
      <c r="E1001" t="s">
        <v>43</v>
      </c>
      <c r="F1001" s="1">
        <v>45508</v>
      </c>
      <c r="G1001" s="1">
        <v>45517</v>
      </c>
      <c r="H1001">
        <v>11</v>
      </c>
      <c r="I1001" t="s">
        <v>46</v>
      </c>
      <c r="J1001" t="s">
        <v>26</v>
      </c>
      <c r="K1001">
        <v>26818</v>
      </c>
    </row>
  </sheetData>
  <sheetProtection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36528-C93A-4B90-A0C9-4776EA2F9E0C}">
  <dimension ref="B1:AA46"/>
  <sheetViews>
    <sheetView showGridLines="0" zoomScale="55" zoomScaleNormal="55" workbookViewId="0">
      <selection activeCell="R44" sqref="R44"/>
    </sheetView>
  </sheetViews>
  <sheetFormatPr defaultRowHeight="14.5" x14ac:dyDescent="0.35"/>
  <cols>
    <col min="1" max="1" width="31.36328125" customWidth="1"/>
    <col min="5" max="5" width="8.7265625" customWidth="1"/>
    <col min="21" max="22" width="9" customWidth="1"/>
    <col min="24" max="24" width="20.81640625" customWidth="1"/>
    <col min="25" max="25" width="8.7265625" customWidth="1"/>
  </cols>
  <sheetData>
    <row r="1" spans="2:27" ht="14.5" customHeight="1" x14ac:dyDescent="0.35">
      <c r="B1" s="56" t="s">
        <v>1071</v>
      </c>
      <c r="C1" s="57"/>
      <c r="D1" s="57"/>
      <c r="E1" s="57"/>
      <c r="F1" s="57"/>
      <c r="G1" s="57"/>
      <c r="H1" s="57"/>
      <c r="I1" s="57"/>
      <c r="J1" s="57"/>
      <c r="K1" s="57"/>
      <c r="L1" s="57"/>
      <c r="M1" s="57"/>
      <c r="N1" s="57"/>
      <c r="O1" s="57"/>
      <c r="P1" s="57"/>
      <c r="Q1" s="57"/>
      <c r="R1" s="57"/>
      <c r="S1" s="57"/>
      <c r="T1" s="57"/>
      <c r="U1" s="57"/>
      <c r="V1" s="57"/>
      <c r="W1" s="57"/>
      <c r="X1" s="57"/>
      <c r="Y1" s="57"/>
      <c r="Z1" s="57"/>
      <c r="AA1" s="58"/>
    </row>
    <row r="2" spans="2:27" ht="33.5" customHeight="1" thickBot="1" x14ac:dyDescent="0.4">
      <c r="B2" s="59"/>
      <c r="C2" s="60"/>
      <c r="D2" s="60"/>
      <c r="E2" s="60"/>
      <c r="F2" s="60"/>
      <c r="G2" s="60"/>
      <c r="H2" s="60"/>
      <c r="I2" s="60"/>
      <c r="J2" s="60"/>
      <c r="K2" s="60"/>
      <c r="L2" s="60"/>
      <c r="M2" s="60"/>
      <c r="N2" s="60"/>
      <c r="O2" s="60"/>
      <c r="P2" s="60"/>
      <c r="Q2" s="60"/>
      <c r="R2" s="60"/>
      <c r="S2" s="60"/>
      <c r="T2" s="60"/>
      <c r="U2" s="60"/>
      <c r="V2" s="60"/>
      <c r="W2" s="60"/>
      <c r="X2" s="60"/>
      <c r="Y2" s="60"/>
      <c r="Z2" s="60"/>
      <c r="AA2" s="61"/>
    </row>
    <row r="3" spans="2:27" x14ac:dyDescent="0.35">
      <c r="B3" s="27"/>
      <c r="C3" s="28"/>
      <c r="D3" s="28"/>
      <c r="E3" s="28"/>
      <c r="F3" s="28"/>
      <c r="G3" s="28"/>
      <c r="H3" s="28"/>
      <c r="I3" s="28"/>
      <c r="J3" s="28"/>
      <c r="K3" s="28"/>
      <c r="L3" s="28"/>
      <c r="M3" s="28"/>
      <c r="N3" s="28"/>
      <c r="O3" s="28"/>
      <c r="P3" s="28"/>
      <c r="Q3" s="28"/>
      <c r="R3" s="28"/>
      <c r="S3" s="28"/>
      <c r="T3" s="28"/>
      <c r="U3" s="28"/>
      <c r="V3" s="28"/>
      <c r="W3" s="28"/>
      <c r="X3" s="28"/>
      <c r="Y3" s="28"/>
      <c r="Z3" s="28"/>
      <c r="AA3" s="41"/>
    </row>
    <row r="4" spans="2:27" x14ac:dyDescent="0.35">
      <c r="B4" s="27"/>
      <c r="C4" s="28"/>
      <c r="D4" s="28"/>
      <c r="E4" s="28"/>
      <c r="F4" s="28"/>
      <c r="G4" s="28"/>
      <c r="H4" s="28"/>
      <c r="I4" s="28"/>
      <c r="J4" s="28"/>
      <c r="K4" s="28"/>
      <c r="L4" s="28"/>
      <c r="M4" s="28"/>
      <c r="N4" s="28"/>
      <c r="O4" s="28"/>
      <c r="P4" s="28"/>
      <c r="Q4" s="28"/>
      <c r="R4" s="28"/>
      <c r="S4" s="28"/>
      <c r="T4" s="28"/>
      <c r="U4" s="28"/>
      <c r="V4" s="28"/>
      <c r="W4" s="28"/>
      <c r="X4" s="28"/>
      <c r="Y4" s="28"/>
      <c r="Z4" s="28"/>
      <c r="AA4" s="41"/>
    </row>
    <row r="5" spans="2:27" x14ac:dyDescent="0.35">
      <c r="B5" s="27"/>
      <c r="C5" s="28"/>
      <c r="D5" s="28"/>
      <c r="E5" s="28"/>
      <c r="F5" s="28"/>
      <c r="G5" s="28"/>
      <c r="H5" s="28"/>
      <c r="I5" s="28"/>
      <c r="J5" s="28"/>
      <c r="K5" s="28"/>
      <c r="L5" s="28"/>
      <c r="M5" s="28"/>
      <c r="N5" s="28"/>
      <c r="O5" s="28"/>
      <c r="P5" s="28"/>
      <c r="Q5" s="28"/>
      <c r="R5" s="28"/>
      <c r="S5" s="28"/>
      <c r="T5" s="28"/>
      <c r="U5" s="28"/>
      <c r="V5" s="28"/>
      <c r="W5" s="28"/>
      <c r="X5" s="28"/>
      <c r="Y5" s="28"/>
      <c r="Z5" s="28"/>
      <c r="AA5" s="41"/>
    </row>
    <row r="6" spans="2:27" x14ac:dyDescent="0.35">
      <c r="B6" s="27"/>
      <c r="C6" s="28"/>
      <c r="D6" s="28"/>
      <c r="E6" s="28"/>
      <c r="F6" s="28"/>
      <c r="G6" s="28"/>
      <c r="H6" s="28"/>
      <c r="I6" s="28"/>
      <c r="J6" s="28"/>
      <c r="K6" s="29"/>
      <c r="L6" s="28"/>
      <c r="M6" s="28"/>
      <c r="N6" s="28"/>
      <c r="O6" s="28"/>
      <c r="P6" s="28"/>
      <c r="Q6" s="28"/>
      <c r="R6" s="28"/>
      <c r="S6" s="28"/>
      <c r="T6" s="28"/>
      <c r="U6" s="28"/>
      <c r="V6" s="28"/>
      <c r="W6" s="28"/>
      <c r="X6" s="28"/>
      <c r="Y6" s="28"/>
      <c r="Z6" s="28"/>
      <c r="AA6" s="41"/>
    </row>
    <row r="7" spans="2:27" x14ac:dyDescent="0.35">
      <c r="B7" s="27"/>
      <c r="C7" s="28"/>
      <c r="D7" s="28"/>
      <c r="E7" s="28"/>
      <c r="F7" s="28"/>
      <c r="G7" s="28"/>
      <c r="H7" s="28"/>
      <c r="I7" s="28"/>
      <c r="J7" s="28"/>
      <c r="K7" s="28"/>
      <c r="L7" s="28"/>
      <c r="M7" s="28"/>
      <c r="N7" s="28"/>
      <c r="O7" s="28"/>
      <c r="P7" s="28"/>
      <c r="Q7" s="28"/>
      <c r="R7" s="28"/>
      <c r="S7" s="28"/>
      <c r="T7" s="28"/>
      <c r="U7" s="28"/>
      <c r="V7" s="28"/>
      <c r="W7" s="28"/>
      <c r="X7" s="28"/>
      <c r="Y7" s="28"/>
      <c r="Z7" s="28"/>
      <c r="AA7" s="41"/>
    </row>
    <row r="8" spans="2:27" x14ac:dyDescent="0.35">
      <c r="B8" s="27"/>
      <c r="C8" s="28"/>
      <c r="D8" s="28"/>
      <c r="E8" s="28"/>
      <c r="F8" s="28"/>
      <c r="G8" s="28"/>
      <c r="H8" s="28"/>
      <c r="I8" s="28"/>
      <c r="J8" s="28"/>
      <c r="K8" s="28"/>
      <c r="L8" s="28"/>
      <c r="M8" s="28"/>
      <c r="N8" s="28"/>
      <c r="O8" s="28"/>
      <c r="P8" s="28"/>
      <c r="Q8" s="28"/>
      <c r="R8" s="28"/>
      <c r="S8" s="28"/>
      <c r="T8" s="28"/>
      <c r="U8" s="28"/>
      <c r="V8" s="28"/>
      <c r="W8" s="28"/>
      <c r="X8" s="28"/>
      <c r="Y8" s="28"/>
      <c r="Z8" s="28"/>
      <c r="AA8" s="41"/>
    </row>
    <row r="9" spans="2:27" x14ac:dyDescent="0.35">
      <c r="B9" s="27"/>
      <c r="C9" s="28"/>
      <c r="D9" s="28"/>
      <c r="E9" s="28"/>
      <c r="F9" s="28"/>
      <c r="G9" s="28"/>
      <c r="H9" s="28"/>
      <c r="I9" s="28"/>
      <c r="J9" s="28"/>
      <c r="K9" s="28"/>
      <c r="L9" s="28"/>
      <c r="M9" s="28"/>
      <c r="N9" s="28"/>
      <c r="O9" s="28"/>
      <c r="P9" s="28"/>
      <c r="Q9" s="28"/>
      <c r="R9" s="28"/>
      <c r="S9" s="28"/>
      <c r="T9" s="28"/>
      <c r="U9" s="28"/>
      <c r="V9" s="28"/>
      <c r="W9" s="28"/>
      <c r="X9" s="28"/>
      <c r="Y9" s="28"/>
      <c r="Z9" s="28"/>
      <c r="AA9" s="41"/>
    </row>
    <row r="10" spans="2:27" x14ac:dyDescent="0.35">
      <c r="B10" s="27"/>
      <c r="C10" s="28"/>
      <c r="D10" s="28"/>
      <c r="E10" s="28"/>
      <c r="F10" s="28"/>
      <c r="G10" s="28"/>
      <c r="H10" s="28"/>
      <c r="I10" s="28"/>
      <c r="J10" s="28"/>
      <c r="K10" s="28"/>
      <c r="L10" s="28"/>
      <c r="M10" s="28"/>
      <c r="N10" s="28"/>
      <c r="O10" s="28"/>
      <c r="P10" s="28"/>
      <c r="Q10" s="28"/>
      <c r="R10" s="28"/>
      <c r="S10" s="28"/>
      <c r="T10" s="28"/>
      <c r="U10" s="28"/>
      <c r="V10" s="28"/>
      <c r="W10" s="28"/>
      <c r="X10" s="28"/>
      <c r="Y10" s="28"/>
      <c r="Z10" s="28"/>
      <c r="AA10" s="41"/>
    </row>
    <row r="11" spans="2:27" x14ac:dyDescent="0.35">
      <c r="B11" s="27"/>
      <c r="C11" s="28"/>
      <c r="D11" s="28"/>
      <c r="E11" s="28"/>
      <c r="F11" s="28"/>
      <c r="G11" s="28"/>
      <c r="H11" s="28"/>
      <c r="I11" s="28"/>
      <c r="J11" s="28"/>
      <c r="K11" s="28"/>
      <c r="L11" s="28"/>
      <c r="M11" s="28"/>
      <c r="N11" s="28"/>
      <c r="O11" s="28"/>
      <c r="P11" s="28"/>
      <c r="Q11" s="28"/>
      <c r="R11" s="28"/>
      <c r="S11" s="28"/>
      <c r="T11" s="28"/>
      <c r="U11" s="28"/>
      <c r="V11" s="28"/>
      <c r="W11" s="28"/>
      <c r="X11" s="28"/>
      <c r="Y11" s="28"/>
      <c r="Z11" s="28"/>
      <c r="AA11" s="41"/>
    </row>
    <row r="12" spans="2:27" x14ac:dyDescent="0.35">
      <c r="B12" s="27"/>
      <c r="C12" s="28"/>
      <c r="D12" s="28"/>
      <c r="E12" s="28"/>
      <c r="F12" s="28"/>
      <c r="G12" s="28"/>
      <c r="H12" s="28"/>
      <c r="I12" s="28"/>
      <c r="J12" s="28"/>
      <c r="K12" s="28"/>
      <c r="L12" s="28"/>
      <c r="M12" s="28"/>
      <c r="N12" s="28"/>
      <c r="O12" s="28"/>
      <c r="P12" s="28"/>
      <c r="Q12" s="28"/>
      <c r="R12" s="28"/>
      <c r="S12" s="28"/>
      <c r="T12" s="28"/>
      <c r="U12" s="28"/>
      <c r="V12" s="28"/>
      <c r="W12" s="28"/>
      <c r="X12" s="28"/>
      <c r="Y12" s="28"/>
      <c r="Z12" s="28"/>
      <c r="AA12" s="41"/>
    </row>
    <row r="13" spans="2:27" x14ac:dyDescent="0.35">
      <c r="B13" s="27"/>
      <c r="C13" s="28"/>
      <c r="D13" s="28"/>
      <c r="E13" s="28"/>
      <c r="F13" s="28"/>
      <c r="G13" s="28"/>
      <c r="H13" s="28"/>
      <c r="I13" s="28"/>
      <c r="J13" s="28"/>
      <c r="K13" s="28"/>
      <c r="L13" s="28"/>
      <c r="M13" s="28"/>
      <c r="N13" s="28"/>
      <c r="O13" s="28"/>
      <c r="P13" s="28"/>
      <c r="Q13" s="28"/>
      <c r="R13" s="28"/>
      <c r="S13" s="28"/>
      <c r="T13" s="28"/>
      <c r="U13" s="28"/>
      <c r="V13" s="28"/>
      <c r="W13" s="28"/>
      <c r="X13" s="28"/>
      <c r="Y13" s="28"/>
      <c r="Z13" s="28"/>
      <c r="AA13" s="41"/>
    </row>
    <row r="14" spans="2:27" x14ac:dyDescent="0.35">
      <c r="B14" s="27"/>
      <c r="C14" s="28"/>
      <c r="D14" s="28"/>
      <c r="E14" s="28"/>
      <c r="F14" s="28"/>
      <c r="G14" s="28"/>
      <c r="H14" s="28"/>
      <c r="I14" s="28"/>
      <c r="J14" s="28"/>
      <c r="K14" s="28"/>
      <c r="L14" s="28"/>
      <c r="M14" s="28"/>
      <c r="N14" s="28"/>
      <c r="O14" s="28"/>
      <c r="P14" s="28"/>
      <c r="Q14" s="28"/>
      <c r="R14" s="28"/>
      <c r="S14" s="28"/>
      <c r="T14" s="28"/>
      <c r="U14" s="28"/>
      <c r="V14" s="28"/>
      <c r="W14" s="28"/>
      <c r="X14" s="28"/>
      <c r="Y14" s="28"/>
      <c r="Z14" s="28"/>
      <c r="AA14" s="41"/>
    </row>
    <row r="15" spans="2:27" x14ac:dyDescent="0.35">
      <c r="B15" s="27"/>
      <c r="C15" s="28"/>
      <c r="D15" s="28"/>
      <c r="E15" s="28"/>
      <c r="F15" s="28"/>
      <c r="G15" s="28"/>
      <c r="H15" s="28"/>
      <c r="I15" s="28"/>
      <c r="J15" s="28"/>
      <c r="K15" s="28"/>
      <c r="L15" s="28"/>
      <c r="M15" s="28"/>
      <c r="N15" s="28"/>
      <c r="O15" s="28"/>
      <c r="P15" s="28"/>
      <c r="Q15" s="28"/>
      <c r="R15" s="28"/>
      <c r="S15" s="28"/>
      <c r="T15" s="28"/>
      <c r="U15" s="28"/>
      <c r="V15" s="28"/>
      <c r="W15" s="28"/>
      <c r="X15" s="28"/>
      <c r="Y15" s="28"/>
      <c r="Z15" s="28"/>
      <c r="AA15" s="41"/>
    </row>
    <row r="16" spans="2:27" x14ac:dyDescent="0.35">
      <c r="B16" s="27"/>
      <c r="C16" s="28"/>
      <c r="D16" s="28"/>
      <c r="E16" s="28"/>
      <c r="F16" s="28"/>
      <c r="G16" s="28"/>
      <c r="H16" s="28"/>
      <c r="I16" s="28"/>
      <c r="J16" s="28"/>
      <c r="K16" s="28"/>
      <c r="L16" s="28"/>
      <c r="M16" s="28"/>
      <c r="N16" s="28"/>
      <c r="O16" s="28"/>
      <c r="P16" s="28"/>
      <c r="Q16" s="28"/>
      <c r="R16" s="28"/>
      <c r="S16" s="28"/>
      <c r="T16" s="28"/>
      <c r="U16" s="28"/>
      <c r="V16" s="28"/>
      <c r="W16" s="28"/>
      <c r="X16" s="28"/>
      <c r="Y16" s="28"/>
      <c r="Z16" s="28"/>
      <c r="AA16" s="41"/>
    </row>
    <row r="17" spans="2:27" x14ac:dyDescent="0.35">
      <c r="B17" s="27"/>
      <c r="C17" s="28"/>
      <c r="D17" s="28"/>
      <c r="E17" s="28"/>
      <c r="F17" s="28"/>
      <c r="G17" s="28"/>
      <c r="H17" s="28"/>
      <c r="I17" s="28"/>
      <c r="J17" s="28"/>
      <c r="K17" s="28"/>
      <c r="L17" s="28"/>
      <c r="M17" s="28"/>
      <c r="N17" s="28"/>
      <c r="O17" s="28"/>
      <c r="P17" s="28"/>
      <c r="Q17" s="28"/>
      <c r="R17" s="28"/>
      <c r="S17" s="28"/>
      <c r="T17" s="28"/>
      <c r="U17" s="28"/>
      <c r="V17" s="28"/>
      <c r="W17" s="28"/>
      <c r="X17" s="28"/>
      <c r="Y17" s="28"/>
      <c r="Z17" s="28"/>
      <c r="AA17" s="41"/>
    </row>
    <row r="18" spans="2:27" x14ac:dyDescent="0.35">
      <c r="B18" s="27"/>
      <c r="C18" s="28"/>
      <c r="D18" s="28"/>
      <c r="E18" s="28"/>
      <c r="F18" s="28"/>
      <c r="G18" s="28"/>
      <c r="H18" s="28"/>
      <c r="I18" s="28"/>
      <c r="J18" s="28"/>
      <c r="K18" s="28"/>
      <c r="L18" s="28"/>
      <c r="M18" s="28"/>
      <c r="N18" s="28"/>
      <c r="O18" s="28"/>
      <c r="P18" s="28"/>
      <c r="Q18" s="28"/>
      <c r="R18" s="28"/>
      <c r="S18" s="28"/>
      <c r="T18" s="28"/>
      <c r="U18" s="28"/>
      <c r="V18" s="28"/>
      <c r="W18" s="28"/>
      <c r="X18" s="28"/>
      <c r="Y18" s="28"/>
      <c r="Z18" s="28"/>
      <c r="AA18" s="41"/>
    </row>
    <row r="19" spans="2:27" x14ac:dyDescent="0.35">
      <c r="B19" s="27"/>
      <c r="C19" s="28"/>
      <c r="D19" s="28"/>
      <c r="E19" s="28"/>
      <c r="F19" s="28"/>
      <c r="G19" s="28"/>
      <c r="H19" s="28"/>
      <c r="I19" s="28"/>
      <c r="J19" s="28"/>
      <c r="K19" s="28"/>
      <c r="L19" s="28"/>
      <c r="M19" s="28"/>
      <c r="N19" s="28"/>
      <c r="O19" s="28"/>
      <c r="P19" s="28"/>
      <c r="Q19" s="28"/>
      <c r="R19" s="28"/>
      <c r="S19" s="28"/>
      <c r="T19" s="28"/>
      <c r="U19" s="28"/>
      <c r="V19" s="28"/>
      <c r="W19" s="28"/>
      <c r="X19" s="28"/>
      <c r="Y19" s="28"/>
      <c r="Z19" s="28"/>
      <c r="AA19" s="41"/>
    </row>
    <row r="20" spans="2:27" x14ac:dyDescent="0.35">
      <c r="B20" s="27"/>
      <c r="C20" s="28"/>
      <c r="D20" s="28"/>
      <c r="E20" s="28"/>
      <c r="F20" s="28"/>
      <c r="G20" s="28"/>
      <c r="H20" s="28"/>
      <c r="I20" s="28"/>
      <c r="J20" s="28"/>
      <c r="K20" s="28"/>
      <c r="L20" s="28"/>
      <c r="M20" s="28"/>
      <c r="N20" s="28"/>
      <c r="O20" s="28"/>
      <c r="P20" s="28"/>
      <c r="Q20" s="28"/>
      <c r="R20" s="28"/>
      <c r="S20" s="28"/>
      <c r="T20" s="28"/>
      <c r="U20" s="28"/>
      <c r="V20" s="28"/>
      <c r="W20" s="28"/>
      <c r="X20" s="28"/>
      <c r="Y20" s="28"/>
      <c r="Z20" s="28"/>
      <c r="AA20" s="41"/>
    </row>
    <row r="21" spans="2:27" x14ac:dyDescent="0.35">
      <c r="B21" s="27"/>
      <c r="C21" s="28"/>
      <c r="D21" s="28"/>
      <c r="E21" s="28"/>
      <c r="F21" s="28"/>
      <c r="G21" s="28"/>
      <c r="H21" s="28"/>
      <c r="I21" s="28"/>
      <c r="J21" s="28"/>
      <c r="K21" s="28"/>
      <c r="L21" s="28"/>
      <c r="M21" s="28"/>
      <c r="N21" s="28"/>
      <c r="O21" s="28"/>
      <c r="P21" s="28"/>
      <c r="Q21" s="28"/>
      <c r="R21" s="28"/>
      <c r="S21" s="28"/>
      <c r="T21" s="28"/>
      <c r="U21" s="28"/>
      <c r="V21" s="28"/>
      <c r="W21" s="28"/>
      <c r="X21" s="28"/>
      <c r="Y21" s="28"/>
      <c r="Z21" s="28"/>
      <c r="AA21" s="41"/>
    </row>
    <row r="22" spans="2:27" x14ac:dyDescent="0.35">
      <c r="B22" s="27"/>
      <c r="C22" s="28"/>
      <c r="D22" s="28"/>
      <c r="E22" s="28"/>
      <c r="F22" s="28"/>
      <c r="G22" s="28"/>
      <c r="H22" s="28"/>
      <c r="I22" s="28"/>
      <c r="J22" s="28"/>
      <c r="K22" s="28"/>
      <c r="L22" s="28"/>
      <c r="M22" s="28"/>
      <c r="N22" s="28"/>
      <c r="O22" s="28"/>
      <c r="P22" s="28"/>
      <c r="Q22" s="28"/>
      <c r="R22" s="28"/>
      <c r="S22" s="28"/>
      <c r="T22" s="28"/>
      <c r="U22" s="28"/>
      <c r="V22" s="28"/>
      <c r="W22" s="28"/>
      <c r="X22" s="28"/>
      <c r="Y22" s="28"/>
      <c r="Z22" s="28"/>
      <c r="AA22" s="41"/>
    </row>
    <row r="23" spans="2:27" x14ac:dyDescent="0.35">
      <c r="B23" s="27"/>
      <c r="C23" s="28"/>
      <c r="D23" s="28"/>
      <c r="E23" s="28"/>
      <c r="F23" s="28"/>
      <c r="G23" s="28"/>
      <c r="H23" s="28"/>
      <c r="I23" s="28"/>
      <c r="J23" s="28"/>
      <c r="K23" s="28"/>
      <c r="L23" s="28"/>
      <c r="M23" s="28"/>
      <c r="N23" s="28"/>
      <c r="O23" s="28"/>
      <c r="P23" s="28"/>
      <c r="Q23" s="28"/>
      <c r="R23" s="28"/>
      <c r="S23" s="28"/>
      <c r="T23" s="28"/>
      <c r="U23" s="28"/>
      <c r="V23" s="28"/>
      <c r="W23" s="28"/>
      <c r="X23" s="28"/>
      <c r="Y23" s="28"/>
      <c r="Z23" s="28"/>
      <c r="AA23" s="41"/>
    </row>
    <row r="24" spans="2:27" x14ac:dyDescent="0.35">
      <c r="B24" s="27"/>
      <c r="C24" s="28"/>
      <c r="D24" s="28"/>
      <c r="E24" s="28"/>
      <c r="F24" s="28"/>
      <c r="G24" s="28"/>
      <c r="H24" s="28"/>
      <c r="I24" s="28"/>
      <c r="J24" s="28"/>
      <c r="K24" s="28"/>
      <c r="L24" s="28"/>
      <c r="M24" s="28"/>
      <c r="N24" s="28"/>
      <c r="O24" s="28"/>
      <c r="P24" s="28"/>
      <c r="Q24" s="28"/>
      <c r="R24" s="28"/>
      <c r="S24" s="28"/>
      <c r="T24" s="28"/>
      <c r="U24" s="28"/>
      <c r="V24" s="28"/>
      <c r="W24" s="28"/>
      <c r="X24" s="28"/>
      <c r="Y24" s="28"/>
      <c r="Z24" s="28"/>
      <c r="AA24" s="41"/>
    </row>
    <row r="25" spans="2:27" x14ac:dyDescent="0.35">
      <c r="B25" s="27"/>
      <c r="C25" s="28"/>
      <c r="D25" s="28"/>
      <c r="E25" s="28"/>
      <c r="F25" s="28"/>
      <c r="G25" s="28"/>
      <c r="H25" s="28"/>
      <c r="I25" s="28"/>
      <c r="J25" s="28"/>
      <c r="K25" s="28"/>
      <c r="L25" s="28"/>
      <c r="M25" s="28"/>
      <c r="N25" s="28"/>
      <c r="O25" s="28"/>
      <c r="P25" s="28"/>
      <c r="Q25" s="28"/>
      <c r="R25" s="28"/>
      <c r="S25" s="28"/>
      <c r="T25" s="28"/>
      <c r="U25" s="28"/>
      <c r="V25" s="28"/>
      <c r="W25" s="28"/>
      <c r="X25" s="28"/>
      <c r="Y25" s="28"/>
      <c r="Z25" s="28"/>
      <c r="AA25" s="41"/>
    </row>
    <row r="26" spans="2:27" x14ac:dyDescent="0.35">
      <c r="B26" s="27"/>
      <c r="C26" s="28"/>
      <c r="D26" s="28"/>
      <c r="E26" s="28"/>
      <c r="F26" s="28"/>
      <c r="G26" s="28"/>
      <c r="H26" s="28"/>
      <c r="I26" s="28"/>
      <c r="J26" s="28"/>
      <c r="K26" s="28"/>
      <c r="L26" s="28"/>
      <c r="M26" s="28"/>
      <c r="N26" s="28"/>
      <c r="O26" s="28"/>
      <c r="P26" s="28"/>
      <c r="Q26" s="28"/>
      <c r="R26" s="28"/>
      <c r="S26" s="28"/>
      <c r="T26" s="28"/>
      <c r="U26" s="28"/>
      <c r="V26" s="28"/>
      <c r="W26" s="28"/>
      <c r="X26" s="28"/>
      <c r="Y26" s="28"/>
      <c r="Z26" s="28"/>
      <c r="AA26" s="41"/>
    </row>
    <row r="27" spans="2:27" x14ac:dyDescent="0.35">
      <c r="B27" s="27"/>
      <c r="C27" s="28"/>
      <c r="D27" s="28"/>
      <c r="E27" s="28"/>
      <c r="F27" s="28"/>
      <c r="G27" s="28"/>
      <c r="H27" s="28"/>
      <c r="I27" s="28"/>
      <c r="J27" s="28"/>
      <c r="K27" s="28"/>
      <c r="L27" s="28"/>
      <c r="M27" s="28"/>
      <c r="N27" s="28"/>
      <c r="O27" s="28"/>
      <c r="P27" s="28"/>
      <c r="Q27" s="28"/>
      <c r="R27" s="28"/>
      <c r="S27" s="28"/>
      <c r="T27" s="28"/>
      <c r="U27" s="28"/>
      <c r="V27" s="28"/>
      <c r="W27" s="28"/>
      <c r="X27" s="28"/>
      <c r="Y27" s="28"/>
      <c r="Z27" s="28"/>
      <c r="AA27" s="41"/>
    </row>
    <row r="28" spans="2:27" x14ac:dyDescent="0.35">
      <c r="B28" s="27"/>
      <c r="C28" s="28"/>
      <c r="D28" s="28"/>
      <c r="E28" s="28"/>
      <c r="F28" s="28"/>
      <c r="G28" s="28"/>
      <c r="H28" s="28"/>
      <c r="I28" s="28"/>
      <c r="J28" s="28"/>
      <c r="K28" s="28"/>
      <c r="L28" s="28"/>
      <c r="M28" s="28"/>
      <c r="N28" s="28"/>
      <c r="O28" s="28"/>
      <c r="P28" s="28"/>
      <c r="Q28" s="28"/>
      <c r="R28" s="28"/>
      <c r="S28" s="28"/>
      <c r="T28" s="28"/>
      <c r="U28" s="28"/>
      <c r="V28" s="28"/>
      <c r="W28" s="28"/>
      <c r="X28" s="28"/>
      <c r="Y28" s="28"/>
      <c r="Z28" s="28"/>
      <c r="AA28" s="41"/>
    </row>
    <row r="29" spans="2:27" x14ac:dyDescent="0.35">
      <c r="B29" s="27"/>
      <c r="C29" s="28"/>
      <c r="D29" s="28"/>
      <c r="E29" s="28"/>
      <c r="F29" s="28"/>
      <c r="G29" s="28"/>
      <c r="H29" s="28"/>
      <c r="I29" s="28"/>
      <c r="J29" s="28"/>
      <c r="K29" s="28"/>
      <c r="L29" s="28"/>
      <c r="M29" s="28"/>
      <c r="N29" s="28"/>
      <c r="O29" s="28"/>
      <c r="P29" s="28"/>
      <c r="Q29" s="28"/>
      <c r="R29" s="28"/>
      <c r="S29" s="28"/>
      <c r="T29" s="28"/>
      <c r="U29" s="28"/>
      <c r="V29" s="28"/>
      <c r="W29" s="28"/>
      <c r="X29" s="28"/>
      <c r="Y29" s="28"/>
      <c r="Z29" s="28"/>
      <c r="AA29" s="41"/>
    </row>
    <row r="30" spans="2:27" x14ac:dyDescent="0.35">
      <c r="B30" s="27"/>
      <c r="C30" s="28"/>
      <c r="D30" s="28"/>
      <c r="E30" s="28"/>
      <c r="F30" s="28"/>
      <c r="G30" s="28"/>
      <c r="H30" s="28"/>
      <c r="I30" s="28"/>
      <c r="J30" s="28"/>
      <c r="K30" s="28"/>
      <c r="L30" s="28"/>
      <c r="M30" s="28"/>
      <c r="N30" s="28"/>
      <c r="O30" s="28"/>
      <c r="P30" s="28"/>
      <c r="Q30" s="28"/>
      <c r="R30" s="28"/>
      <c r="S30" s="28"/>
      <c r="T30" s="28"/>
      <c r="U30" s="28"/>
      <c r="V30" s="28"/>
      <c r="W30" s="28"/>
      <c r="X30" s="28"/>
      <c r="Y30" s="28"/>
      <c r="Z30" s="28"/>
      <c r="AA30" s="41"/>
    </row>
    <row r="31" spans="2:27" x14ac:dyDescent="0.35">
      <c r="B31" s="27"/>
      <c r="C31" s="28"/>
      <c r="D31" s="28"/>
      <c r="E31" s="28"/>
      <c r="F31" s="28"/>
      <c r="G31" s="28"/>
      <c r="H31" s="28"/>
      <c r="I31" s="28"/>
      <c r="J31" s="28"/>
      <c r="K31" s="28"/>
      <c r="L31" s="28"/>
      <c r="M31" s="28"/>
      <c r="N31" s="28"/>
      <c r="O31" s="28"/>
      <c r="P31" s="28"/>
      <c r="Q31" s="28"/>
      <c r="R31" s="28"/>
      <c r="S31" s="28"/>
      <c r="T31" s="28"/>
      <c r="U31" s="28"/>
      <c r="V31" s="28"/>
      <c r="W31" s="28"/>
      <c r="X31" s="28"/>
      <c r="Y31" s="28"/>
      <c r="Z31" s="28"/>
      <c r="AA31" s="41"/>
    </row>
    <row r="32" spans="2:27" x14ac:dyDescent="0.35">
      <c r="B32" s="27"/>
      <c r="C32" s="28"/>
      <c r="D32" s="28"/>
      <c r="E32" s="28"/>
      <c r="F32" s="28"/>
      <c r="G32" s="28"/>
      <c r="H32" s="28"/>
      <c r="I32" s="28"/>
      <c r="J32" s="28"/>
      <c r="K32" s="28"/>
      <c r="L32" s="28"/>
      <c r="M32" s="28"/>
      <c r="N32" s="28"/>
      <c r="O32" s="28"/>
      <c r="P32" s="28"/>
      <c r="Q32" s="28"/>
      <c r="R32" s="28"/>
      <c r="S32" s="28"/>
      <c r="T32" s="28"/>
      <c r="U32" s="28"/>
      <c r="V32" s="28"/>
      <c r="W32" s="28"/>
      <c r="X32" s="28"/>
      <c r="Y32" s="28"/>
      <c r="Z32" s="28"/>
      <c r="AA32" s="41"/>
    </row>
    <row r="33" spans="2:27" ht="15" thickBot="1" x14ac:dyDescent="0.4">
      <c r="B33" s="27"/>
      <c r="C33" s="28"/>
      <c r="D33" s="28"/>
      <c r="E33" s="28"/>
      <c r="F33" s="28"/>
      <c r="G33" s="28"/>
      <c r="H33" s="28"/>
      <c r="I33" s="28"/>
      <c r="J33" s="28"/>
      <c r="K33" s="28"/>
      <c r="L33" s="28"/>
      <c r="M33" s="28"/>
      <c r="N33" s="28"/>
      <c r="O33" s="28"/>
      <c r="P33" s="28"/>
      <c r="Q33" s="28"/>
      <c r="R33" s="28"/>
      <c r="S33" s="28"/>
      <c r="T33" s="28"/>
      <c r="U33" s="28"/>
      <c r="V33" s="28"/>
      <c r="W33" s="28"/>
      <c r="X33" s="28"/>
      <c r="Y33" s="28"/>
      <c r="Z33" s="28"/>
      <c r="AA33" s="41"/>
    </row>
    <row r="34" spans="2:27" ht="24" thickBot="1" x14ac:dyDescent="0.6">
      <c r="B34" s="27"/>
      <c r="C34" s="28"/>
      <c r="D34" s="28"/>
      <c r="E34" s="28"/>
      <c r="F34" s="28"/>
      <c r="G34" s="28"/>
      <c r="H34" s="28"/>
      <c r="I34" s="28"/>
      <c r="J34" s="28"/>
      <c r="K34" s="28"/>
      <c r="L34" s="28"/>
      <c r="M34" s="62" t="s">
        <v>1069</v>
      </c>
      <c r="N34" s="63"/>
      <c r="O34" s="63"/>
      <c r="P34" s="63"/>
      <c r="Q34" s="63"/>
      <c r="R34" s="63"/>
      <c r="S34" s="63"/>
      <c r="T34" s="63"/>
      <c r="U34" s="63"/>
      <c r="V34" s="63"/>
      <c r="W34" s="63"/>
      <c r="X34" s="63"/>
      <c r="Y34" s="63"/>
      <c r="Z34" s="63"/>
      <c r="AA34" s="64"/>
    </row>
    <row r="35" spans="2:27" x14ac:dyDescent="0.35">
      <c r="B35" s="27"/>
      <c r="C35" s="28"/>
      <c r="D35" s="28"/>
      <c r="E35" s="28"/>
      <c r="F35" s="28"/>
      <c r="G35" s="28"/>
      <c r="H35" s="28"/>
      <c r="I35" s="28"/>
      <c r="J35" s="28"/>
      <c r="K35" s="28"/>
      <c r="L35" s="28"/>
      <c r="M35" s="35">
        <v>1</v>
      </c>
      <c r="N35" s="36" t="s">
        <v>1062</v>
      </c>
      <c r="O35" s="36"/>
      <c r="P35" s="36"/>
      <c r="Q35" s="36"/>
      <c r="R35" s="36"/>
      <c r="S35" s="36"/>
      <c r="T35" s="36"/>
      <c r="U35" s="36"/>
      <c r="V35" s="36"/>
      <c r="W35" s="36"/>
      <c r="X35" s="36">
        <v>1001</v>
      </c>
      <c r="Y35" s="36" t="s">
        <v>1109</v>
      </c>
      <c r="Z35" s="36"/>
      <c r="AA35" s="42"/>
    </row>
    <row r="36" spans="2:27" x14ac:dyDescent="0.35">
      <c r="B36" s="27"/>
      <c r="C36" s="28"/>
      <c r="D36" s="28"/>
      <c r="E36" s="28"/>
      <c r="F36" s="28"/>
      <c r="G36" s="28"/>
      <c r="H36" s="28"/>
      <c r="I36" s="28"/>
      <c r="J36" s="28"/>
      <c r="K36" s="28"/>
      <c r="L36" s="28"/>
      <c r="M36" s="37"/>
      <c r="N36" s="38"/>
      <c r="O36" s="38"/>
      <c r="P36" s="38"/>
      <c r="Q36" s="38"/>
      <c r="R36" s="38"/>
      <c r="S36" s="38"/>
      <c r="T36" s="38"/>
      <c r="U36" s="38"/>
      <c r="V36" s="38"/>
      <c r="W36" s="38"/>
      <c r="X36" s="38"/>
      <c r="Y36" s="38"/>
      <c r="Z36" s="38"/>
      <c r="AA36" s="43"/>
    </row>
    <row r="37" spans="2:27" x14ac:dyDescent="0.35">
      <c r="B37" s="27"/>
      <c r="C37" s="28"/>
      <c r="D37" s="28"/>
      <c r="E37" s="28"/>
      <c r="F37" s="28"/>
      <c r="G37" s="28"/>
      <c r="H37" s="28"/>
      <c r="I37" s="28"/>
      <c r="J37" s="28"/>
      <c r="K37" s="28"/>
      <c r="L37" s="28"/>
      <c r="M37" s="37">
        <v>2</v>
      </c>
      <c r="N37" s="38" t="s">
        <v>1063</v>
      </c>
      <c r="O37" s="38"/>
      <c r="P37" s="38"/>
      <c r="Q37" s="38"/>
      <c r="R37" s="38"/>
      <c r="S37" s="38"/>
      <c r="T37" s="38"/>
      <c r="U37" s="38"/>
      <c r="V37" s="38"/>
      <c r="W37" s="38"/>
      <c r="X37" s="39">
        <v>104068467</v>
      </c>
      <c r="Y37" s="38" t="s">
        <v>1065</v>
      </c>
      <c r="Z37" s="38"/>
      <c r="AA37" s="43"/>
    </row>
    <row r="38" spans="2:27" x14ac:dyDescent="0.35">
      <c r="B38" s="27"/>
      <c r="C38" s="28"/>
      <c r="D38" s="28"/>
      <c r="E38" s="28"/>
      <c r="F38" s="28"/>
      <c r="G38" s="28"/>
      <c r="H38" s="28"/>
      <c r="I38" s="28"/>
      <c r="J38" s="28"/>
      <c r="K38" s="28"/>
      <c r="L38" s="28"/>
      <c r="M38" s="37"/>
      <c r="N38" s="38"/>
      <c r="O38" s="38"/>
      <c r="P38" s="38"/>
      <c r="Q38" s="38"/>
      <c r="R38" s="38"/>
      <c r="S38" s="38"/>
      <c r="T38" s="38"/>
      <c r="U38" s="38"/>
      <c r="V38" s="38"/>
      <c r="W38" s="38"/>
      <c r="X38" s="38"/>
      <c r="Y38" s="38"/>
      <c r="Z38" s="38"/>
      <c r="AA38" s="43"/>
    </row>
    <row r="39" spans="2:27" x14ac:dyDescent="0.35">
      <c r="B39" s="27"/>
      <c r="C39" s="28"/>
      <c r="D39" s="28"/>
      <c r="E39" s="28"/>
      <c r="F39" s="28"/>
      <c r="G39" s="28"/>
      <c r="H39" s="28"/>
      <c r="I39" s="28"/>
      <c r="J39" s="28"/>
      <c r="K39" s="28"/>
      <c r="L39" s="28"/>
      <c r="M39" s="37">
        <v>3</v>
      </c>
      <c r="N39" s="38" t="s">
        <v>1064</v>
      </c>
      <c r="O39" s="38"/>
      <c r="P39" s="38"/>
      <c r="Q39" s="38"/>
      <c r="R39" s="38"/>
      <c r="S39" s="38"/>
      <c r="T39" s="38"/>
      <c r="U39" s="38"/>
      <c r="V39" s="38"/>
      <c r="W39" s="38"/>
      <c r="X39" s="38">
        <v>7.9509999999999996</v>
      </c>
      <c r="Y39" s="38" t="s">
        <v>1066</v>
      </c>
      <c r="Z39" s="38"/>
      <c r="AA39" s="43"/>
    </row>
    <row r="40" spans="2:27" x14ac:dyDescent="0.35">
      <c r="B40" s="27"/>
      <c r="C40" s="28"/>
      <c r="D40" s="28"/>
      <c r="E40" s="28"/>
      <c r="F40" s="28"/>
      <c r="G40" s="28"/>
      <c r="H40" s="28"/>
      <c r="I40" s="28"/>
      <c r="J40" s="28"/>
      <c r="K40" s="28"/>
      <c r="L40" s="28"/>
      <c r="M40" s="37"/>
      <c r="N40" s="38"/>
      <c r="O40" s="38"/>
      <c r="P40" s="38"/>
      <c r="Q40" s="38"/>
      <c r="R40" s="38"/>
      <c r="S40" s="38"/>
      <c r="T40" s="38"/>
      <c r="U40" s="38"/>
      <c r="V40" s="38"/>
      <c r="W40" s="38"/>
      <c r="X40" s="38"/>
      <c r="Y40" s="38"/>
      <c r="Z40" s="38"/>
      <c r="AA40" s="43"/>
    </row>
    <row r="41" spans="2:27" x14ac:dyDescent="0.35">
      <c r="B41" s="27"/>
      <c r="C41" s="28"/>
      <c r="D41" s="28"/>
      <c r="E41" s="28"/>
      <c r="F41" s="28"/>
      <c r="G41" s="28"/>
      <c r="H41" s="28"/>
      <c r="I41" s="28"/>
      <c r="J41" s="28"/>
      <c r="K41" s="28"/>
      <c r="L41" s="28"/>
      <c r="M41" s="37">
        <v>4</v>
      </c>
      <c r="N41" s="38" t="s">
        <v>1067</v>
      </c>
      <c r="O41" s="38"/>
      <c r="P41" s="38"/>
      <c r="Q41" s="38"/>
      <c r="R41" s="38"/>
      <c r="S41" s="38"/>
      <c r="T41" s="38"/>
      <c r="U41" s="38"/>
      <c r="V41" s="38"/>
      <c r="W41" s="38"/>
      <c r="X41" s="40">
        <v>0.72199999999999998</v>
      </c>
      <c r="Y41" s="38"/>
      <c r="Z41" s="38"/>
      <c r="AA41" s="43"/>
    </row>
    <row r="42" spans="2:27" x14ac:dyDescent="0.35">
      <c r="B42" s="27"/>
      <c r="C42" s="28"/>
      <c r="D42" s="28"/>
      <c r="E42" s="28"/>
      <c r="F42" s="28"/>
      <c r="G42" s="28"/>
      <c r="H42" s="28"/>
      <c r="I42" s="28"/>
      <c r="J42" s="28"/>
      <c r="K42" s="28"/>
      <c r="L42" s="28"/>
      <c r="M42" s="37"/>
      <c r="N42" s="38"/>
      <c r="O42" s="38"/>
      <c r="P42" s="38"/>
      <c r="Q42" s="38"/>
      <c r="R42" s="38"/>
      <c r="S42" s="38"/>
      <c r="T42" s="38"/>
      <c r="U42" s="38"/>
      <c r="V42" s="38"/>
      <c r="W42" s="38"/>
      <c r="X42" s="38"/>
      <c r="Y42" s="38"/>
      <c r="Z42" s="38"/>
      <c r="AA42" s="43"/>
    </row>
    <row r="43" spans="2:27" x14ac:dyDescent="0.35">
      <c r="B43" s="27"/>
      <c r="C43" s="28"/>
      <c r="D43" s="28"/>
      <c r="E43" s="28"/>
      <c r="F43" s="28"/>
      <c r="G43" s="28"/>
      <c r="H43" s="28"/>
      <c r="I43" s="28"/>
      <c r="J43" s="28"/>
      <c r="K43" s="28"/>
      <c r="L43" s="28"/>
      <c r="M43" s="37">
        <v>5</v>
      </c>
      <c r="N43" s="38" t="s">
        <v>1068</v>
      </c>
      <c r="O43" s="38"/>
      <c r="P43" s="38"/>
      <c r="Q43" s="38"/>
      <c r="R43" s="38"/>
      <c r="S43" s="38"/>
      <c r="T43" s="38"/>
      <c r="U43" s="38"/>
      <c r="V43" s="38"/>
      <c r="W43" s="38"/>
      <c r="X43" s="39">
        <v>104068.467</v>
      </c>
      <c r="Y43" s="38" t="s">
        <v>1065</v>
      </c>
      <c r="Z43" s="38"/>
      <c r="AA43" s="43"/>
    </row>
    <row r="44" spans="2:27" x14ac:dyDescent="0.35">
      <c r="B44" s="27"/>
      <c r="C44" s="28"/>
      <c r="D44" s="28"/>
      <c r="E44" s="28"/>
      <c r="F44" s="28"/>
      <c r="G44" s="28"/>
      <c r="H44" s="28"/>
      <c r="I44" s="28"/>
      <c r="J44" s="28"/>
      <c r="K44" s="28"/>
      <c r="L44" s="28"/>
      <c r="M44" s="37"/>
      <c r="N44" s="38"/>
      <c r="O44" s="38"/>
      <c r="P44" s="38"/>
      <c r="Q44" s="38"/>
      <c r="R44" s="38"/>
      <c r="S44" s="38"/>
      <c r="T44" s="38"/>
      <c r="U44" s="38"/>
      <c r="V44" s="38"/>
      <c r="W44" s="38"/>
      <c r="X44" s="38"/>
      <c r="Y44" s="38"/>
      <c r="Z44" s="38"/>
      <c r="AA44" s="43"/>
    </row>
    <row r="45" spans="2:27" x14ac:dyDescent="0.35">
      <c r="B45" s="27"/>
      <c r="C45" s="28"/>
      <c r="D45" s="28"/>
      <c r="E45" s="28"/>
      <c r="F45" s="28"/>
      <c r="G45" s="28"/>
      <c r="H45" s="28"/>
      <c r="I45" s="28"/>
      <c r="J45" s="28"/>
      <c r="K45" s="28"/>
      <c r="L45" s="28"/>
      <c r="M45" s="30"/>
      <c r="N45" s="29"/>
      <c r="O45" s="29"/>
      <c r="P45" s="29"/>
      <c r="Q45" s="29"/>
      <c r="R45" s="29"/>
      <c r="S45" s="29"/>
      <c r="T45" s="29"/>
      <c r="U45" s="29"/>
      <c r="V45" s="29"/>
      <c r="W45" s="29"/>
      <c r="X45" s="29"/>
      <c r="Y45" s="29"/>
      <c r="Z45" s="29"/>
      <c r="AA45" s="43"/>
    </row>
    <row r="46" spans="2:27" ht="15" thickBot="1" x14ac:dyDescent="0.4">
      <c r="B46" s="31"/>
      <c r="C46" s="32"/>
      <c r="D46" s="32"/>
      <c r="E46" s="32"/>
      <c r="F46" s="32"/>
      <c r="G46" s="32"/>
      <c r="H46" s="32"/>
      <c r="I46" s="32"/>
      <c r="J46" s="32"/>
      <c r="K46" s="32"/>
      <c r="L46" s="32"/>
      <c r="M46" s="33"/>
      <c r="N46" s="34"/>
      <c r="O46" s="34"/>
      <c r="P46" s="34"/>
      <c r="Q46" s="34"/>
      <c r="R46" s="34"/>
      <c r="S46" s="34"/>
      <c r="T46" s="34"/>
      <c r="U46" s="34"/>
      <c r="V46" s="34"/>
      <c r="W46" s="34"/>
      <c r="X46" s="34"/>
      <c r="Y46" s="34"/>
      <c r="Z46" s="34"/>
      <c r="AA46" s="44"/>
    </row>
  </sheetData>
  <mergeCells count="2">
    <mergeCell ref="B1:AA2"/>
    <mergeCell ref="M34:AA3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8F26-6FD1-4539-9F99-10C75855D91E}">
  <dimension ref="B1:N12"/>
  <sheetViews>
    <sheetView showGridLines="0" workbookViewId="0">
      <selection activeCell="L7" sqref="L7"/>
    </sheetView>
  </sheetViews>
  <sheetFormatPr defaultRowHeight="14.5" x14ac:dyDescent="0.35"/>
  <cols>
    <col min="1" max="1" width="36.90625" customWidth="1"/>
    <col min="5" max="5" width="15.08984375" bestFit="1" customWidth="1"/>
    <col min="8" max="8" width="19.81640625" customWidth="1"/>
  </cols>
  <sheetData>
    <row r="1" spans="2:14" ht="46" customHeight="1" thickBot="1" x14ac:dyDescent="0.4">
      <c r="B1" s="65" t="s">
        <v>1069</v>
      </c>
      <c r="C1" s="66"/>
      <c r="D1" s="66"/>
      <c r="E1" s="66"/>
      <c r="F1" s="66"/>
      <c r="G1" s="66"/>
      <c r="H1" s="66"/>
      <c r="I1" s="66"/>
      <c r="J1" s="67"/>
    </row>
    <row r="2" spans="2:14" ht="35" customHeight="1" x14ac:dyDescent="0.35">
      <c r="B2" s="71">
        <v>1</v>
      </c>
      <c r="C2" s="72" t="s">
        <v>1112</v>
      </c>
      <c r="D2" s="72"/>
      <c r="E2" s="72"/>
      <c r="F2" s="72"/>
      <c r="G2" s="72"/>
      <c r="H2" s="73">
        <f>COUNTA('Cleaned &amp; Processed Data'!A:A)</f>
        <v>1001</v>
      </c>
      <c r="I2" s="73" t="s">
        <v>1070</v>
      </c>
      <c r="J2" s="74"/>
      <c r="N2" s="3"/>
    </row>
    <row r="3" spans="2:14" x14ac:dyDescent="0.35">
      <c r="B3" s="75"/>
      <c r="C3" s="76"/>
      <c r="D3" s="76"/>
      <c r="E3" s="76"/>
      <c r="F3" s="76"/>
      <c r="G3" s="76"/>
      <c r="H3" s="76"/>
      <c r="I3" s="76"/>
      <c r="J3" s="74"/>
    </row>
    <row r="4" spans="2:14" ht="30" customHeight="1" x14ac:dyDescent="0.35">
      <c r="B4" s="71">
        <v>2</v>
      </c>
      <c r="C4" s="72" t="s">
        <v>1113</v>
      </c>
      <c r="D4" s="72"/>
      <c r="E4" s="72"/>
      <c r="F4" s="72"/>
      <c r="G4" s="72"/>
      <c r="H4" s="77">
        <f>SUM('Cleaned &amp; Processed Data'!N:NO)</f>
        <v>104068467</v>
      </c>
      <c r="I4" s="73" t="s">
        <v>1065</v>
      </c>
      <c r="J4" s="74"/>
    </row>
    <row r="5" spans="2:14" x14ac:dyDescent="0.35">
      <c r="B5" s="75"/>
      <c r="C5" s="76"/>
      <c r="D5" s="76"/>
      <c r="E5" s="76"/>
      <c r="F5" s="76"/>
      <c r="G5" s="76"/>
      <c r="H5" s="76"/>
      <c r="I5" s="76"/>
      <c r="J5" s="74"/>
    </row>
    <row r="6" spans="2:14" ht="28.5" customHeight="1" x14ac:dyDescent="0.35">
      <c r="B6" s="71">
        <v>3</v>
      </c>
      <c r="C6" s="72" t="s">
        <v>1114</v>
      </c>
      <c r="D6" s="72"/>
      <c r="E6" s="72"/>
      <c r="F6" s="72"/>
      <c r="G6" s="72"/>
      <c r="H6" s="73">
        <f>AVERAGE('Cleaned &amp; Processed Data'!I:I)</f>
        <v>7.9509999999999996</v>
      </c>
      <c r="I6" s="73" t="s">
        <v>1066</v>
      </c>
      <c r="J6" s="74"/>
    </row>
    <row r="7" spans="2:14" x14ac:dyDescent="0.35">
      <c r="B7" s="75"/>
      <c r="C7" s="76"/>
      <c r="D7" s="76"/>
      <c r="E7" s="76"/>
      <c r="F7" s="76"/>
      <c r="G7" s="76"/>
      <c r="H7" s="76"/>
      <c r="I7" s="73"/>
      <c r="J7" s="78"/>
    </row>
    <row r="8" spans="2:14" ht="29.5" customHeight="1" x14ac:dyDescent="0.35">
      <c r="B8" s="71">
        <v>4</v>
      </c>
      <c r="C8" s="72" t="s">
        <v>1115</v>
      </c>
      <c r="D8" s="72"/>
      <c r="E8" s="72"/>
      <c r="F8" s="72"/>
      <c r="G8" s="72"/>
      <c r="H8" s="79">
        <f>AVERAGE('Cleaned &amp; Processed Data'!M:M)</f>
        <v>0.72199999999999998</v>
      </c>
      <c r="I8" s="73"/>
      <c r="J8" s="74"/>
    </row>
    <row r="9" spans="2:14" x14ac:dyDescent="0.35">
      <c r="B9" s="75"/>
      <c r="C9" s="76"/>
      <c r="D9" s="76"/>
      <c r="E9" s="76"/>
      <c r="F9" s="76"/>
      <c r="G9" s="76"/>
      <c r="H9" s="76"/>
      <c r="I9" s="76"/>
      <c r="J9" s="74"/>
    </row>
    <row r="10" spans="2:14" ht="30" customHeight="1" x14ac:dyDescent="0.35">
      <c r="B10" s="71">
        <v>5</v>
      </c>
      <c r="C10" s="72" t="s">
        <v>1116</v>
      </c>
      <c r="D10" s="72"/>
      <c r="E10" s="72"/>
      <c r="F10" s="72"/>
      <c r="G10" s="72"/>
      <c r="H10" s="77">
        <f>AVERAGE(('Cleaned &amp; Processed Data'!N:NO))</f>
        <v>104068.467</v>
      </c>
      <c r="I10" s="73" t="s">
        <v>1065</v>
      </c>
      <c r="J10" s="74"/>
    </row>
    <row r="11" spans="2:14" x14ac:dyDescent="0.35">
      <c r="B11" s="75"/>
      <c r="C11" s="76"/>
      <c r="D11" s="76"/>
      <c r="E11" s="76"/>
      <c r="F11" s="76"/>
      <c r="G11" s="76"/>
      <c r="H11" s="76"/>
      <c r="I11" s="76"/>
      <c r="J11" s="74"/>
    </row>
    <row r="12" spans="2:14" ht="15" thickBot="1" x14ac:dyDescent="0.4">
      <c r="B12" s="80"/>
      <c r="C12" s="81"/>
      <c r="D12" s="81"/>
      <c r="E12" s="81"/>
      <c r="F12" s="81"/>
      <c r="G12" s="81"/>
      <c r="H12" s="81"/>
      <c r="I12" s="81"/>
      <c r="J12" s="82"/>
    </row>
  </sheetData>
  <mergeCells count="6">
    <mergeCell ref="C10:G10"/>
    <mergeCell ref="B1:J1"/>
    <mergeCell ref="C2:G2"/>
    <mergeCell ref="C4:G4"/>
    <mergeCell ref="C6:G6"/>
    <mergeCell ref="C8:G8"/>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451F7-5501-498D-8D83-428A1970B856}">
  <dimension ref="B1:I15"/>
  <sheetViews>
    <sheetView showGridLines="0" zoomScale="115" zoomScaleNormal="115" workbookViewId="0">
      <selection activeCell="L9" sqref="L9"/>
    </sheetView>
  </sheetViews>
  <sheetFormatPr defaultRowHeight="14.5" x14ac:dyDescent="0.35"/>
  <cols>
    <col min="1" max="1" width="39.08984375" customWidth="1"/>
  </cols>
  <sheetData>
    <row r="1" spans="2:9" ht="26.5" customHeight="1" x14ac:dyDescent="0.35">
      <c r="B1" s="68" t="s">
        <v>1072</v>
      </c>
      <c r="C1" s="69"/>
      <c r="D1" s="69"/>
      <c r="E1" s="69"/>
      <c r="F1" s="69"/>
      <c r="G1" s="69"/>
      <c r="H1" s="69"/>
      <c r="I1" s="70"/>
    </row>
    <row r="2" spans="2:9" x14ac:dyDescent="0.35">
      <c r="B2" s="83" t="s">
        <v>1075</v>
      </c>
      <c r="C2" s="84"/>
      <c r="D2" s="84"/>
      <c r="E2" s="84"/>
      <c r="F2" s="84"/>
      <c r="G2" s="84"/>
      <c r="H2" s="84"/>
      <c r="I2" s="85"/>
    </row>
    <row r="3" spans="2:9" x14ac:dyDescent="0.35">
      <c r="B3" s="83"/>
      <c r="C3" s="84"/>
      <c r="D3" s="84"/>
      <c r="E3" s="84"/>
      <c r="F3" s="84"/>
      <c r="G3" s="84"/>
      <c r="H3" s="84"/>
      <c r="I3" s="85"/>
    </row>
    <row r="4" spans="2:9" x14ac:dyDescent="0.35">
      <c r="B4" s="83" t="s">
        <v>1076</v>
      </c>
      <c r="C4" s="84"/>
      <c r="D4" s="84"/>
      <c r="E4" s="84"/>
      <c r="F4" s="84"/>
      <c r="G4" s="84"/>
      <c r="H4" s="84"/>
      <c r="I4" s="85"/>
    </row>
    <row r="5" spans="2:9" x14ac:dyDescent="0.35">
      <c r="B5" s="83"/>
      <c r="C5" s="84"/>
      <c r="D5" s="84"/>
      <c r="E5" s="84"/>
      <c r="F5" s="84"/>
      <c r="G5" s="84"/>
      <c r="H5" s="84"/>
      <c r="I5" s="85"/>
    </row>
    <row r="6" spans="2:9" x14ac:dyDescent="0.35">
      <c r="B6" s="83" t="s">
        <v>1077</v>
      </c>
      <c r="C6" s="84"/>
      <c r="D6" s="84"/>
      <c r="E6" s="84"/>
      <c r="F6" s="84"/>
      <c r="G6" s="84"/>
      <c r="H6" s="84"/>
      <c r="I6" s="85"/>
    </row>
    <row r="7" spans="2:9" x14ac:dyDescent="0.35">
      <c r="B7" s="83"/>
      <c r="C7" s="84"/>
      <c r="D7" s="84"/>
      <c r="E7" s="84"/>
      <c r="F7" s="84"/>
      <c r="G7" s="84"/>
      <c r="H7" s="84"/>
      <c r="I7" s="85"/>
    </row>
    <row r="8" spans="2:9" x14ac:dyDescent="0.35">
      <c r="B8" s="83" t="s">
        <v>1078</v>
      </c>
      <c r="C8" s="84"/>
      <c r="D8" s="84"/>
      <c r="E8" s="84"/>
      <c r="F8" s="84"/>
      <c r="G8" s="84"/>
      <c r="H8" s="84"/>
      <c r="I8" s="85"/>
    </row>
    <row r="9" spans="2:9" x14ac:dyDescent="0.35">
      <c r="B9" s="83"/>
      <c r="C9" s="84"/>
      <c r="D9" s="84"/>
      <c r="E9" s="84"/>
      <c r="F9" s="84"/>
      <c r="G9" s="84"/>
      <c r="H9" s="84"/>
      <c r="I9" s="85"/>
    </row>
    <row r="10" spans="2:9" x14ac:dyDescent="0.35">
      <c r="B10" s="83" t="s">
        <v>1079</v>
      </c>
      <c r="C10" s="84"/>
      <c r="D10" s="84"/>
      <c r="E10" s="84"/>
      <c r="F10" s="84"/>
      <c r="G10" s="84"/>
      <c r="H10" s="84"/>
      <c r="I10" s="85"/>
    </row>
    <row r="11" spans="2:9" x14ac:dyDescent="0.35">
      <c r="B11" s="83"/>
      <c r="C11" s="84"/>
      <c r="D11" s="84"/>
      <c r="E11" s="84"/>
      <c r="F11" s="84"/>
      <c r="G11" s="84"/>
      <c r="H11" s="84"/>
      <c r="I11" s="85"/>
    </row>
    <row r="12" spans="2:9" x14ac:dyDescent="0.35">
      <c r="B12" s="83" t="s">
        <v>1073</v>
      </c>
      <c r="C12" s="84"/>
      <c r="D12" s="84"/>
      <c r="E12" s="84"/>
      <c r="F12" s="84"/>
      <c r="G12" s="84"/>
      <c r="H12" s="84"/>
      <c r="I12" s="85"/>
    </row>
    <row r="13" spans="2:9" x14ac:dyDescent="0.35">
      <c r="B13" s="83"/>
      <c r="C13" s="84"/>
      <c r="D13" s="84"/>
      <c r="E13" s="84"/>
      <c r="F13" s="84"/>
      <c r="G13" s="84"/>
      <c r="H13" s="84"/>
      <c r="I13" s="85"/>
    </row>
    <row r="14" spans="2:9" x14ac:dyDescent="0.35">
      <c r="B14" s="83" t="s">
        <v>1074</v>
      </c>
      <c r="C14" s="84"/>
      <c r="D14" s="84"/>
      <c r="E14" s="84"/>
      <c r="F14" s="84"/>
      <c r="G14" s="84"/>
      <c r="H14" s="84"/>
      <c r="I14" s="85"/>
    </row>
    <row r="15" spans="2:9" ht="15" thickBot="1" x14ac:dyDescent="0.4">
      <c r="B15" s="86"/>
      <c r="C15" s="87"/>
      <c r="D15" s="87"/>
      <c r="E15" s="87"/>
      <c r="F15" s="87"/>
      <c r="G15" s="87"/>
      <c r="H15" s="87"/>
      <c r="I15" s="88"/>
    </row>
  </sheetData>
  <mergeCells count="1">
    <mergeCell ref="B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1"/>
  <sheetViews>
    <sheetView workbookViewId="0">
      <pane ySplit="1" topLeftCell="A2" activePane="bottomLeft" state="frozen"/>
      <selection pane="bottomLeft" activeCell="F4" sqref="F4"/>
    </sheetView>
  </sheetViews>
  <sheetFormatPr defaultRowHeight="14.5" x14ac:dyDescent="0.35"/>
  <cols>
    <col min="1" max="1" width="12" customWidth="1"/>
    <col min="3" max="3" width="13.26953125" customWidth="1"/>
    <col min="4" max="4" width="9.36328125" customWidth="1"/>
    <col min="5" max="5" width="13.36328125" customWidth="1"/>
    <col min="6" max="6" width="11.6328125" customWidth="1"/>
    <col min="7" max="7" width="17" customWidth="1"/>
    <col min="8" max="8" width="16.6328125" customWidth="1"/>
    <col min="9" max="9" width="15.7265625" bestFit="1" customWidth="1"/>
    <col min="10" max="10" width="9.08984375" customWidth="1"/>
    <col min="11" max="11" width="11.90625" customWidth="1"/>
    <col min="12" max="12" width="20" customWidth="1"/>
    <col min="13" max="13" width="24.08984375" customWidth="1"/>
    <col min="14" max="14" width="16.1796875" customWidth="1"/>
  </cols>
  <sheetData>
    <row r="1" spans="1:14" x14ac:dyDescent="0.35">
      <c r="A1" t="s">
        <v>0</v>
      </c>
      <c r="B1" t="s">
        <v>1</v>
      </c>
      <c r="C1" s="45" t="s">
        <v>1110</v>
      </c>
      <c r="D1" t="s">
        <v>2</v>
      </c>
      <c r="E1" t="s">
        <v>3</v>
      </c>
      <c r="F1" t="s">
        <v>4</v>
      </c>
      <c r="G1" t="s">
        <v>5</v>
      </c>
      <c r="H1" t="s">
        <v>6</v>
      </c>
      <c r="I1" s="45" t="s">
        <v>1049</v>
      </c>
      <c r="J1" t="s">
        <v>7</v>
      </c>
      <c r="K1" t="s">
        <v>8</v>
      </c>
      <c r="L1" t="s">
        <v>9</v>
      </c>
      <c r="M1" t="s">
        <v>1050</v>
      </c>
      <c r="N1" t="s">
        <v>10</v>
      </c>
    </row>
    <row r="2" spans="1:14" x14ac:dyDescent="0.35">
      <c r="A2" t="s">
        <v>11</v>
      </c>
      <c r="B2">
        <v>4</v>
      </c>
      <c r="C2" t="str">
        <f>_xlfn.IFS(Table3[[#This Row],[Age]]&lt;=10, "Child",Table3[[#This Row],[Age]]&lt;18, "Teenger", Table3[[#This Row],[Age]]&lt;30, "Middle Age", Table3[[#This Row],[Age]]&lt; 60,"Adult",Table3[[#This Row],[Age]],"Senior Citizen")</f>
        <v>Child</v>
      </c>
      <c r="D2" t="s">
        <v>12</v>
      </c>
      <c r="E2" t="s">
        <v>13</v>
      </c>
      <c r="F2" t="s">
        <v>14</v>
      </c>
      <c r="G2" s="1">
        <v>45619</v>
      </c>
      <c r="H2" s="1">
        <v>45621</v>
      </c>
      <c r="I2" s="2">
        <f>Table3[[#This Row],[Discharge_Date]]-Table3[[#This Row],[Admission_Date]]</f>
        <v>2</v>
      </c>
      <c r="J2">
        <v>72</v>
      </c>
      <c r="K2" t="s">
        <v>15</v>
      </c>
      <c r="L2" t="s">
        <v>16</v>
      </c>
      <c r="M2">
        <f>IF(Table3[[#This Row],[Treatment_Success]]="Yes",1,0)</f>
        <v>1</v>
      </c>
      <c r="N2">
        <v>159794</v>
      </c>
    </row>
    <row r="3" spans="1:14" x14ac:dyDescent="0.35">
      <c r="A3" t="s">
        <v>17</v>
      </c>
      <c r="B3">
        <v>4</v>
      </c>
      <c r="C3" t="str">
        <f>_xlfn.IFS(Table3[[#This Row],[Age]]&lt;=10, "Child",Table3[[#This Row],[Age]]&lt;18, "Teenger", Table3[[#This Row],[Age]]&lt;30, "Middle Age", Table3[[#This Row],[Age]]&lt; 60,"Adult",Table3[[#This Row],[Age]],"Senior Citizen")</f>
        <v>Child</v>
      </c>
      <c r="D3" t="s">
        <v>18</v>
      </c>
      <c r="E3" t="s">
        <v>13</v>
      </c>
      <c r="F3" t="s">
        <v>14</v>
      </c>
      <c r="G3" s="1">
        <v>45508</v>
      </c>
      <c r="H3" s="1">
        <v>45509</v>
      </c>
      <c r="I3" s="2">
        <f>Table3[[#This Row],[Discharge_Date]]-Table3[[#This Row],[Admission_Date]]</f>
        <v>1</v>
      </c>
      <c r="J3">
        <v>259</v>
      </c>
      <c r="K3" t="s">
        <v>15</v>
      </c>
      <c r="L3" t="s">
        <v>16</v>
      </c>
      <c r="M3">
        <f>IF(Table3[[#This Row],[Treatment_Success]]="Yes",1,0)</f>
        <v>1</v>
      </c>
      <c r="N3">
        <v>192700</v>
      </c>
    </row>
    <row r="4" spans="1:14" x14ac:dyDescent="0.35">
      <c r="A4" t="s">
        <v>19</v>
      </c>
      <c r="B4">
        <v>70</v>
      </c>
      <c r="C4" t="str">
        <f>_xlfn.IFS(Table3[[#This Row],[Age]]&lt;=10, "Child",Table3[[#This Row],[Age]]&lt;18, "Teenger", Table3[[#This Row],[Age]]&lt;30, "Middle Age", Table3[[#This Row],[Age]]&lt; 60,"Adult",Table3[[#This Row],[Age]],"Senior Citizen")</f>
        <v>Senior Citizen</v>
      </c>
      <c r="D4" t="s">
        <v>12</v>
      </c>
      <c r="E4" t="s">
        <v>13</v>
      </c>
      <c r="F4" t="s">
        <v>20</v>
      </c>
      <c r="G4" s="1">
        <v>45624</v>
      </c>
      <c r="H4" s="1">
        <v>45636</v>
      </c>
      <c r="I4" s="2">
        <f>Table3[[#This Row],[Discharge_Date]]-Table3[[#This Row],[Admission_Date]]</f>
        <v>12</v>
      </c>
      <c r="J4">
        <v>143</v>
      </c>
      <c r="K4" t="s">
        <v>15</v>
      </c>
      <c r="L4" t="s">
        <v>16</v>
      </c>
      <c r="M4">
        <f>IF(Table3[[#This Row],[Treatment_Success]]="Yes",1,0)</f>
        <v>1</v>
      </c>
      <c r="N4">
        <v>188013</v>
      </c>
    </row>
    <row r="5" spans="1:14" x14ac:dyDescent="0.35">
      <c r="A5" t="s">
        <v>21</v>
      </c>
      <c r="B5">
        <v>36</v>
      </c>
      <c r="C5" t="str">
        <f>_xlfn.IFS(Table3[[#This Row],[Age]]&lt;=10, "Child",Table3[[#This Row],[Age]]&lt;18, "Teenger", Table3[[#This Row],[Age]]&lt;30, "Middle Age", Table3[[#This Row],[Age]]&lt; 60,"Adult",Table3[[#This Row],[Age]],"Senior Citizen")</f>
        <v>Adult</v>
      </c>
      <c r="D5" t="s">
        <v>18</v>
      </c>
      <c r="E5" t="s">
        <v>13</v>
      </c>
      <c r="F5" t="s">
        <v>22</v>
      </c>
      <c r="G5" s="1">
        <v>45508</v>
      </c>
      <c r="H5" s="1">
        <v>45514</v>
      </c>
      <c r="I5" s="2">
        <f>Table3[[#This Row],[Discharge_Date]]-Table3[[#This Row],[Admission_Date]]</f>
        <v>6</v>
      </c>
      <c r="J5">
        <v>173</v>
      </c>
      <c r="K5" t="s">
        <v>15</v>
      </c>
      <c r="L5" t="s">
        <v>16</v>
      </c>
      <c r="M5">
        <f>IF(Table3[[#This Row],[Treatment_Success]]="Yes",1,0)</f>
        <v>1</v>
      </c>
      <c r="N5">
        <v>104595</v>
      </c>
    </row>
    <row r="6" spans="1:14" x14ac:dyDescent="0.35">
      <c r="A6" t="s">
        <v>23</v>
      </c>
      <c r="B6">
        <v>45</v>
      </c>
      <c r="C6" t="str">
        <f>_xlfn.IFS(Table3[[#This Row],[Age]]&lt;=10, "Child",Table3[[#This Row],[Age]]&lt;18, "Teenger", Table3[[#This Row],[Age]]&lt;30, "Middle Age", Table3[[#This Row],[Age]]&lt; 60,"Adult",Table3[[#This Row],[Age]],"Senior Citizen")</f>
        <v>Adult</v>
      </c>
      <c r="D6" t="s">
        <v>12</v>
      </c>
      <c r="E6" t="s">
        <v>24</v>
      </c>
      <c r="F6" t="s">
        <v>25</v>
      </c>
      <c r="G6" s="1">
        <v>45341</v>
      </c>
      <c r="H6" s="1">
        <v>45347</v>
      </c>
      <c r="I6" s="2">
        <f>Table3[[#This Row],[Discharge_Date]]-Table3[[#This Row],[Admission_Date]]</f>
        <v>6</v>
      </c>
      <c r="J6">
        <v>236</v>
      </c>
      <c r="K6" t="s">
        <v>15</v>
      </c>
      <c r="L6" t="s">
        <v>26</v>
      </c>
      <c r="M6">
        <f>IF(Table3[[#This Row],[Treatment_Success]]="Yes",1,0)</f>
        <v>0</v>
      </c>
      <c r="N6">
        <v>25656</v>
      </c>
    </row>
    <row r="7" spans="1:14" x14ac:dyDescent="0.35">
      <c r="A7" t="s">
        <v>27</v>
      </c>
      <c r="B7">
        <v>81</v>
      </c>
      <c r="C7" t="str">
        <f>_xlfn.IFS(Table3[[#This Row],[Age]]&lt;=10, "Child",Table3[[#This Row],[Age]]&lt;18, "Teenger", Table3[[#This Row],[Age]]&lt;30, "Middle Age", Table3[[#This Row],[Age]]&lt; 60,"Adult",Table3[[#This Row],[Age]],"Senior Citizen")</f>
        <v>Senior Citizen</v>
      </c>
      <c r="D7" t="s">
        <v>12</v>
      </c>
      <c r="E7" t="s">
        <v>28</v>
      </c>
      <c r="F7" t="s">
        <v>29</v>
      </c>
      <c r="G7" s="1">
        <v>45574</v>
      </c>
      <c r="H7" s="1">
        <v>45579</v>
      </c>
      <c r="I7" s="2">
        <f>Table3[[#This Row],[Discharge_Date]]-Table3[[#This Row],[Admission_Date]]</f>
        <v>5</v>
      </c>
      <c r="J7">
        <v>36</v>
      </c>
      <c r="K7" t="s">
        <v>15</v>
      </c>
      <c r="L7" t="s">
        <v>16</v>
      </c>
      <c r="M7">
        <f>IF(Table3[[#This Row],[Treatment_Success]]="Yes",1,0)</f>
        <v>1</v>
      </c>
      <c r="N7">
        <v>80861</v>
      </c>
    </row>
    <row r="8" spans="1:14" ht="16" customHeight="1" x14ac:dyDescent="0.35">
      <c r="A8" t="s">
        <v>30</v>
      </c>
      <c r="B8">
        <v>30</v>
      </c>
      <c r="C8" t="str">
        <f>_xlfn.IFS(Table3[[#This Row],[Age]]&lt;=10, "Child",Table3[[#This Row],[Age]]&lt;18, "Teenger", Table3[[#This Row],[Age]]&lt;30, "Middle Age", Table3[[#This Row],[Age]]&lt; 60,"Adult",Table3[[#This Row],[Age]],"Senior Citizen")</f>
        <v>Adult</v>
      </c>
      <c r="D8" t="s">
        <v>18</v>
      </c>
      <c r="E8" t="s">
        <v>31</v>
      </c>
      <c r="F8" t="s">
        <v>32</v>
      </c>
      <c r="G8" s="1">
        <v>45332</v>
      </c>
      <c r="H8" s="1">
        <v>45346</v>
      </c>
      <c r="I8" s="2">
        <f>Table3[[#This Row],[Discharge_Date]]-Table3[[#This Row],[Admission_Date]]</f>
        <v>14</v>
      </c>
      <c r="J8">
        <v>233</v>
      </c>
      <c r="K8" t="s">
        <v>33</v>
      </c>
      <c r="L8" t="s">
        <v>16</v>
      </c>
      <c r="M8">
        <f>IF(Table3[[#This Row],[Treatment_Success]]="Yes",1,0)</f>
        <v>1</v>
      </c>
      <c r="N8">
        <v>102040</v>
      </c>
    </row>
    <row r="9" spans="1:14" x14ac:dyDescent="0.35">
      <c r="A9" t="s">
        <v>34</v>
      </c>
      <c r="B9">
        <v>86</v>
      </c>
      <c r="C9" t="str">
        <f>_xlfn.IFS(Table3[[#This Row],[Age]]&lt;=10, "Child",Table3[[#This Row],[Age]]&lt;18, "Teenger", Table3[[#This Row],[Age]]&lt;30, "Middle Age", Table3[[#This Row],[Age]]&lt; 60,"Adult",Table3[[#This Row],[Age]],"Senior Citizen")</f>
        <v>Senior Citizen</v>
      </c>
      <c r="D9" t="s">
        <v>12</v>
      </c>
      <c r="E9" t="s">
        <v>24</v>
      </c>
      <c r="F9" t="s">
        <v>35</v>
      </c>
      <c r="G9" s="1">
        <v>45473</v>
      </c>
      <c r="H9" s="1">
        <v>45477</v>
      </c>
      <c r="I9" s="2">
        <f>Table3[[#This Row],[Discharge_Date]]-Table3[[#This Row],[Admission_Date]]</f>
        <v>4</v>
      </c>
      <c r="J9">
        <v>88</v>
      </c>
      <c r="K9" t="s">
        <v>36</v>
      </c>
      <c r="L9" t="s">
        <v>16</v>
      </c>
      <c r="M9">
        <f>IF(Table3[[#This Row],[Treatment_Success]]="Yes",1,0)</f>
        <v>1</v>
      </c>
      <c r="N9">
        <v>126178</v>
      </c>
    </row>
    <row r="10" spans="1:14" x14ac:dyDescent="0.35">
      <c r="A10" t="s">
        <v>37</v>
      </c>
      <c r="B10">
        <v>82</v>
      </c>
      <c r="C10" t="str">
        <f>_xlfn.IFS(Table3[[#This Row],[Age]]&lt;=10, "Child",Table3[[#This Row],[Age]]&lt;18, "Teenger", Table3[[#This Row],[Age]]&lt;30, "Middle Age", Table3[[#This Row],[Age]]&lt; 60,"Adult",Table3[[#This Row],[Age]],"Senior Citizen")</f>
        <v>Senior Citizen</v>
      </c>
      <c r="D10" t="s">
        <v>18</v>
      </c>
      <c r="E10" t="s">
        <v>38</v>
      </c>
      <c r="F10" t="s">
        <v>22</v>
      </c>
      <c r="G10" s="1">
        <v>45486</v>
      </c>
      <c r="H10" s="1">
        <v>45491</v>
      </c>
      <c r="I10" s="2">
        <f>Table3[[#This Row],[Discharge_Date]]-Table3[[#This Row],[Admission_Date]]</f>
        <v>5</v>
      </c>
      <c r="J10">
        <v>29</v>
      </c>
      <c r="K10" t="s">
        <v>36</v>
      </c>
      <c r="L10" t="s">
        <v>16</v>
      </c>
      <c r="M10">
        <f>IF(Table3[[#This Row],[Treatment_Success]]="Yes",1,0)</f>
        <v>1</v>
      </c>
      <c r="N10">
        <v>87694</v>
      </c>
    </row>
    <row r="11" spans="1:14" x14ac:dyDescent="0.35">
      <c r="A11" t="s">
        <v>39</v>
      </c>
      <c r="B11">
        <v>9</v>
      </c>
      <c r="C11" t="str">
        <f>_xlfn.IFS(Table3[[#This Row],[Age]]&lt;=10, "Child",Table3[[#This Row],[Age]]&lt;18, "Teenger", Table3[[#This Row],[Age]]&lt;30, "Middle Age", Table3[[#This Row],[Age]]&lt; 60,"Adult",Table3[[#This Row],[Age]],"Senior Citizen")</f>
        <v>Child</v>
      </c>
      <c r="D11" t="s">
        <v>18</v>
      </c>
      <c r="E11" t="s">
        <v>28</v>
      </c>
      <c r="F11" t="s">
        <v>40</v>
      </c>
      <c r="G11" s="1">
        <v>45497</v>
      </c>
      <c r="H11" s="1">
        <v>45502</v>
      </c>
      <c r="I11" s="2">
        <f>Table3[[#This Row],[Discharge_Date]]-Table3[[#This Row],[Admission_Date]]</f>
        <v>5</v>
      </c>
      <c r="J11">
        <v>162</v>
      </c>
      <c r="K11" t="s">
        <v>36</v>
      </c>
      <c r="L11" t="s">
        <v>26</v>
      </c>
      <c r="M11">
        <f>IF(Table3[[#This Row],[Treatment_Success]]="Yes",1,0)</f>
        <v>0</v>
      </c>
      <c r="N11">
        <v>108712</v>
      </c>
    </row>
    <row r="12" spans="1:14" x14ac:dyDescent="0.35">
      <c r="A12" t="s">
        <v>41</v>
      </c>
      <c r="B12">
        <v>19</v>
      </c>
      <c r="C12" t="str">
        <f>_xlfn.IFS(Table3[[#This Row],[Age]]&lt;=10, "Child",Table3[[#This Row],[Age]]&lt;18, "Teenger", Table3[[#This Row],[Age]]&lt;30, "Middle Age", Table3[[#This Row],[Age]]&lt; 60,"Adult",Table3[[#This Row],[Age]],"Senior Citizen")</f>
        <v>Middle Age</v>
      </c>
      <c r="D12" t="s">
        <v>12</v>
      </c>
      <c r="E12" t="s">
        <v>13</v>
      </c>
      <c r="F12" t="s">
        <v>14</v>
      </c>
      <c r="G12" s="1">
        <v>45621</v>
      </c>
      <c r="H12" s="1">
        <v>45629</v>
      </c>
      <c r="I12" s="2">
        <f>Table3[[#This Row],[Discharge_Date]]-Table3[[#This Row],[Admission_Date]]</f>
        <v>8</v>
      </c>
      <c r="J12">
        <v>288</v>
      </c>
      <c r="K12" t="s">
        <v>33</v>
      </c>
      <c r="L12" t="s">
        <v>26</v>
      </c>
      <c r="M12">
        <f>IF(Table3[[#This Row],[Treatment_Success]]="Yes",1,0)</f>
        <v>0</v>
      </c>
      <c r="N12">
        <v>157969</v>
      </c>
    </row>
    <row r="13" spans="1:14" x14ac:dyDescent="0.35">
      <c r="A13" t="s">
        <v>42</v>
      </c>
      <c r="B13">
        <v>29</v>
      </c>
      <c r="C13" t="str">
        <f>_xlfn.IFS(Table3[[#This Row],[Age]]&lt;=10, "Child",Table3[[#This Row],[Age]]&lt;18, "Teenger", Table3[[#This Row],[Age]]&lt;30, "Middle Age", Table3[[#This Row],[Age]]&lt; 60,"Adult",Table3[[#This Row],[Age]],"Senior Citizen")</f>
        <v>Middle Age</v>
      </c>
      <c r="D13" t="s">
        <v>18</v>
      </c>
      <c r="E13" t="s">
        <v>28</v>
      </c>
      <c r="F13" t="s">
        <v>43</v>
      </c>
      <c r="G13" s="1">
        <v>45496</v>
      </c>
      <c r="H13" s="1">
        <v>45502</v>
      </c>
      <c r="I13" s="2">
        <f>Table3[[#This Row],[Discharge_Date]]-Table3[[#This Row],[Admission_Date]]</f>
        <v>6</v>
      </c>
      <c r="J13">
        <v>47</v>
      </c>
      <c r="K13" t="s">
        <v>15</v>
      </c>
      <c r="L13" t="s">
        <v>16</v>
      </c>
      <c r="M13">
        <f>IF(Table3[[#This Row],[Treatment_Success]]="Yes",1,0)</f>
        <v>1</v>
      </c>
      <c r="N13">
        <v>45066</v>
      </c>
    </row>
    <row r="14" spans="1:14" x14ac:dyDescent="0.35">
      <c r="A14" t="s">
        <v>44</v>
      </c>
      <c r="B14">
        <v>88</v>
      </c>
      <c r="C14" t="str">
        <f>_xlfn.IFS(Table3[[#This Row],[Age]]&lt;=10, "Child",Table3[[#This Row],[Age]]&lt;18, "Teenger", Table3[[#This Row],[Age]]&lt;30, "Middle Age", Table3[[#This Row],[Age]]&lt; 60,"Adult",Table3[[#This Row],[Age]],"Senior Citizen")</f>
        <v>Senior Citizen</v>
      </c>
      <c r="D14" t="s">
        <v>12</v>
      </c>
      <c r="E14" t="s">
        <v>28</v>
      </c>
      <c r="F14" t="s">
        <v>45</v>
      </c>
      <c r="G14" s="1">
        <v>45613</v>
      </c>
      <c r="H14" s="1">
        <v>45616</v>
      </c>
      <c r="I14" s="2">
        <f>Table3[[#This Row],[Discharge_Date]]-Table3[[#This Row],[Admission_Date]]</f>
        <v>3</v>
      </c>
      <c r="J14">
        <v>198</v>
      </c>
      <c r="K14" t="s">
        <v>46</v>
      </c>
      <c r="L14" t="s">
        <v>26</v>
      </c>
      <c r="M14">
        <f>IF(Table3[[#This Row],[Treatment_Success]]="Yes",1,0)</f>
        <v>0</v>
      </c>
      <c r="N14">
        <v>143704</v>
      </c>
    </row>
    <row r="15" spans="1:14" x14ac:dyDescent="0.35">
      <c r="A15" t="s">
        <v>47</v>
      </c>
      <c r="B15">
        <v>2</v>
      </c>
      <c r="C15" t="str">
        <f>_xlfn.IFS(Table3[[#This Row],[Age]]&lt;=10, "Child",Table3[[#This Row],[Age]]&lt;18, "Teenger", Table3[[#This Row],[Age]]&lt;30, "Middle Age", Table3[[#This Row],[Age]]&lt; 60,"Adult",Table3[[#This Row],[Age]],"Senior Citizen")</f>
        <v>Child</v>
      </c>
      <c r="D15" t="s">
        <v>18</v>
      </c>
      <c r="E15" t="s">
        <v>28</v>
      </c>
      <c r="F15" t="s">
        <v>22</v>
      </c>
      <c r="G15" s="1">
        <v>45420</v>
      </c>
      <c r="H15" s="1">
        <v>45429</v>
      </c>
      <c r="I15" s="2">
        <f>Table3[[#This Row],[Discharge_Date]]-Table3[[#This Row],[Admission_Date]]</f>
        <v>9</v>
      </c>
      <c r="J15">
        <v>137</v>
      </c>
      <c r="K15" t="s">
        <v>33</v>
      </c>
      <c r="L15" t="s">
        <v>16</v>
      </c>
      <c r="M15">
        <f>IF(Table3[[#This Row],[Treatment_Success]]="Yes",1,0)</f>
        <v>1</v>
      </c>
      <c r="N15">
        <v>81939</v>
      </c>
    </row>
    <row r="16" spans="1:14" x14ac:dyDescent="0.35">
      <c r="A16" t="s">
        <v>48</v>
      </c>
      <c r="B16">
        <v>59</v>
      </c>
      <c r="C16" t="str">
        <f>_xlfn.IFS(Table3[[#This Row],[Age]]&lt;=10, "Child",Table3[[#This Row],[Age]]&lt;18, "Teenger", Table3[[#This Row],[Age]]&lt;30, "Middle Age", Table3[[#This Row],[Age]]&lt; 60,"Adult",Table3[[#This Row],[Age]],"Senior Citizen")</f>
        <v>Adult</v>
      </c>
      <c r="D16" t="s">
        <v>18</v>
      </c>
      <c r="E16" t="s">
        <v>38</v>
      </c>
      <c r="F16" t="s">
        <v>49</v>
      </c>
      <c r="G16" s="1">
        <v>45514</v>
      </c>
      <c r="H16" s="1">
        <v>45517</v>
      </c>
      <c r="I16" s="2">
        <f>Table3[[#This Row],[Discharge_Date]]-Table3[[#This Row],[Admission_Date]]</f>
        <v>3</v>
      </c>
      <c r="J16">
        <v>92</v>
      </c>
      <c r="K16" t="s">
        <v>15</v>
      </c>
      <c r="L16" t="s">
        <v>16</v>
      </c>
      <c r="M16">
        <f>IF(Table3[[#This Row],[Treatment_Success]]="Yes",1,0)</f>
        <v>1</v>
      </c>
      <c r="N16">
        <v>172496</v>
      </c>
    </row>
    <row r="17" spans="1:14" x14ac:dyDescent="0.35">
      <c r="A17" t="s">
        <v>50</v>
      </c>
      <c r="B17">
        <v>26</v>
      </c>
      <c r="C17" t="str">
        <f>_xlfn.IFS(Table3[[#This Row],[Age]]&lt;=10, "Child",Table3[[#This Row],[Age]]&lt;18, "Teenger", Table3[[#This Row],[Age]]&lt;30, "Middle Age", Table3[[#This Row],[Age]]&lt; 60,"Adult",Table3[[#This Row],[Age]],"Senior Citizen")</f>
        <v>Middle Age</v>
      </c>
      <c r="D17" t="s">
        <v>18</v>
      </c>
      <c r="E17" t="s">
        <v>38</v>
      </c>
      <c r="F17" t="s">
        <v>22</v>
      </c>
      <c r="G17" s="1">
        <v>45551</v>
      </c>
      <c r="H17" s="1">
        <v>45561</v>
      </c>
      <c r="I17" s="2">
        <f>Table3[[#This Row],[Discharge_Date]]-Table3[[#This Row],[Admission_Date]]</f>
        <v>10</v>
      </c>
      <c r="J17">
        <v>83</v>
      </c>
      <c r="K17" t="s">
        <v>15</v>
      </c>
      <c r="L17" t="s">
        <v>16</v>
      </c>
      <c r="M17">
        <f>IF(Table3[[#This Row],[Treatment_Success]]="Yes",1,0)</f>
        <v>1</v>
      </c>
      <c r="N17">
        <v>133085</v>
      </c>
    </row>
    <row r="18" spans="1:14" x14ac:dyDescent="0.35">
      <c r="A18" t="s">
        <v>51</v>
      </c>
      <c r="B18">
        <v>47</v>
      </c>
      <c r="C18" t="str">
        <f>_xlfn.IFS(Table3[[#This Row],[Age]]&lt;=10, "Child",Table3[[#This Row],[Age]]&lt;18, "Teenger", Table3[[#This Row],[Age]]&lt;30, "Middle Age", Table3[[#This Row],[Age]]&lt; 60,"Adult",Table3[[#This Row],[Age]],"Senior Citizen")</f>
        <v>Adult</v>
      </c>
      <c r="D18" t="s">
        <v>12</v>
      </c>
      <c r="E18" t="s">
        <v>13</v>
      </c>
      <c r="F18" t="s">
        <v>52</v>
      </c>
      <c r="G18" s="1">
        <v>45301</v>
      </c>
      <c r="H18" s="1">
        <v>45303</v>
      </c>
      <c r="I18" s="2">
        <f>Table3[[#This Row],[Discharge_Date]]-Table3[[#This Row],[Admission_Date]]</f>
        <v>2</v>
      </c>
      <c r="J18">
        <v>124</v>
      </c>
      <c r="K18" t="s">
        <v>15</v>
      </c>
      <c r="L18" t="s">
        <v>16</v>
      </c>
      <c r="M18">
        <f>IF(Table3[[#This Row],[Treatment_Success]]="Yes",1,0)</f>
        <v>1</v>
      </c>
      <c r="N18">
        <v>196865</v>
      </c>
    </row>
    <row r="19" spans="1:14" x14ac:dyDescent="0.35">
      <c r="A19" t="s">
        <v>53</v>
      </c>
      <c r="B19">
        <v>9</v>
      </c>
      <c r="C19" t="str">
        <f>_xlfn.IFS(Table3[[#This Row],[Age]]&lt;=10, "Child",Table3[[#This Row],[Age]]&lt;18, "Teenger", Table3[[#This Row],[Age]]&lt;30, "Middle Age", Table3[[#This Row],[Age]]&lt; 60,"Adult",Table3[[#This Row],[Age]],"Senior Citizen")</f>
        <v>Child</v>
      </c>
      <c r="D19" t="s">
        <v>18</v>
      </c>
      <c r="E19" t="s">
        <v>13</v>
      </c>
      <c r="F19" t="s">
        <v>54</v>
      </c>
      <c r="G19" s="1">
        <v>45540</v>
      </c>
      <c r="H19" s="1">
        <v>45554</v>
      </c>
      <c r="I19" s="2">
        <f>Table3[[#This Row],[Discharge_Date]]-Table3[[#This Row],[Admission_Date]]</f>
        <v>14</v>
      </c>
      <c r="J19">
        <v>244</v>
      </c>
      <c r="K19" t="s">
        <v>36</v>
      </c>
      <c r="L19" t="s">
        <v>16</v>
      </c>
      <c r="M19">
        <f>IF(Table3[[#This Row],[Treatment_Success]]="Yes",1,0)</f>
        <v>1</v>
      </c>
      <c r="N19">
        <v>143326</v>
      </c>
    </row>
    <row r="20" spans="1:14" x14ac:dyDescent="0.35">
      <c r="A20" t="s">
        <v>55</v>
      </c>
      <c r="B20">
        <v>28</v>
      </c>
      <c r="C20" t="str">
        <f>_xlfn.IFS(Table3[[#This Row],[Age]]&lt;=10, "Child",Table3[[#This Row],[Age]]&lt;18, "Teenger", Table3[[#This Row],[Age]]&lt;30, "Middle Age", Table3[[#This Row],[Age]]&lt; 60,"Adult",Table3[[#This Row],[Age]],"Senior Citizen")</f>
        <v>Middle Age</v>
      </c>
      <c r="D20" t="s">
        <v>18</v>
      </c>
      <c r="E20" t="s">
        <v>38</v>
      </c>
      <c r="F20" t="s">
        <v>56</v>
      </c>
      <c r="G20" s="1">
        <v>45602</v>
      </c>
      <c r="H20" s="1">
        <v>45609</v>
      </c>
      <c r="I20" s="2">
        <f>Table3[[#This Row],[Discharge_Date]]-Table3[[#This Row],[Admission_Date]]</f>
        <v>7</v>
      </c>
      <c r="J20">
        <v>192</v>
      </c>
      <c r="K20" t="s">
        <v>46</v>
      </c>
      <c r="L20" t="s">
        <v>26</v>
      </c>
      <c r="M20">
        <f>IF(Table3[[#This Row],[Treatment_Success]]="Yes",1,0)</f>
        <v>0</v>
      </c>
      <c r="N20">
        <v>36720</v>
      </c>
    </row>
    <row r="21" spans="1:14" x14ac:dyDescent="0.35">
      <c r="A21" t="s">
        <v>57</v>
      </c>
      <c r="B21">
        <v>9</v>
      </c>
      <c r="C21" t="str">
        <f>_xlfn.IFS(Table3[[#This Row],[Age]]&lt;=10, "Child",Table3[[#This Row],[Age]]&lt;18, "Teenger", Table3[[#This Row],[Age]]&lt;30, "Middle Age", Table3[[#This Row],[Age]]&lt; 60,"Adult",Table3[[#This Row],[Age]],"Senior Citizen")</f>
        <v>Child</v>
      </c>
      <c r="D21" t="s">
        <v>12</v>
      </c>
      <c r="E21" t="s">
        <v>24</v>
      </c>
      <c r="F21" t="s">
        <v>58</v>
      </c>
      <c r="G21" s="1">
        <v>45418</v>
      </c>
      <c r="H21" s="1">
        <v>45422</v>
      </c>
      <c r="I21" s="2">
        <f>Table3[[#This Row],[Discharge_Date]]-Table3[[#This Row],[Admission_Date]]</f>
        <v>4</v>
      </c>
      <c r="J21">
        <v>284</v>
      </c>
      <c r="K21" t="s">
        <v>36</v>
      </c>
      <c r="L21" t="s">
        <v>16</v>
      </c>
      <c r="M21">
        <f>IF(Table3[[#This Row],[Treatment_Success]]="Yes",1,0)</f>
        <v>1</v>
      </c>
      <c r="N21">
        <v>6885</v>
      </c>
    </row>
    <row r="22" spans="1:14" x14ac:dyDescent="0.35">
      <c r="A22" t="s">
        <v>59</v>
      </c>
      <c r="B22">
        <v>81</v>
      </c>
      <c r="C22" t="str">
        <f>_xlfn.IFS(Table3[[#This Row],[Age]]&lt;=10, "Child",Table3[[#This Row],[Age]]&lt;18, "Teenger", Table3[[#This Row],[Age]]&lt;30, "Middle Age", Table3[[#This Row],[Age]]&lt; 60,"Adult",Table3[[#This Row],[Age]],"Senior Citizen")</f>
        <v>Senior Citizen</v>
      </c>
      <c r="D22" t="s">
        <v>18</v>
      </c>
      <c r="E22" t="s">
        <v>13</v>
      </c>
      <c r="F22" t="s">
        <v>45</v>
      </c>
      <c r="G22" s="1">
        <v>45328</v>
      </c>
      <c r="H22" s="1">
        <v>45340</v>
      </c>
      <c r="I22" s="2">
        <f>Table3[[#This Row],[Discharge_Date]]-Table3[[#This Row],[Admission_Date]]</f>
        <v>12</v>
      </c>
      <c r="J22">
        <v>17</v>
      </c>
      <c r="K22" t="s">
        <v>33</v>
      </c>
      <c r="L22" t="s">
        <v>16</v>
      </c>
      <c r="M22">
        <f>IF(Table3[[#This Row],[Treatment_Success]]="Yes",1,0)</f>
        <v>1</v>
      </c>
      <c r="N22">
        <v>139782</v>
      </c>
    </row>
    <row r="23" spans="1:14" x14ac:dyDescent="0.35">
      <c r="A23" t="s">
        <v>60</v>
      </c>
      <c r="B23">
        <v>86</v>
      </c>
      <c r="C23" t="str">
        <f>_xlfn.IFS(Table3[[#This Row],[Age]]&lt;=10, "Child",Table3[[#This Row],[Age]]&lt;18, "Teenger", Table3[[#This Row],[Age]]&lt;30, "Middle Age", Table3[[#This Row],[Age]]&lt; 60,"Adult",Table3[[#This Row],[Age]],"Senior Citizen")</f>
        <v>Senior Citizen</v>
      </c>
      <c r="D23" t="s">
        <v>12</v>
      </c>
      <c r="E23" t="s">
        <v>13</v>
      </c>
      <c r="F23" t="s">
        <v>61</v>
      </c>
      <c r="G23" s="1">
        <v>45413</v>
      </c>
      <c r="H23" s="1">
        <v>45418</v>
      </c>
      <c r="I23" s="2">
        <f>Table3[[#This Row],[Discharge_Date]]-Table3[[#This Row],[Admission_Date]]</f>
        <v>5</v>
      </c>
      <c r="J23">
        <v>68</v>
      </c>
      <c r="K23" t="s">
        <v>46</v>
      </c>
      <c r="L23" t="s">
        <v>16</v>
      </c>
      <c r="M23">
        <f>IF(Table3[[#This Row],[Treatment_Success]]="Yes",1,0)</f>
        <v>1</v>
      </c>
      <c r="N23">
        <v>128987</v>
      </c>
    </row>
    <row r="24" spans="1:14" x14ac:dyDescent="0.35">
      <c r="A24" t="s">
        <v>62</v>
      </c>
      <c r="B24">
        <v>13</v>
      </c>
      <c r="C24" t="str">
        <f>_xlfn.IFS(Table3[[#This Row],[Age]]&lt;=10, "Child",Table3[[#This Row],[Age]]&lt;18, "Teenger", Table3[[#This Row],[Age]]&lt;30, "Middle Age", Table3[[#This Row],[Age]]&lt; 60,"Adult",Table3[[#This Row],[Age]],"Senior Citizen")</f>
        <v>Teenger</v>
      </c>
      <c r="D24" t="s">
        <v>18</v>
      </c>
      <c r="E24" t="s">
        <v>31</v>
      </c>
      <c r="F24" t="s">
        <v>63</v>
      </c>
      <c r="G24" s="1">
        <v>45500</v>
      </c>
      <c r="H24" s="1">
        <v>45504</v>
      </c>
      <c r="I24" s="2">
        <f>Table3[[#This Row],[Discharge_Date]]-Table3[[#This Row],[Admission_Date]]</f>
        <v>4</v>
      </c>
      <c r="J24">
        <v>217</v>
      </c>
      <c r="K24" t="s">
        <v>46</v>
      </c>
      <c r="L24" t="s">
        <v>26</v>
      </c>
      <c r="M24">
        <f>IF(Table3[[#This Row],[Treatment_Success]]="Yes",1,0)</f>
        <v>0</v>
      </c>
      <c r="N24">
        <v>196122</v>
      </c>
    </row>
    <row r="25" spans="1:14" x14ac:dyDescent="0.35">
      <c r="A25" t="s">
        <v>64</v>
      </c>
      <c r="B25">
        <v>84</v>
      </c>
      <c r="C25" t="str">
        <f>_xlfn.IFS(Table3[[#This Row],[Age]]&lt;=10, "Child",Table3[[#This Row],[Age]]&lt;18, "Teenger", Table3[[#This Row],[Age]]&lt;30, "Middle Age", Table3[[#This Row],[Age]]&lt; 60,"Adult",Table3[[#This Row],[Age]],"Senior Citizen")</f>
        <v>Senior Citizen</v>
      </c>
      <c r="D25" t="s">
        <v>18</v>
      </c>
      <c r="E25" t="s">
        <v>24</v>
      </c>
      <c r="F25" t="s">
        <v>56</v>
      </c>
      <c r="G25" s="1">
        <v>45319</v>
      </c>
      <c r="H25" s="1">
        <v>45330</v>
      </c>
      <c r="I25" s="2">
        <f>Table3[[#This Row],[Discharge_Date]]-Table3[[#This Row],[Admission_Date]]</f>
        <v>11</v>
      </c>
      <c r="J25">
        <v>174</v>
      </c>
      <c r="K25" t="s">
        <v>15</v>
      </c>
      <c r="L25" t="s">
        <v>16</v>
      </c>
      <c r="M25">
        <f>IF(Table3[[#This Row],[Treatment_Success]]="Yes",1,0)</f>
        <v>1</v>
      </c>
      <c r="N25">
        <v>55224</v>
      </c>
    </row>
    <row r="26" spans="1:14" x14ac:dyDescent="0.35">
      <c r="A26" t="s">
        <v>65</v>
      </c>
      <c r="B26">
        <v>58</v>
      </c>
      <c r="C26" t="str">
        <f>_xlfn.IFS(Table3[[#This Row],[Age]]&lt;=10, "Child",Table3[[#This Row],[Age]]&lt;18, "Teenger", Table3[[#This Row],[Age]]&lt;30, "Middle Age", Table3[[#This Row],[Age]]&lt; 60,"Adult",Table3[[#This Row],[Age]],"Senior Citizen")</f>
        <v>Adult</v>
      </c>
      <c r="D26" t="s">
        <v>18</v>
      </c>
      <c r="E26" t="s">
        <v>31</v>
      </c>
      <c r="F26" t="s">
        <v>66</v>
      </c>
      <c r="G26" s="1">
        <v>45389</v>
      </c>
      <c r="H26" s="1">
        <v>45398</v>
      </c>
      <c r="I26" s="2">
        <f>Table3[[#This Row],[Discharge_Date]]-Table3[[#This Row],[Admission_Date]]</f>
        <v>9</v>
      </c>
      <c r="J26">
        <v>143</v>
      </c>
      <c r="K26" t="s">
        <v>46</v>
      </c>
      <c r="L26" t="s">
        <v>16</v>
      </c>
      <c r="M26">
        <f>IF(Table3[[#This Row],[Treatment_Success]]="Yes",1,0)</f>
        <v>1</v>
      </c>
      <c r="N26">
        <v>24761</v>
      </c>
    </row>
    <row r="27" spans="1:14" x14ac:dyDescent="0.35">
      <c r="A27" t="s">
        <v>67</v>
      </c>
      <c r="B27">
        <v>71</v>
      </c>
      <c r="C27" t="str">
        <f>_xlfn.IFS(Table3[[#This Row],[Age]]&lt;=10, "Child",Table3[[#This Row],[Age]]&lt;18, "Teenger", Table3[[#This Row],[Age]]&lt;30, "Middle Age", Table3[[#This Row],[Age]]&lt; 60,"Adult",Table3[[#This Row],[Age]],"Senior Citizen")</f>
        <v>Senior Citizen</v>
      </c>
      <c r="D27" t="s">
        <v>18</v>
      </c>
      <c r="E27" t="s">
        <v>24</v>
      </c>
      <c r="F27" t="s">
        <v>68</v>
      </c>
      <c r="G27" s="1">
        <v>45518</v>
      </c>
      <c r="H27" s="1">
        <v>45531</v>
      </c>
      <c r="I27" s="2">
        <f>Table3[[#This Row],[Discharge_Date]]-Table3[[#This Row],[Admission_Date]]</f>
        <v>13</v>
      </c>
      <c r="J27">
        <v>277</v>
      </c>
      <c r="K27" t="s">
        <v>15</v>
      </c>
      <c r="L27" t="s">
        <v>16</v>
      </c>
      <c r="M27">
        <f>IF(Table3[[#This Row],[Treatment_Success]]="Yes",1,0)</f>
        <v>1</v>
      </c>
      <c r="N27">
        <v>66965</v>
      </c>
    </row>
    <row r="28" spans="1:14" x14ac:dyDescent="0.35">
      <c r="A28" t="s">
        <v>69</v>
      </c>
      <c r="B28">
        <v>63</v>
      </c>
      <c r="C28" t="str">
        <f>_xlfn.IFS(Table3[[#This Row],[Age]]&lt;=10, "Child",Table3[[#This Row],[Age]]&lt;18, "Teenger", Table3[[#This Row],[Age]]&lt;30, "Middle Age", Table3[[#This Row],[Age]]&lt; 60,"Adult",Table3[[#This Row],[Age]],"Senior Citizen")</f>
        <v>Senior Citizen</v>
      </c>
      <c r="D28" t="s">
        <v>12</v>
      </c>
      <c r="E28" t="s">
        <v>13</v>
      </c>
      <c r="F28" t="s">
        <v>56</v>
      </c>
      <c r="G28" s="1">
        <v>45377</v>
      </c>
      <c r="H28" s="1">
        <v>45384</v>
      </c>
      <c r="I28" s="2">
        <f>Table3[[#This Row],[Discharge_Date]]-Table3[[#This Row],[Admission_Date]]</f>
        <v>7</v>
      </c>
      <c r="J28">
        <v>31</v>
      </c>
      <c r="K28" t="s">
        <v>36</v>
      </c>
      <c r="L28" t="s">
        <v>26</v>
      </c>
      <c r="M28">
        <f>IF(Table3[[#This Row],[Treatment_Success]]="Yes",1,0)</f>
        <v>0</v>
      </c>
      <c r="N28">
        <v>5565</v>
      </c>
    </row>
    <row r="29" spans="1:14" x14ac:dyDescent="0.35">
      <c r="A29" t="s">
        <v>70</v>
      </c>
      <c r="B29">
        <v>59</v>
      </c>
      <c r="C29" t="str">
        <f>_xlfn.IFS(Table3[[#This Row],[Age]]&lt;=10, "Child",Table3[[#This Row],[Age]]&lt;18, "Teenger", Table3[[#This Row],[Age]]&lt;30, "Middle Age", Table3[[#This Row],[Age]]&lt; 60,"Adult",Table3[[#This Row],[Age]],"Senior Citizen")</f>
        <v>Adult</v>
      </c>
      <c r="D29" t="s">
        <v>12</v>
      </c>
      <c r="E29" t="s">
        <v>31</v>
      </c>
      <c r="F29" t="s">
        <v>40</v>
      </c>
      <c r="G29" s="1">
        <v>45491</v>
      </c>
      <c r="H29" s="1">
        <v>45496</v>
      </c>
      <c r="I29" s="2">
        <f>Table3[[#This Row],[Discharge_Date]]-Table3[[#This Row],[Admission_Date]]</f>
        <v>5</v>
      </c>
      <c r="J29">
        <v>285</v>
      </c>
      <c r="K29" t="s">
        <v>46</v>
      </c>
      <c r="L29" t="s">
        <v>16</v>
      </c>
      <c r="M29">
        <f>IF(Table3[[#This Row],[Treatment_Success]]="Yes",1,0)</f>
        <v>1</v>
      </c>
      <c r="N29">
        <v>54780</v>
      </c>
    </row>
    <row r="30" spans="1:14" x14ac:dyDescent="0.35">
      <c r="A30" t="s">
        <v>71</v>
      </c>
      <c r="B30">
        <v>8</v>
      </c>
      <c r="C30" t="str">
        <f>_xlfn.IFS(Table3[[#This Row],[Age]]&lt;=10, "Child",Table3[[#This Row],[Age]]&lt;18, "Teenger", Table3[[#This Row],[Age]]&lt;30, "Middle Age", Table3[[#This Row],[Age]]&lt; 60,"Adult",Table3[[#This Row],[Age]],"Senior Citizen")</f>
        <v>Child</v>
      </c>
      <c r="D30" t="s">
        <v>18</v>
      </c>
      <c r="E30" t="s">
        <v>38</v>
      </c>
      <c r="F30" t="s">
        <v>52</v>
      </c>
      <c r="G30" s="1">
        <v>45443</v>
      </c>
      <c r="H30" s="1">
        <v>45447</v>
      </c>
      <c r="I30" s="2">
        <f>Table3[[#This Row],[Discharge_Date]]-Table3[[#This Row],[Admission_Date]]</f>
        <v>4</v>
      </c>
      <c r="J30">
        <v>26</v>
      </c>
      <c r="K30" t="s">
        <v>46</v>
      </c>
      <c r="L30" t="s">
        <v>16</v>
      </c>
      <c r="M30">
        <f>IF(Table3[[#This Row],[Treatment_Success]]="Yes",1,0)</f>
        <v>1</v>
      </c>
      <c r="N30">
        <v>19910</v>
      </c>
    </row>
    <row r="31" spans="1:14" x14ac:dyDescent="0.35">
      <c r="A31" t="s">
        <v>72</v>
      </c>
      <c r="B31">
        <v>24</v>
      </c>
      <c r="C31" t="str">
        <f>_xlfn.IFS(Table3[[#This Row],[Age]]&lt;=10, "Child",Table3[[#This Row],[Age]]&lt;18, "Teenger", Table3[[#This Row],[Age]]&lt;30, "Middle Age", Table3[[#This Row],[Age]]&lt; 60,"Adult",Table3[[#This Row],[Age]],"Senior Citizen")</f>
        <v>Middle Age</v>
      </c>
      <c r="D31" t="s">
        <v>18</v>
      </c>
      <c r="E31" t="s">
        <v>28</v>
      </c>
      <c r="F31" t="s">
        <v>45</v>
      </c>
      <c r="G31" s="1">
        <v>45552</v>
      </c>
      <c r="H31" s="1">
        <v>45554</v>
      </c>
      <c r="I31" s="2">
        <f>Table3[[#This Row],[Discharge_Date]]-Table3[[#This Row],[Admission_Date]]</f>
        <v>2</v>
      </c>
      <c r="J31">
        <v>121</v>
      </c>
      <c r="K31" t="s">
        <v>46</v>
      </c>
      <c r="L31" t="s">
        <v>16</v>
      </c>
      <c r="M31">
        <f>IF(Table3[[#This Row],[Treatment_Success]]="Yes",1,0)</f>
        <v>1</v>
      </c>
      <c r="N31">
        <v>154336</v>
      </c>
    </row>
    <row r="32" spans="1:14" x14ac:dyDescent="0.35">
      <c r="A32" t="s">
        <v>73</v>
      </c>
      <c r="B32">
        <v>77</v>
      </c>
      <c r="C32" t="str">
        <f>_xlfn.IFS(Table3[[#This Row],[Age]]&lt;=10, "Child",Table3[[#This Row],[Age]]&lt;18, "Teenger", Table3[[#This Row],[Age]]&lt;30, "Middle Age", Table3[[#This Row],[Age]]&lt; 60,"Adult",Table3[[#This Row],[Age]],"Senior Citizen")</f>
        <v>Senior Citizen</v>
      </c>
      <c r="D32" t="s">
        <v>18</v>
      </c>
      <c r="E32" t="s">
        <v>28</v>
      </c>
      <c r="F32" t="s">
        <v>45</v>
      </c>
      <c r="G32" s="1">
        <v>45418</v>
      </c>
      <c r="H32" s="1">
        <v>45428</v>
      </c>
      <c r="I32" s="2">
        <f>Table3[[#This Row],[Discharge_Date]]-Table3[[#This Row],[Admission_Date]]</f>
        <v>10</v>
      </c>
      <c r="J32">
        <v>215</v>
      </c>
      <c r="K32" t="s">
        <v>33</v>
      </c>
      <c r="L32" t="s">
        <v>16</v>
      </c>
      <c r="M32">
        <f>IF(Table3[[#This Row],[Treatment_Success]]="Yes",1,0)</f>
        <v>1</v>
      </c>
      <c r="N32">
        <v>58545</v>
      </c>
    </row>
    <row r="33" spans="1:14" x14ac:dyDescent="0.35">
      <c r="A33" t="s">
        <v>74</v>
      </c>
      <c r="B33">
        <v>41</v>
      </c>
      <c r="C33" t="str">
        <f>_xlfn.IFS(Table3[[#This Row],[Age]]&lt;=10, "Child",Table3[[#This Row],[Age]]&lt;18, "Teenger", Table3[[#This Row],[Age]]&lt;30, "Middle Age", Table3[[#This Row],[Age]]&lt; 60,"Adult",Table3[[#This Row],[Age]],"Senior Citizen")</f>
        <v>Adult</v>
      </c>
      <c r="D33" t="s">
        <v>18</v>
      </c>
      <c r="E33" t="s">
        <v>38</v>
      </c>
      <c r="F33" t="s">
        <v>56</v>
      </c>
      <c r="G33" s="1">
        <v>45634</v>
      </c>
      <c r="H33" s="1">
        <v>45646</v>
      </c>
      <c r="I33" s="2">
        <f>Table3[[#This Row],[Discharge_Date]]-Table3[[#This Row],[Admission_Date]]</f>
        <v>12</v>
      </c>
      <c r="J33">
        <v>68</v>
      </c>
      <c r="K33" t="s">
        <v>33</v>
      </c>
      <c r="L33" t="s">
        <v>26</v>
      </c>
      <c r="M33">
        <f>IF(Table3[[#This Row],[Treatment_Success]]="Yes",1,0)</f>
        <v>0</v>
      </c>
      <c r="N33">
        <v>87883</v>
      </c>
    </row>
    <row r="34" spans="1:14" x14ac:dyDescent="0.35">
      <c r="A34" t="s">
        <v>75</v>
      </c>
      <c r="B34">
        <v>59</v>
      </c>
      <c r="C34" t="str">
        <f>_xlfn.IFS(Table3[[#This Row],[Age]]&lt;=10, "Child",Table3[[#This Row],[Age]]&lt;18, "Teenger", Table3[[#This Row],[Age]]&lt;30, "Middle Age", Table3[[#This Row],[Age]]&lt; 60,"Adult",Table3[[#This Row],[Age]],"Senior Citizen")</f>
        <v>Adult</v>
      </c>
      <c r="D34" t="s">
        <v>18</v>
      </c>
      <c r="E34" t="s">
        <v>24</v>
      </c>
      <c r="F34" t="s">
        <v>61</v>
      </c>
      <c r="G34" s="1">
        <v>45329</v>
      </c>
      <c r="H34" s="1">
        <v>45330</v>
      </c>
      <c r="I34" s="2">
        <f>Table3[[#This Row],[Discharge_Date]]-Table3[[#This Row],[Admission_Date]]</f>
        <v>1</v>
      </c>
      <c r="J34">
        <v>110</v>
      </c>
      <c r="K34" t="s">
        <v>33</v>
      </c>
      <c r="L34" t="s">
        <v>16</v>
      </c>
      <c r="M34">
        <f>IF(Table3[[#This Row],[Treatment_Success]]="Yes",1,0)</f>
        <v>1</v>
      </c>
      <c r="N34">
        <v>96490</v>
      </c>
    </row>
    <row r="35" spans="1:14" x14ac:dyDescent="0.35">
      <c r="A35" t="s">
        <v>76</v>
      </c>
      <c r="B35">
        <v>32</v>
      </c>
      <c r="C35" t="str">
        <f>_xlfn.IFS(Table3[[#This Row],[Age]]&lt;=10, "Child",Table3[[#This Row],[Age]]&lt;18, "Teenger", Table3[[#This Row],[Age]]&lt;30, "Middle Age", Table3[[#This Row],[Age]]&lt; 60,"Adult",Table3[[#This Row],[Age]],"Senior Citizen")</f>
        <v>Adult</v>
      </c>
      <c r="D35" t="s">
        <v>12</v>
      </c>
      <c r="E35" t="s">
        <v>38</v>
      </c>
      <c r="F35" t="s">
        <v>66</v>
      </c>
      <c r="G35" s="1">
        <v>45327</v>
      </c>
      <c r="H35" s="1">
        <v>45342</v>
      </c>
      <c r="I35" s="2">
        <f>Table3[[#This Row],[Discharge_Date]]-Table3[[#This Row],[Admission_Date]]</f>
        <v>15</v>
      </c>
      <c r="J35">
        <v>225</v>
      </c>
      <c r="K35" t="s">
        <v>33</v>
      </c>
      <c r="L35" t="s">
        <v>16</v>
      </c>
      <c r="M35">
        <f>IF(Table3[[#This Row],[Treatment_Success]]="Yes",1,0)</f>
        <v>1</v>
      </c>
      <c r="N35">
        <v>180076</v>
      </c>
    </row>
    <row r="36" spans="1:14" x14ac:dyDescent="0.35">
      <c r="A36" t="s">
        <v>77</v>
      </c>
      <c r="B36">
        <v>85</v>
      </c>
      <c r="C36" t="str">
        <f>_xlfn.IFS(Table3[[#This Row],[Age]]&lt;=10, "Child",Table3[[#This Row],[Age]]&lt;18, "Teenger", Table3[[#This Row],[Age]]&lt;30, "Middle Age", Table3[[#This Row],[Age]]&lt; 60,"Adult",Table3[[#This Row],[Age]],"Senior Citizen")</f>
        <v>Senior Citizen</v>
      </c>
      <c r="D36" t="s">
        <v>18</v>
      </c>
      <c r="E36" t="s">
        <v>13</v>
      </c>
      <c r="F36" t="s">
        <v>32</v>
      </c>
      <c r="G36" s="1">
        <v>45575</v>
      </c>
      <c r="H36" s="1">
        <v>45580</v>
      </c>
      <c r="I36" s="2">
        <f>Table3[[#This Row],[Discharge_Date]]-Table3[[#This Row],[Admission_Date]]</f>
        <v>5</v>
      </c>
      <c r="J36">
        <v>60</v>
      </c>
      <c r="K36" t="s">
        <v>15</v>
      </c>
      <c r="L36" t="s">
        <v>16</v>
      </c>
      <c r="M36">
        <f>IF(Table3[[#This Row],[Treatment_Success]]="Yes",1,0)</f>
        <v>1</v>
      </c>
      <c r="N36">
        <v>76394</v>
      </c>
    </row>
    <row r="37" spans="1:14" x14ac:dyDescent="0.35">
      <c r="A37" t="s">
        <v>78</v>
      </c>
      <c r="B37">
        <v>27</v>
      </c>
      <c r="C37" t="str">
        <f>_xlfn.IFS(Table3[[#This Row],[Age]]&lt;=10, "Child",Table3[[#This Row],[Age]]&lt;18, "Teenger", Table3[[#This Row],[Age]]&lt;30, "Middle Age", Table3[[#This Row],[Age]]&lt; 60,"Adult",Table3[[#This Row],[Age]],"Senior Citizen")</f>
        <v>Middle Age</v>
      </c>
      <c r="D37" t="s">
        <v>12</v>
      </c>
      <c r="E37" t="s">
        <v>13</v>
      </c>
      <c r="F37" t="s">
        <v>54</v>
      </c>
      <c r="G37" s="1">
        <v>45436</v>
      </c>
      <c r="H37" s="1">
        <v>45446</v>
      </c>
      <c r="I37" s="2">
        <f>Table3[[#This Row],[Discharge_Date]]-Table3[[#This Row],[Admission_Date]]</f>
        <v>10</v>
      </c>
      <c r="J37">
        <v>136</v>
      </c>
      <c r="K37" t="s">
        <v>46</v>
      </c>
      <c r="L37" t="s">
        <v>16</v>
      </c>
      <c r="M37">
        <f>IF(Table3[[#This Row],[Treatment_Success]]="Yes",1,0)</f>
        <v>1</v>
      </c>
      <c r="N37">
        <v>18316</v>
      </c>
    </row>
    <row r="38" spans="1:14" x14ac:dyDescent="0.35">
      <c r="A38" t="s">
        <v>79</v>
      </c>
      <c r="B38">
        <v>55</v>
      </c>
      <c r="C38" t="str">
        <f>_xlfn.IFS(Table3[[#This Row],[Age]]&lt;=10, "Child",Table3[[#This Row],[Age]]&lt;18, "Teenger", Table3[[#This Row],[Age]]&lt;30, "Middle Age", Table3[[#This Row],[Age]]&lt; 60,"Adult",Table3[[#This Row],[Age]],"Senior Citizen")</f>
        <v>Adult</v>
      </c>
      <c r="D38" t="s">
        <v>12</v>
      </c>
      <c r="E38" t="s">
        <v>24</v>
      </c>
      <c r="F38" t="s">
        <v>80</v>
      </c>
      <c r="G38" s="1">
        <v>45339</v>
      </c>
      <c r="H38" s="1">
        <v>45350</v>
      </c>
      <c r="I38" s="2">
        <f>Table3[[#This Row],[Discharge_Date]]-Table3[[#This Row],[Admission_Date]]</f>
        <v>11</v>
      </c>
      <c r="J38">
        <v>171</v>
      </c>
      <c r="K38" t="s">
        <v>36</v>
      </c>
      <c r="L38" t="s">
        <v>16</v>
      </c>
      <c r="M38">
        <f>IF(Table3[[#This Row],[Treatment_Success]]="Yes",1,0)</f>
        <v>1</v>
      </c>
      <c r="N38">
        <v>47357</v>
      </c>
    </row>
    <row r="39" spans="1:14" x14ac:dyDescent="0.35">
      <c r="A39" t="s">
        <v>81</v>
      </c>
      <c r="B39">
        <v>55</v>
      </c>
      <c r="C39" t="str">
        <f>_xlfn.IFS(Table3[[#This Row],[Age]]&lt;=10, "Child",Table3[[#This Row],[Age]]&lt;18, "Teenger", Table3[[#This Row],[Age]]&lt;30, "Middle Age", Table3[[#This Row],[Age]]&lt; 60,"Adult",Table3[[#This Row],[Age]],"Senior Citizen")</f>
        <v>Adult</v>
      </c>
      <c r="D39" t="s">
        <v>18</v>
      </c>
      <c r="E39" t="s">
        <v>24</v>
      </c>
      <c r="F39" t="s">
        <v>45</v>
      </c>
      <c r="G39" s="1">
        <v>45518</v>
      </c>
      <c r="H39" s="1">
        <v>45527</v>
      </c>
      <c r="I39" s="2">
        <f>Table3[[#This Row],[Discharge_Date]]-Table3[[#This Row],[Admission_Date]]</f>
        <v>9</v>
      </c>
      <c r="J39">
        <v>77</v>
      </c>
      <c r="K39" t="s">
        <v>15</v>
      </c>
      <c r="L39" t="s">
        <v>16</v>
      </c>
      <c r="M39">
        <f>IF(Table3[[#This Row],[Treatment_Success]]="Yes",1,0)</f>
        <v>1</v>
      </c>
      <c r="N39">
        <v>157701</v>
      </c>
    </row>
    <row r="40" spans="1:14" x14ac:dyDescent="0.35">
      <c r="A40" t="s">
        <v>82</v>
      </c>
      <c r="B40">
        <v>56</v>
      </c>
      <c r="C40" t="str">
        <f>_xlfn.IFS(Table3[[#This Row],[Age]]&lt;=10, "Child",Table3[[#This Row],[Age]]&lt;18, "Teenger", Table3[[#This Row],[Age]]&lt;30, "Middle Age", Table3[[#This Row],[Age]]&lt; 60,"Adult",Table3[[#This Row],[Age]],"Senior Citizen")</f>
        <v>Adult</v>
      </c>
      <c r="D40" t="s">
        <v>18</v>
      </c>
      <c r="E40" t="s">
        <v>24</v>
      </c>
      <c r="F40" t="s">
        <v>83</v>
      </c>
      <c r="G40" s="1">
        <v>45574</v>
      </c>
      <c r="H40" s="1">
        <v>45577</v>
      </c>
      <c r="I40" s="2">
        <f>Table3[[#This Row],[Discharge_Date]]-Table3[[#This Row],[Admission_Date]]</f>
        <v>3</v>
      </c>
      <c r="J40">
        <v>187</v>
      </c>
      <c r="K40" t="s">
        <v>15</v>
      </c>
      <c r="L40" t="s">
        <v>16</v>
      </c>
      <c r="M40">
        <f>IF(Table3[[#This Row],[Treatment_Success]]="Yes",1,0)</f>
        <v>1</v>
      </c>
      <c r="N40">
        <v>60070</v>
      </c>
    </row>
    <row r="41" spans="1:14" x14ac:dyDescent="0.35">
      <c r="A41" t="s">
        <v>84</v>
      </c>
      <c r="B41">
        <v>86</v>
      </c>
      <c r="C41" t="str">
        <f>_xlfn.IFS(Table3[[#This Row],[Age]]&lt;=10, "Child",Table3[[#This Row],[Age]]&lt;18, "Teenger", Table3[[#This Row],[Age]]&lt;30, "Middle Age", Table3[[#This Row],[Age]]&lt; 60,"Adult",Table3[[#This Row],[Age]],"Senior Citizen")</f>
        <v>Senior Citizen</v>
      </c>
      <c r="D41" t="s">
        <v>18</v>
      </c>
      <c r="E41" t="s">
        <v>38</v>
      </c>
      <c r="F41" t="s">
        <v>22</v>
      </c>
      <c r="G41" s="1">
        <v>45641</v>
      </c>
      <c r="H41" s="1">
        <v>45645</v>
      </c>
      <c r="I41" s="2">
        <f>Table3[[#This Row],[Discharge_Date]]-Table3[[#This Row],[Admission_Date]]</f>
        <v>4</v>
      </c>
      <c r="J41">
        <v>287</v>
      </c>
      <c r="K41" t="s">
        <v>46</v>
      </c>
      <c r="L41" t="s">
        <v>16</v>
      </c>
      <c r="M41">
        <f>IF(Table3[[#This Row],[Treatment_Success]]="Yes",1,0)</f>
        <v>1</v>
      </c>
      <c r="N41">
        <v>67059</v>
      </c>
    </row>
    <row r="42" spans="1:14" x14ac:dyDescent="0.35">
      <c r="A42" t="s">
        <v>85</v>
      </c>
      <c r="B42">
        <v>23</v>
      </c>
      <c r="C42" t="str">
        <f>_xlfn.IFS(Table3[[#This Row],[Age]]&lt;=10, "Child",Table3[[#This Row],[Age]]&lt;18, "Teenger", Table3[[#This Row],[Age]]&lt;30, "Middle Age", Table3[[#This Row],[Age]]&lt; 60,"Adult",Table3[[#This Row],[Age]],"Senior Citizen")</f>
        <v>Middle Age</v>
      </c>
      <c r="D42" t="s">
        <v>12</v>
      </c>
      <c r="E42" t="s">
        <v>24</v>
      </c>
      <c r="F42" t="s">
        <v>66</v>
      </c>
      <c r="G42" s="1">
        <v>45375</v>
      </c>
      <c r="H42" s="1">
        <v>45388</v>
      </c>
      <c r="I42" s="2">
        <f>Table3[[#This Row],[Discharge_Date]]-Table3[[#This Row],[Admission_Date]]</f>
        <v>13</v>
      </c>
      <c r="J42">
        <v>171</v>
      </c>
      <c r="K42" t="s">
        <v>46</v>
      </c>
      <c r="L42" t="s">
        <v>16</v>
      </c>
      <c r="M42">
        <f>IF(Table3[[#This Row],[Treatment_Success]]="Yes",1,0)</f>
        <v>1</v>
      </c>
      <c r="N42">
        <v>74941</v>
      </c>
    </row>
    <row r="43" spans="1:14" x14ac:dyDescent="0.35">
      <c r="A43" t="s">
        <v>86</v>
      </c>
      <c r="B43">
        <v>90</v>
      </c>
      <c r="C43" t="str">
        <f>_xlfn.IFS(Table3[[#This Row],[Age]]&lt;=10, "Child",Table3[[#This Row],[Age]]&lt;18, "Teenger", Table3[[#This Row],[Age]]&lt;30, "Middle Age", Table3[[#This Row],[Age]]&lt; 60,"Adult",Table3[[#This Row],[Age]],"Senior Citizen")</f>
        <v>Senior Citizen</v>
      </c>
      <c r="D43" t="s">
        <v>18</v>
      </c>
      <c r="E43" t="s">
        <v>31</v>
      </c>
      <c r="F43" t="s">
        <v>52</v>
      </c>
      <c r="G43" s="1">
        <v>45373</v>
      </c>
      <c r="H43" s="1">
        <v>45386</v>
      </c>
      <c r="I43" s="2">
        <f>Table3[[#This Row],[Discharge_Date]]-Table3[[#This Row],[Admission_Date]]</f>
        <v>13</v>
      </c>
      <c r="J43">
        <v>241</v>
      </c>
      <c r="K43" t="s">
        <v>36</v>
      </c>
      <c r="L43" t="s">
        <v>16</v>
      </c>
      <c r="M43">
        <f>IF(Table3[[#This Row],[Treatment_Success]]="Yes",1,0)</f>
        <v>1</v>
      </c>
      <c r="N43">
        <v>125665</v>
      </c>
    </row>
    <row r="44" spans="1:14" x14ac:dyDescent="0.35">
      <c r="A44" t="s">
        <v>87</v>
      </c>
      <c r="B44">
        <v>30</v>
      </c>
      <c r="C44" t="str">
        <f>_xlfn.IFS(Table3[[#This Row],[Age]]&lt;=10, "Child",Table3[[#This Row],[Age]]&lt;18, "Teenger", Table3[[#This Row],[Age]]&lt;30, "Middle Age", Table3[[#This Row],[Age]]&lt; 60,"Adult",Table3[[#This Row],[Age]],"Senior Citizen")</f>
        <v>Adult</v>
      </c>
      <c r="D44" t="s">
        <v>18</v>
      </c>
      <c r="E44" t="s">
        <v>24</v>
      </c>
      <c r="F44" t="s">
        <v>54</v>
      </c>
      <c r="G44" s="1">
        <v>45471</v>
      </c>
      <c r="H44" s="1">
        <v>45476</v>
      </c>
      <c r="I44" s="2">
        <f>Table3[[#This Row],[Discharge_Date]]-Table3[[#This Row],[Admission_Date]]</f>
        <v>5</v>
      </c>
      <c r="J44">
        <v>99</v>
      </c>
      <c r="K44" t="s">
        <v>46</v>
      </c>
      <c r="L44" t="s">
        <v>16</v>
      </c>
      <c r="M44">
        <f>IF(Table3[[#This Row],[Treatment_Success]]="Yes",1,0)</f>
        <v>1</v>
      </c>
      <c r="N44">
        <v>78034</v>
      </c>
    </row>
    <row r="45" spans="1:14" x14ac:dyDescent="0.35">
      <c r="A45" t="s">
        <v>88</v>
      </c>
      <c r="B45">
        <v>36</v>
      </c>
      <c r="C45" t="str">
        <f>_xlfn.IFS(Table3[[#This Row],[Age]]&lt;=10, "Child",Table3[[#This Row],[Age]]&lt;18, "Teenger", Table3[[#This Row],[Age]]&lt;30, "Middle Age", Table3[[#This Row],[Age]]&lt; 60,"Adult",Table3[[#This Row],[Age]],"Senior Citizen")</f>
        <v>Adult</v>
      </c>
      <c r="D45" t="s">
        <v>12</v>
      </c>
      <c r="E45" t="s">
        <v>28</v>
      </c>
      <c r="F45" t="s">
        <v>56</v>
      </c>
      <c r="G45" s="1">
        <v>45327</v>
      </c>
      <c r="H45" s="1">
        <v>45340</v>
      </c>
      <c r="I45" s="2">
        <f>Table3[[#This Row],[Discharge_Date]]-Table3[[#This Row],[Admission_Date]]</f>
        <v>13</v>
      </c>
      <c r="J45">
        <v>275</v>
      </c>
      <c r="K45" t="s">
        <v>33</v>
      </c>
      <c r="L45" t="s">
        <v>16</v>
      </c>
      <c r="M45">
        <f>IF(Table3[[#This Row],[Treatment_Success]]="Yes",1,0)</f>
        <v>1</v>
      </c>
      <c r="N45">
        <v>35236</v>
      </c>
    </row>
    <row r="46" spans="1:14" x14ac:dyDescent="0.35">
      <c r="A46" t="s">
        <v>89</v>
      </c>
      <c r="B46">
        <v>75</v>
      </c>
      <c r="C46" t="str">
        <f>_xlfn.IFS(Table3[[#This Row],[Age]]&lt;=10, "Child",Table3[[#This Row],[Age]]&lt;18, "Teenger", Table3[[#This Row],[Age]]&lt;30, "Middle Age", Table3[[#This Row],[Age]]&lt; 60,"Adult",Table3[[#This Row],[Age]],"Senior Citizen")</f>
        <v>Senior Citizen</v>
      </c>
      <c r="D46" t="s">
        <v>12</v>
      </c>
      <c r="E46" t="s">
        <v>24</v>
      </c>
      <c r="F46" t="s">
        <v>90</v>
      </c>
      <c r="G46" s="1">
        <v>45425</v>
      </c>
      <c r="H46" s="1">
        <v>45428</v>
      </c>
      <c r="I46" s="2">
        <f>Table3[[#This Row],[Discharge_Date]]-Table3[[#This Row],[Admission_Date]]</f>
        <v>3</v>
      </c>
      <c r="J46">
        <v>223</v>
      </c>
      <c r="K46" t="s">
        <v>33</v>
      </c>
      <c r="L46" t="s">
        <v>16</v>
      </c>
      <c r="M46">
        <f>IF(Table3[[#This Row],[Treatment_Success]]="Yes",1,0)</f>
        <v>1</v>
      </c>
      <c r="N46">
        <v>119398</v>
      </c>
    </row>
    <row r="47" spans="1:14" x14ac:dyDescent="0.35">
      <c r="A47" t="s">
        <v>91</v>
      </c>
      <c r="B47">
        <v>15</v>
      </c>
      <c r="C47" t="str">
        <f>_xlfn.IFS(Table3[[#This Row],[Age]]&lt;=10, "Child",Table3[[#This Row],[Age]]&lt;18, "Teenger", Table3[[#This Row],[Age]]&lt;30, "Middle Age", Table3[[#This Row],[Age]]&lt; 60,"Adult",Table3[[#This Row],[Age]],"Senior Citizen")</f>
        <v>Teenger</v>
      </c>
      <c r="D47" t="s">
        <v>12</v>
      </c>
      <c r="E47" t="s">
        <v>28</v>
      </c>
      <c r="F47" t="s">
        <v>29</v>
      </c>
      <c r="G47" s="1">
        <v>45602</v>
      </c>
      <c r="H47" s="1">
        <v>45611</v>
      </c>
      <c r="I47" s="2">
        <f>Table3[[#This Row],[Discharge_Date]]-Table3[[#This Row],[Admission_Date]]</f>
        <v>9</v>
      </c>
      <c r="J47">
        <v>131</v>
      </c>
      <c r="K47" t="s">
        <v>15</v>
      </c>
      <c r="L47" t="s">
        <v>26</v>
      </c>
      <c r="M47">
        <f>IF(Table3[[#This Row],[Treatment_Success]]="Yes",1,0)</f>
        <v>0</v>
      </c>
      <c r="N47">
        <v>5443</v>
      </c>
    </row>
    <row r="48" spans="1:14" x14ac:dyDescent="0.35">
      <c r="A48" t="s">
        <v>92</v>
      </c>
      <c r="B48">
        <v>69</v>
      </c>
      <c r="C48" t="str">
        <f>_xlfn.IFS(Table3[[#This Row],[Age]]&lt;=10, "Child",Table3[[#This Row],[Age]]&lt;18, "Teenger", Table3[[#This Row],[Age]]&lt;30, "Middle Age", Table3[[#This Row],[Age]]&lt; 60,"Adult",Table3[[#This Row],[Age]],"Senior Citizen")</f>
        <v>Senior Citizen</v>
      </c>
      <c r="D48" t="s">
        <v>18</v>
      </c>
      <c r="E48" t="s">
        <v>38</v>
      </c>
      <c r="F48" t="s">
        <v>93</v>
      </c>
      <c r="G48" s="1">
        <v>45558</v>
      </c>
      <c r="H48" s="1">
        <v>45573</v>
      </c>
      <c r="I48" s="2">
        <f>Table3[[#This Row],[Discharge_Date]]-Table3[[#This Row],[Admission_Date]]</f>
        <v>15</v>
      </c>
      <c r="J48">
        <v>36</v>
      </c>
      <c r="K48" t="s">
        <v>33</v>
      </c>
      <c r="L48" t="s">
        <v>16</v>
      </c>
      <c r="M48">
        <f>IF(Table3[[#This Row],[Treatment_Success]]="Yes",1,0)</f>
        <v>1</v>
      </c>
      <c r="N48">
        <v>178903</v>
      </c>
    </row>
    <row r="49" spans="1:14" x14ac:dyDescent="0.35">
      <c r="A49" t="s">
        <v>94</v>
      </c>
      <c r="B49">
        <v>39</v>
      </c>
      <c r="C49" t="str">
        <f>_xlfn.IFS(Table3[[#This Row],[Age]]&lt;=10, "Child",Table3[[#This Row],[Age]]&lt;18, "Teenger", Table3[[#This Row],[Age]]&lt;30, "Middle Age", Table3[[#This Row],[Age]]&lt; 60,"Adult",Table3[[#This Row],[Age]],"Senior Citizen")</f>
        <v>Adult</v>
      </c>
      <c r="D49" t="s">
        <v>12</v>
      </c>
      <c r="E49" t="s">
        <v>31</v>
      </c>
      <c r="F49" t="s">
        <v>95</v>
      </c>
      <c r="G49" s="1">
        <v>45355</v>
      </c>
      <c r="H49" s="1">
        <v>45367</v>
      </c>
      <c r="I49" s="2">
        <f>Table3[[#This Row],[Discharge_Date]]-Table3[[#This Row],[Admission_Date]]</f>
        <v>12</v>
      </c>
      <c r="J49">
        <v>207</v>
      </c>
      <c r="K49" t="s">
        <v>33</v>
      </c>
      <c r="L49" t="s">
        <v>16</v>
      </c>
      <c r="M49">
        <f>IF(Table3[[#This Row],[Treatment_Success]]="Yes",1,0)</f>
        <v>1</v>
      </c>
      <c r="N49">
        <v>55289</v>
      </c>
    </row>
    <row r="50" spans="1:14" x14ac:dyDescent="0.35">
      <c r="A50" t="s">
        <v>96</v>
      </c>
      <c r="B50">
        <v>49</v>
      </c>
      <c r="C50" t="str">
        <f>_xlfn.IFS(Table3[[#This Row],[Age]]&lt;=10, "Child",Table3[[#This Row],[Age]]&lt;18, "Teenger", Table3[[#This Row],[Age]]&lt;30, "Middle Age", Table3[[#This Row],[Age]]&lt; 60,"Adult",Table3[[#This Row],[Age]],"Senior Citizen")</f>
        <v>Adult</v>
      </c>
      <c r="D50" t="s">
        <v>18</v>
      </c>
      <c r="E50" t="s">
        <v>28</v>
      </c>
      <c r="F50" t="s">
        <v>58</v>
      </c>
      <c r="G50" s="1">
        <v>45507</v>
      </c>
      <c r="H50" s="1">
        <v>45518</v>
      </c>
      <c r="I50" s="2">
        <f>Table3[[#This Row],[Discharge_Date]]-Table3[[#This Row],[Admission_Date]]</f>
        <v>11</v>
      </c>
      <c r="J50">
        <v>155</v>
      </c>
      <c r="K50" t="s">
        <v>46</v>
      </c>
      <c r="L50" t="s">
        <v>16</v>
      </c>
      <c r="M50">
        <f>IF(Table3[[#This Row],[Treatment_Success]]="Yes",1,0)</f>
        <v>1</v>
      </c>
      <c r="N50">
        <v>84658</v>
      </c>
    </row>
    <row r="51" spans="1:14" x14ac:dyDescent="0.35">
      <c r="A51" t="s">
        <v>97</v>
      </c>
      <c r="B51">
        <v>56</v>
      </c>
      <c r="C51" t="str">
        <f>_xlfn.IFS(Table3[[#This Row],[Age]]&lt;=10, "Child",Table3[[#This Row],[Age]]&lt;18, "Teenger", Table3[[#This Row],[Age]]&lt;30, "Middle Age", Table3[[#This Row],[Age]]&lt; 60,"Adult",Table3[[#This Row],[Age]],"Senior Citizen")</f>
        <v>Adult</v>
      </c>
      <c r="D51" t="s">
        <v>12</v>
      </c>
      <c r="E51" t="s">
        <v>31</v>
      </c>
      <c r="F51" t="s">
        <v>20</v>
      </c>
      <c r="G51" s="1">
        <v>45438</v>
      </c>
      <c r="H51" s="1">
        <v>45442</v>
      </c>
      <c r="I51" s="2">
        <f>Table3[[#This Row],[Discharge_Date]]-Table3[[#This Row],[Admission_Date]]</f>
        <v>4</v>
      </c>
      <c r="J51">
        <v>227</v>
      </c>
      <c r="K51" t="s">
        <v>36</v>
      </c>
      <c r="L51" t="s">
        <v>26</v>
      </c>
      <c r="M51">
        <f>IF(Table3[[#This Row],[Treatment_Success]]="Yes",1,0)</f>
        <v>0</v>
      </c>
      <c r="N51">
        <v>197927</v>
      </c>
    </row>
    <row r="52" spans="1:14" x14ac:dyDescent="0.35">
      <c r="A52" t="s">
        <v>98</v>
      </c>
      <c r="B52">
        <v>11</v>
      </c>
      <c r="C52" t="str">
        <f>_xlfn.IFS(Table3[[#This Row],[Age]]&lt;=10, "Child",Table3[[#This Row],[Age]]&lt;18, "Teenger", Table3[[#This Row],[Age]]&lt;30, "Middle Age", Table3[[#This Row],[Age]]&lt; 60,"Adult",Table3[[#This Row],[Age]],"Senior Citizen")</f>
        <v>Teenger</v>
      </c>
      <c r="D52" t="s">
        <v>12</v>
      </c>
      <c r="E52" t="s">
        <v>28</v>
      </c>
      <c r="F52" t="s">
        <v>54</v>
      </c>
      <c r="G52" s="1">
        <v>45378</v>
      </c>
      <c r="H52" s="1">
        <v>45389</v>
      </c>
      <c r="I52" s="2">
        <f>Table3[[#This Row],[Discharge_Date]]-Table3[[#This Row],[Admission_Date]]</f>
        <v>11</v>
      </c>
      <c r="J52">
        <v>172</v>
      </c>
      <c r="K52" t="s">
        <v>15</v>
      </c>
      <c r="L52" t="s">
        <v>16</v>
      </c>
      <c r="M52">
        <f>IF(Table3[[#This Row],[Treatment_Success]]="Yes",1,0)</f>
        <v>1</v>
      </c>
      <c r="N52">
        <v>181369</v>
      </c>
    </row>
    <row r="53" spans="1:14" x14ac:dyDescent="0.35">
      <c r="A53" t="s">
        <v>99</v>
      </c>
      <c r="B53">
        <v>26</v>
      </c>
      <c r="C53" t="str">
        <f>_xlfn.IFS(Table3[[#This Row],[Age]]&lt;=10, "Child",Table3[[#This Row],[Age]]&lt;18, "Teenger", Table3[[#This Row],[Age]]&lt;30, "Middle Age", Table3[[#This Row],[Age]]&lt; 60,"Adult",Table3[[#This Row],[Age]],"Senior Citizen")</f>
        <v>Middle Age</v>
      </c>
      <c r="D53" t="s">
        <v>18</v>
      </c>
      <c r="E53" t="s">
        <v>24</v>
      </c>
      <c r="F53" t="s">
        <v>52</v>
      </c>
      <c r="G53" s="1">
        <v>45450</v>
      </c>
      <c r="H53" s="1">
        <v>45454</v>
      </c>
      <c r="I53" s="2">
        <f>Table3[[#This Row],[Discharge_Date]]-Table3[[#This Row],[Admission_Date]]</f>
        <v>4</v>
      </c>
      <c r="J53">
        <v>126</v>
      </c>
      <c r="K53" t="s">
        <v>46</v>
      </c>
      <c r="L53" t="s">
        <v>16</v>
      </c>
      <c r="M53">
        <f>IF(Table3[[#This Row],[Treatment_Success]]="Yes",1,0)</f>
        <v>1</v>
      </c>
      <c r="N53">
        <v>124384</v>
      </c>
    </row>
    <row r="54" spans="1:14" x14ac:dyDescent="0.35">
      <c r="A54" t="s">
        <v>100</v>
      </c>
      <c r="B54">
        <v>81</v>
      </c>
      <c r="C54" t="str">
        <f>_xlfn.IFS(Table3[[#This Row],[Age]]&lt;=10, "Child",Table3[[#This Row],[Age]]&lt;18, "Teenger", Table3[[#This Row],[Age]]&lt;30, "Middle Age", Table3[[#This Row],[Age]]&lt; 60,"Adult",Table3[[#This Row],[Age]],"Senior Citizen")</f>
        <v>Senior Citizen</v>
      </c>
      <c r="D54" t="s">
        <v>18</v>
      </c>
      <c r="E54" t="s">
        <v>31</v>
      </c>
      <c r="F54" t="s">
        <v>43</v>
      </c>
      <c r="G54" s="1">
        <v>45504</v>
      </c>
      <c r="H54" s="1">
        <v>45519</v>
      </c>
      <c r="I54" s="2">
        <f>Table3[[#This Row],[Discharge_Date]]-Table3[[#This Row],[Admission_Date]]</f>
        <v>15</v>
      </c>
      <c r="J54">
        <v>205</v>
      </c>
      <c r="K54" t="s">
        <v>36</v>
      </c>
      <c r="L54" t="s">
        <v>16</v>
      </c>
      <c r="M54">
        <f>IF(Table3[[#This Row],[Treatment_Success]]="Yes",1,0)</f>
        <v>1</v>
      </c>
      <c r="N54">
        <v>176981</v>
      </c>
    </row>
    <row r="55" spans="1:14" x14ac:dyDescent="0.35">
      <c r="A55" t="s">
        <v>101</v>
      </c>
      <c r="B55">
        <v>14</v>
      </c>
      <c r="C55" t="str">
        <f>_xlfn.IFS(Table3[[#This Row],[Age]]&lt;=10, "Child",Table3[[#This Row],[Age]]&lt;18, "Teenger", Table3[[#This Row],[Age]]&lt;30, "Middle Age", Table3[[#This Row],[Age]]&lt; 60,"Adult",Table3[[#This Row],[Age]],"Senior Citizen")</f>
        <v>Teenger</v>
      </c>
      <c r="D55" t="s">
        <v>12</v>
      </c>
      <c r="E55" t="s">
        <v>13</v>
      </c>
      <c r="F55" t="s">
        <v>66</v>
      </c>
      <c r="G55" s="1">
        <v>45644</v>
      </c>
      <c r="H55" s="1">
        <v>45645</v>
      </c>
      <c r="I55" s="2">
        <f>Table3[[#This Row],[Discharge_Date]]-Table3[[#This Row],[Admission_Date]]</f>
        <v>1</v>
      </c>
      <c r="J55">
        <v>266</v>
      </c>
      <c r="K55" t="s">
        <v>46</v>
      </c>
      <c r="L55" t="s">
        <v>16</v>
      </c>
      <c r="M55">
        <f>IF(Table3[[#This Row],[Treatment_Success]]="Yes",1,0)</f>
        <v>1</v>
      </c>
      <c r="N55">
        <v>151120</v>
      </c>
    </row>
    <row r="56" spans="1:14" x14ac:dyDescent="0.35">
      <c r="A56" t="s">
        <v>102</v>
      </c>
      <c r="B56">
        <v>16</v>
      </c>
      <c r="C56" t="str">
        <f>_xlfn.IFS(Table3[[#This Row],[Age]]&lt;=10, "Child",Table3[[#This Row],[Age]]&lt;18, "Teenger", Table3[[#This Row],[Age]]&lt;30, "Middle Age", Table3[[#This Row],[Age]]&lt; 60,"Adult",Table3[[#This Row],[Age]],"Senior Citizen")</f>
        <v>Teenger</v>
      </c>
      <c r="D56" t="s">
        <v>12</v>
      </c>
      <c r="E56" t="s">
        <v>13</v>
      </c>
      <c r="F56" t="s">
        <v>20</v>
      </c>
      <c r="G56" s="1">
        <v>45419</v>
      </c>
      <c r="H56" s="1">
        <v>45434</v>
      </c>
      <c r="I56" s="2">
        <f>Table3[[#This Row],[Discharge_Date]]-Table3[[#This Row],[Admission_Date]]</f>
        <v>15</v>
      </c>
      <c r="J56">
        <v>272</v>
      </c>
      <c r="K56" t="s">
        <v>33</v>
      </c>
      <c r="L56" t="s">
        <v>26</v>
      </c>
      <c r="M56">
        <f>IF(Table3[[#This Row],[Treatment_Success]]="Yes",1,0)</f>
        <v>0</v>
      </c>
      <c r="N56">
        <v>165603</v>
      </c>
    </row>
    <row r="57" spans="1:14" x14ac:dyDescent="0.35">
      <c r="A57" t="s">
        <v>103</v>
      </c>
      <c r="B57">
        <v>71</v>
      </c>
      <c r="C57" t="str">
        <f>_xlfn.IFS(Table3[[#This Row],[Age]]&lt;=10, "Child",Table3[[#This Row],[Age]]&lt;18, "Teenger", Table3[[#This Row],[Age]]&lt;30, "Middle Age", Table3[[#This Row],[Age]]&lt; 60,"Adult",Table3[[#This Row],[Age]],"Senior Citizen")</f>
        <v>Senior Citizen</v>
      </c>
      <c r="D57" t="s">
        <v>12</v>
      </c>
      <c r="E57" t="s">
        <v>13</v>
      </c>
      <c r="F57" t="s">
        <v>25</v>
      </c>
      <c r="G57" s="1">
        <v>45550</v>
      </c>
      <c r="H57" s="1">
        <v>45557</v>
      </c>
      <c r="I57" s="2">
        <f>Table3[[#This Row],[Discharge_Date]]-Table3[[#This Row],[Admission_Date]]</f>
        <v>7</v>
      </c>
      <c r="J57">
        <v>244</v>
      </c>
      <c r="K57" t="s">
        <v>46</v>
      </c>
      <c r="L57" t="s">
        <v>16</v>
      </c>
      <c r="M57">
        <f>IF(Table3[[#This Row],[Treatment_Success]]="Yes",1,0)</f>
        <v>1</v>
      </c>
      <c r="N57">
        <v>69812</v>
      </c>
    </row>
    <row r="58" spans="1:14" x14ac:dyDescent="0.35">
      <c r="A58" t="s">
        <v>104</v>
      </c>
      <c r="B58">
        <v>67</v>
      </c>
      <c r="C58" t="str">
        <f>_xlfn.IFS(Table3[[#This Row],[Age]]&lt;=10, "Child",Table3[[#This Row],[Age]]&lt;18, "Teenger", Table3[[#This Row],[Age]]&lt;30, "Middle Age", Table3[[#This Row],[Age]]&lt; 60,"Adult",Table3[[#This Row],[Age]],"Senior Citizen")</f>
        <v>Senior Citizen</v>
      </c>
      <c r="D58" t="s">
        <v>12</v>
      </c>
      <c r="E58" t="s">
        <v>13</v>
      </c>
      <c r="F58" t="s">
        <v>32</v>
      </c>
      <c r="G58" s="1">
        <v>45618</v>
      </c>
      <c r="H58" s="1">
        <v>45623</v>
      </c>
      <c r="I58" s="2">
        <f>Table3[[#This Row],[Discharge_Date]]-Table3[[#This Row],[Admission_Date]]</f>
        <v>5</v>
      </c>
      <c r="J58">
        <v>226</v>
      </c>
      <c r="K58" t="s">
        <v>15</v>
      </c>
      <c r="L58" t="s">
        <v>16</v>
      </c>
      <c r="M58">
        <f>IF(Table3[[#This Row],[Treatment_Success]]="Yes",1,0)</f>
        <v>1</v>
      </c>
      <c r="N58">
        <v>66471</v>
      </c>
    </row>
    <row r="59" spans="1:14" x14ac:dyDescent="0.35">
      <c r="A59" t="s">
        <v>105</v>
      </c>
      <c r="B59">
        <v>41</v>
      </c>
      <c r="C59" t="str">
        <f>_xlfn.IFS(Table3[[#This Row],[Age]]&lt;=10, "Child",Table3[[#This Row],[Age]]&lt;18, "Teenger", Table3[[#This Row],[Age]]&lt;30, "Middle Age", Table3[[#This Row],[Age]]&lt; 60,"Adult",Table3[[#This Row],[Age]],"Senior Citizen")</f>
        <v>Adult</v>
      </c>
      <c r="D59" t="s">
        <v>18</v>
      </c>
      <c r="E59" t="s">
        <v>13</v>
      </c>
      <c r="F59" t="s">
        <v>106</v>
      </c>
      <c r="G59" s="1">
        <v>45431</v>
      </c>
      <c r="H59" s="1">
        <v>45437</v>
      </c>
      <c r="I59" s="2">
        <f>Table3[[#This Row],[Discharge_Date]]-Table3[[#This Row],[Admission_Date]]</f>
        <v>6</v>
      </c>
      <c r="J59">
        <v>119</v>
      </c>
      <c r="K59" t="s">
        <v>46</v>
      </c>
      <c r="L59" t="s">
        <v>16</v>
      </c>
      <c r="M59">
        <f>IF(Table3[[#This Row],[Treatment_Success]]="Yes",1,0)</f>
        <v>1</v>
      </c>
      <c r="N59">
        <v>190183</v>
      </c>
    </row>
    <row r="60" spans="1:14" x14ac:dyDescent="0.35">
      <c r="A60" t="s">
        <v>107</v>
      </c>
      <c r="B60">
        <v>54</v>
      </c>
      <c r="C60" t="str">
        <f>_xlfn.IFS(Table3[[#This Row],[Age]]&lt;=10, "Child",Table3[[#This Row],[Age]]&lt;18, "Teenger", Table3[[#This Row],[Age]]&lt;30, "Middle Age", Table3[[#This Row],[Age]]&lt; 60,"Adult",Table3[[#This Row],[Age]],"Senior Citizen")</f>
        <v>Adult</v>
      </c>
      <c r="D60" t="s">
        <v>12</v>
      </c>
      <c r="E60" t="s">
        <v>38</v>
      </c>
      <c r="F60" t="s">
        <v>61</v>
      </c>
      <c r="G60" s="1">
        <v>45401</v>
      </c>
      <c r="H60" s="1">
        <v>45403</v>
      </c>
      <c r="I60" s="2">
        <f>Table3[[#This Row],[Discharge_Date]]-Table3[[#This Row],[Admission_Date]]</f>
        <v>2</v>
      </c>
      <c r="J60">
        <v>239</v>
      </c>
      <c r="K60" t="s">
        <v>46</v>
      </c>
      <c r="L60" t="s">
        <v>16</v>
      </c>
      <c r="M60">
        <f>IF(Table3[[#This Row],[Treatment_Success]]="Yes",1,0)</f>
        <v>1</v>
      </c>
      <c r="N60">
        <v>59220</v>
      </c>
    </row>
    <row r="61" spans="1:14" x14ac:dyDescent="0.35">
      <c r="A61" t="s">
        <v>108</v>
      </c>
      <c r="B61">
        <v>75</v>
      </c>
      <c r="C61" t="str">
        <f>_xlfn.IFS(Table3[[#This Row],[Age]]&lt;=10, "Child",Table3[[#This Row],[Age]]&lt;18, "Teenger", Table3[[#This Row],[Age]]&lt;30, "Middle Age", Table3[[#This Row],[Age]]&lt; 60,"Adult",Table3[[#This Row],[Age]],"Senior Citizen")</f>
        <v>Senior Citizen</v>
      </c>
      <c r="D61" t="s">
        <v>18</v>
      </c>
      <c r="E61" t="s">
        <v>28</v>
      </c>
      <c r="F61" t="s">
        <v>56</v>
      </c>
      <c r="G61" s="1">
        <v>45507</v>
      </c>
      <c r="H61" s="1">
        <v>45514</v>
      </c>
      <c r="I61" s="2">
        <f>Table3[[#This Row],[Discharge_Date]]-Table3[[#This Row],[Admission_Date]]</f>
        <v>7</v>
      </c>
      <c r="J61">
        <v>245</v>
      </c>
      <c r="K61" t="s">
        <v>15</v>
      </c>
      <c r="L61" t="s">
        <v>16</v>
      </c>
      <c r="M61">
        <f>IF(Table3[[#This Row],[Treatment_Success]]="Yes",1,0)</f>
        <v>1</v>
      </c>
      <c r="N61">
        <v>83279</v>
      </c>
    </row>
    <row r="62" spans="1:14" x14ac:dyDescent="0.35">
      <c r="A62" t="s">
        <v>109</v>
      </c>
      <c r="B62">
        <v>54</v>
      </c>
      <c r="C62" t="str">
        <f>_xlfn.IFS(Table3[[#This Row],[Age]]&lt;=10, "Child",Table3[[#This Row],[Age]]&lt;18, "Teenger", Table3[[#This Row],[Age]]&lt;30, "Middle Age", Table3[[#This Row],[Age]]&lt; 60,"Adult",Table3[[#This Row],[Age]],"Senior Citizen")</f>
        <v>Adult</v>
      </c>
      <c r="D62" t="s">
        <v>18</v>
      </c>
      <c r="E62" t="s">
        <v>31</v>
      </c>
      <c r="F62" t="s">
        <v>14</v>
      </c>
      <c r="G62" s="1">
        <v>45491</v>
      </c>
      <c r="H62" s="1">
        <v>45505</v>
      </c>
      <c r="I62" s="2">
        <f>Table3[[#This Row],[Discharge_Date]]-Table3[[#This Row],[Admission_Date]]</f>
        <v>14</v>
      </c>
      <c r="J62">
        <v>140</v>
      </c>
      <c r="K62" t="s">
        <v>46</v>
      </c>
      <c r="L62" t="s">
        <v>26</v>
      </c>
      <c r="M62">
        <f>IF(Table3[[#This Row],[Treatment_Success]]="Yes",1,0)</f>
        <v>0</v>
      </c>
      <c r="N62">
        <v>12608</v>
      </c>
    </row>
    <row r="63" spans="1:14" x14ac:dyDescent="0.35">
      <c r="A63" t="s">
        <v>110</v>
      </c>
      <c r="B63">
        <v>86</v>
      </c>
      <c r="C63" t="str">
        <f>_xlfn.IFS(Table3[[#This Row],[Age]]&lt;=10, "Child",Table3[[#This Row],[Age]]&lt;18, "Teenger", Table3[[#This Row],[Age]]&lt;30, "Middle Age", Table3[[#This Row],[Age]]&lt; 60,"Adult",Table3[[#This Row],[Age]],"Senior Citizen")</f>
        <v>Senior Citizen</v>
      </c>
      <c r="D63" t="s">
        <v>12</v>
      </c>
      <c r="E63" t="s">
        <v>13</v>
      </c>
      <c r="F63" t="s">
        <v>20</v>
      </c>
      <c r="G63" s="1">
        <v>45491</v>
      </c>
      <c r="H63" s="1">
        <v>45497</v>
      </c>
      <c r="I63" s="2">
        <f>Table3[[#This Row],[Discharge_Date]]-Table3[[#This Row],[Admission_Date]]</f>
        <v>6</v>
      </c>
      <c r="J63">
        <v>66</v>
      </c>
      <c r="K63" t="s">
        <v>15</v>
      </c>
      <c r="L63" t="s">
        <v>26</v>
      </c>
      <c r="M63">
        <f>IF(Table3[[#This Row],[Treatment_Success]]="Yes",1,0)</f>
        <v>0</v>
      </c>
      <c r="N63">
        <v>160161</v>
      </c>
    </row>
    <row r="64" spans="1:14" x14ac:dyDescent="0.35">
      <c r="A64" t="s">
        <v>111</v>
      </c>
      <c r="B64">
        <v>4</v>
      </c>
      <c r="C64" t="str">
        <f>_xlfn.IFS(Table3[[#This Row],[Age]]&lt;=10, "Child",Table3[[#This Row],[Age]]&lt;18, "Teenger", Table3[[#This Row],[Age]]&lt;30, "Middle Age", Table3[[#This Row],[Age]]&lt; 60,"Adult",Table3[[#This Row],[Age]],"Senior Citizen")</f>
        <v>Child</v>
      </c>
      <c r="D64" t="s">
        <v>18</v>
      </c>
      <c r="E64" t="s">
        <v>31</v>
      </c>
      <c r="F64" t="s">
        <v>106</v>
      </c>
      <c r="G64" s="1">
        <v>45580</v>
      </c>
      <c r="H64" s="1">
        <v>45591</v>
      </c>
      <c r="I64" s="2">
        <f>Table3[[#This Row],[Discharge_Date]]-Table3[[#This Row],[Admission_Date]]</f>
        <v>11</v>
      </c>
      <c r="J64">
        <v>237</v>
      </c>
      <c r="K64" t="s">
        <v>36</v>
      </c>
      <c r="L64" t="s">
        <v>16</v>
      </c>
      <c r="M64">
        <f>IF(Table3[[#This Row],[Treatment_Success]]="Yes",1,0)</f>
        <v>1</v>
      </c>
      <c r="N64">
        <v>73198</v>
      </c>
    </row>
    <row r="65" spans="1:14" x14ac:dyDescent="0.35">
      <c r="A65" t="s">
        <v>112</v>
      </c>
      <c r="B65">
        <v>28</v>
      </c>
      <c r="C65" t="str">
        <f>_xlfn.IFS(Table3[[#This Row],[Age]]&lt;=10, "Child",Table3[[#This Row],[Age]]&lt;18, "Teenger", Table3[[#This Row],[Age]]&lt;30, "Middle Age", Table3[[#This Row],[Age]]&lt; 60,"Adult",Table3[[#This Row],[Age]],"Senior Citizen")</f>
        <v>Middle Age</v>
      </c>
      <c r="D65" t="s">
        <v>12</v>
      </c>
      <c r="E65" t="s">
        <v>38</v>
      </c>
      <c r="F65" t="s">
        <v>95</v>
      </c>
      <c r="G65" s="1">
        <v>45486</v>
      </c>
      <c r="H65" s="1">
        <v>45492</v>
      </c>
      <c r="I65" s="2">
        <f>Table3[[#This Row],[Discharge_Date]]-Table3[[#This Row],[Admission_Date]]</f>
        <v>6</v>
      </c>
      <c r="J65">
        <v>195</v>
      </c>
      <c r="K65" t="s">
        <v>33</v>
      </c>
      <c r="L65" t="s">
        <v>26</v>
      </c>
      <c r="M65">
        <f>IF(Table3[[#This Row],[Treatment_Success]]="Yes",1,0)</f>
        <v>0</v>
      </c>
      <c r="N65">
        <v>71131</v>
      </c>
    </row>
    <row r="66" spans="1:14" x14ac:dyDescent="0.35">
      <c r="A66" t="s">
        <v>113</v>
      </c>
      <c r="B66">
        <v>3</v>
      </c>
      <c r="C66" t="str">
        <f>_xlfn.IFS(Table3[[#This Row],[Age]]&lt;=10, "Child",Table3[[#This Row],[Age]]&lt;18, "Teenger", Table3[[#This Row],[Age]]&lt;30, "Middle Age", Table3[[#This Row],[Age]]&lt; 60,"Adult",Table3[[#This Row],[Age]],"Senior Citizen")</f>
        <v>Child</v>
      </c>
      <c r="D66" t="s">
        <v>18</v>
      </c>
      <c r="E66" t="s">
        <v>38</v>
      </c>
      <c r="F66" t="s">
        <v>14</v>
      </c>
      <c r="G66" s="1">
        <v>45333</v>
      </c>
      <c r="H66" s="1">
        <v>45341</v>
      </c>
      <c r="I66" s="2">
        <f>Table3[[#This Row],[Discharge_Date]]-Table3[[#This Row],[Admission_Date]]</f>
        <v>8</v>
      </c>
      <c r="J66">
        <v>36</v>
      </c>
      <c r="K66" t="s">
        <v>15</v>
      </c>
      <c r="L66" t="s">
        <v>16</v>
      </c>
      <c r="M66">
        <f>IF(Table3[[#This Row],[Treatment_Success]]="Yes",1,0)</f>
        <v>1</v>
      </c>
      <c r="N66">
        <v>69823</v>
      </c>
    </row>
    <row r="67" spans="1:14" x14ac:dyDescent="0.35">
      <c r="A67" t="s">
        <v>114</v>
      </c>
      <c r="B67">
        <v>3</v>
      </c>
      <c r="C67" t="str">
        <f>_xlfn.IFS(Table3[[#This Row],[Age]]&lt;=10, "Child",Table3[[#This Row],[Age]]&lt;18, "Teenger", Table3[[#This Row],[Age]]&lt;30, "Middle Age", Table3[[#This Row],[Age]]&lt; 60,"Adult",Table3[[#This Row],[Age]],"Senior Citizen")</f>
        <v>Child</v>
      </c>
      <c r="D67" t="s">
        <v>18</v>
      </c>
      <c r="E67" t="s">
        <v>13</v>
      </c>
      <c r="F67" t="s">
        <v>106</v>
      </c>
      <c r="G67" s="1">
        <v>45394</v>
      </c>
      <c r="H67" s="1">
        <v>45408</v>
      </c>
      <c r="I67" s="2">
        <f>Table3[[#This Row],[Discharge_Date]]-Table3[[#This Row],[Admission_Date]]</f>
        <v>14</v>
      </c>
      <c r="J67">
        <v>243</v>
      </c>
      <c r="K67" t="s">
        <v>15</v>
      </c>
      <c r="L67" t="s">
        <v>16</v>
      </c>
      <c r="M67">
        <f>IF(Table3[[#This Row],[Treatment_Success]]="Yes",1,0)</f>
        <v>1</v>
      </c>
      <c r="N67">
        <v>126905</v>
      </c>
    </row>
    <row r="68" spans="1:14" x14ac:dyDescent="0.35">
      <c r="A68" t="s">
        <v>115</v>
      </c>
      <c r="B68">
        <v>48</v>
      </c>
      <c r="C68" t="str">
        <f>_xlfn.IFS(Table3[[#This Row],[Age]]&lt;=10, "Child",Table3[[#This Row],[Age]]&lt;18, "Teenger", Table3[[#This Row],[Age]]&lt;30, "Middle Age", Table3[[#This Row],[Age]]&lt; 60,"Adult",Table3[[#This Row],[Age]],"Senior Citizen")</f>
        <v>Adult</v>
      </c>
      <c r="D68" t="s">
        <v>18</v>
      </c>
      <c r="E68" t="s">
        <v>28</v>
      </c>
      <c r="F68" t="s">
        <v>35</v>
      </c>
      <c r="G68" s="1">
        <v>45650</v>
      </c>
      <c r="H68" s="1">
        <v>45655</v>
      </c>
      <c r="I68" s="2">
        <f>Table3[[#This Row],[Discharge_Date]]-Table3[[#This Row],[Admission_Date]]</f>
        <v>5</v>
      </c>
      <c r="J68">
        <v>59</v>
      </c>
      <c r="K68" t="s">
        <v>36</v>
      </c>
      <c r="L68" t="s">
        <v>16</v>
      </c>
      <c r="M68">
        <f>IF(Table3[[#This Row],[Treatment_Success]]="Yes",1,0)</f>
        <v>1</v>
      </c>
      <c r="N68">
        <v>33337</v>
      </c>
    </row>
    <row r="69" spans="1:14" x14ac:dyDescent="0.35">
      <c r="A69" t="s">
        <v>116</v>
      </c>
      <c r="B69">
        <v>40</v>
      </c>
      <c r="C69" t="str">
        <f>_xlfn.IFS(Table3[[#This Row],[Age]]&lt;=10, "Child",Table3[[#This Row],[Age]]&lt;18, "Teenger", Table3[[#This Row],[Age]]&lt;30, "Middle Age", Table3[[#This Row],[Age]]&lt; 60,"Adult",Table3[[#This Row],[Age]],"Senior Citizen")</f>
        <v>Adult</v>
      </c>
      <c r="D69" t="s">
        <v>12</v>
      </c>
      <c r="E69" t="s">
        <v>31</v>
      </c>
      <c r="F69" t="s">
        <v>40</v>
      </c>
      <c r="G69" s="1">
        <v>45588</v>
      </c>
      <c r="H69" s="1">
        <v>45589</v>
      </c>
      <c r="I69" s="2">
        <f>Table3[[#This Row],[Discharge_Date]]-Table3[[#This Row],[Admission_Date]]</f>
        <v>1</v>
      </c>
      <c r="J69">
        <v>102</v>
      </c>
      <c r="K69" t="s">
        <v>15</v>
      </c>
      <c r="L69" t="s">
        <v>16</v>
      </c>
      <c r="M69">
        <f>IF(Table3[[#This Row],[Treatment_Success]]="Yes",1,0)</f>
        <v>1</v>
      </c>
      <c r="N69">
        <v>31712</v>
      </c>
    </row>
    <row r="70" spans="1:14" x14ac:dyDescent="0.35">
      <c r="A70" t="s">
        <v>117</v>
      </c>
      <c r="B70">
        <v>39</v>
      </c>
      <c r="C70" t="str">
        <f>_xlfn.IFS(Table3[[#This Row],[Age]]&lt;=10, "Child",Table3[[#This Row],[Age]]&lt;18, "Teenger", Table3[[#This Row],[Age]]&lt;30, "Middle Age", Table3[[#This Row],[Age]]&lt; 60,"Adult",Table3[[#This Row],[Age]],"Senior Citizen")</f>
        <v>Adult</v>
      </c>
      <c r="D70" t="s">
        <v>18</v>
      </c>
      <c r="E70" t="s">
        <v>28</v>
      </c>
      <c r="F70" t="s">
        <v>52</v>
      </c>
      <c r="G70" s="1">
        <v>45648</v>
      </c>
      <c r="H70" s="1">
        <v>45661</v>
      </c>
      <c r="I70" s="2">
        <f>Table3[[#This Row],[Discharge_Date]]-Table3[[#This Row],[Admission_Date]]</f>
        <v>13</v>
      </c>
      <c r="J70">
        <v>178</v>
      </c>
      <c r="K70" t="s">
        <v>46</v>
      </c>
      <c r="L70" t="s">
        <v>16</v>
      </c>
      <c r="M70">
        <f>IF(Table3[[#This Row],[Treatment_Success]]="Yes",1,0)</f>
        <v>1</v>
      </c>
      <c r="N70">
        <v>23076</v>
      </c>
    </row>
    <row r="71" spans="1:14" x14ac:dyDescent="0.35">
      <c r="A71" t="s">
        <v>118</v>
      </c>
      <c r="B71">
        <v>44</v>
      </c>
      <c r="C71" t="str">
        <f>_xlfn.IFS(Table3[[#This Row],[Age]]&lt;=10, "Child",Table3[[#This Row],[Age]]&lt;18, "Teenger", Table3[[#This Row],[Age]]&lt;30, "Middle Age", Table3[[#This Row],[Age]]&lt; 60,"Adult",Table3[[#This Row],[Age]],"Senior Citizen")</f>
        <v>Adult</v>
      </c>
      <c r="D71" t="s">
        <v>18</v>
      </c>
      <c r="E71" t="s">
        <v>31</v>
      </c>
      <c r="F71" t="s">
        <v>43</v>
      </c>
      <c r="G71" s="1">
        <v>45551</v>
      </c>
      <c r="H71" s="1">
        <v>45562</v>
      </c>
      <c r="I71" s="2">
        <f>Table3[[#This Row],[Discharge_Date]]-Table3[[#This Row],[Admission_Date]]</f>
        <v>11</v>
      </c>
      <c r="J71">
        <v>55</v>
      </c>
      <c r="K71" t="s">
        <v>46</v>
      </c>
      <c r="L71" t="s">
        <v>16</v>
      </c>
      <c r="M71">
        <f>IF(Table3[[#This Row],[Treatment_Success]]="Yes",1,0)</f>
        <v>1</v>
      </c>
      <c r="N71">
        <v>171614</v>
      </c>
    </row>
    <row r="72" spans="1:14" x14ac:dyDescent="0.35">
      <c r="A72" t="s">
        <v>119</v>
      </c>
      <c r="B72">
        <v>20</v>
      </c>
      <c r="C72" t="str">
        <f>_xlfn.IFS(Table3[[#This Row],[Age]]&lt;=10, "Child",Table3[[#This Row],[Age]]&lt;18, "Teenger", Table3[[#This Row],[Age]]&lt;30, "Middle Age", Table3[[#This Row],[Age]]&lt; 60,"Adult",Table3[[#This Row],[Age]],"Senior Citizen")</f>
        <v>Middle Age</v>
      </c>
      <c r="D72" t="s">
        <v>12</v>
      </c>
      <c r="E72" t="s">
        <v>13</v>
      </c>
      <c r="F72" t="s">
        <v>25</v>
      </c>
      <c r="G72" s="1">
        <v>45527</v>
      </c>
      <c r="H72" s="1">
        <v>45539</v>
      </c>
      <c r="I72" s="2">
        <f>Table3[[#This Row],[Discharge_Date]]-Table3[[#This Row],[Admission_Date]]</f>
        <v>12</v>
      </c>
      <c r="J72">
        <v>268</v>
      </c>
      <c r="K72" t="s">
        <v>33</v>
      </c>
      <c r="L72" t="s">
        <v>26</v>
      </c>
      <c r="M72">
        <f>IF(Table3[[#This Row],[Treatment_Success]]="Yes",1,0)</f>
        <v>0</v>
      </c>
      <c r="N72">
        <v>126863</v>
      </c>
    </row>
    <row r="73" spans="1:14" x14ac:dyDescent="0.35">
      <c r="A73" t="s">
        <v>120</v>
      </c>
      <c r="B73">
        <v>76</v>
      </c>
      <c r="C73" t="str">
        <f>_xlfn.IFS(Table3[[#This Row],[Age]]&lt;=10, "Child",Table3[[#This Row],[Age]]&lt;18, "Teenger", Table3[[#This Row],[Age]]&lt;30, "Middle Age", Table3[[#This Row],[Age]]&lt; 60,"Adult",Table3[[#This Row],[Age]],"Senior Citizen")</f>
        <v>Senior Citizen</v>
      </c>
      <c r="D73" t="s">
        <v>12</v>
      </c>
      <c r="E73" t="s">
        <v>38</v>
      </c>
      <c r="F73" t="s">
        <v>14</v>
      </c>
      <c r="G73" s="1">
        <v>45515</v>
      </c>
      <c r="H73" s="1">
        <v>45529</v>
      </c>
      <c r="I73" s="2">
        <f>Table3[[#This Row],[Discharge_Date]]-Table3[[#This Row],[Admission_Date]]</f>
        <v>14</v>
      </c>
      <c r="J73">
        <v>45</v>
      </c>
      <c r="K73" t="s">
        <v>33</v>
      </c>
      <c r="L73" t="s">
        <v>26</v>
      </c>
      <c r="M73">
        <f>IF(Table3[[#This Row],[Treatment_Success]]="Yes",1,0)</f>
        <v>0</v>
      </c>
      <c r="N73">
        <v>68927</v>
      </c>
    </row>
    <row r="74" spans="1:14" x14ac:dyDescent="0.35">
      <c r="A74" t="s">
        <v>121</v>
      </c>
      <c r="B74">
        <v>79</v>
      </c>
      <c r="C74" t="str">
        <f>_xlfn.IFS(Table3[[#This Row],[Age]]&lt;=10, "Child",Table3[[#This Row],[Age]]&lt;18, "Teenger", Table3[[#This Row],[Age]]&lt;30, "Middle Age", Table3[[#This Row],[Age]]&lt; 60,"Adult",Table3[[#This Row],[Age]],"Senior Citizen")</f>
        <v>Senior Citizen</v>
      </c>
      <c r="D74" t="s">
        <v>12</v>
      </c>
      <c r="E74" t="s">
        <v>38</v>
      </c>
      <c r="F74" t="s">
        <v>80</v>
      </c>
      <c r="G74" s="1">
        <v>45529</v>
      </c>
      <c r="H74" s="1">
        <v>45539</v>
      </c>
      <c r="I74" s="2">
        <f>Table3[[#This Row],[Discharge_Date]]-Table3[[#This Row],[Admission_Date]]</f>
        <v>10</v>
      </c>
      <c r="J74">
        <v>254</v>
      </c>
      <c r="K74" t="s">
        <v>33</v>
      </c>
      <c r="L74" t="s">
        <v>16</v>
      </c>
      <c r="M74">
        <f>IF(Table3[[#This Row],[Treatment_Success]]="Yes",1,0)</f>
        <v>1</v>
      </c>
      <c r="N74">
        <v>132808</v>
      </c>
    </row>
    <row r="75" spans="1:14" x14ac:dyDescent="0.35">
      <c r="A75" t="s">
        <v>122</v>
      </c>
      <c r="B75">
        <v>34</v>
      </c>
      <c r="C75" t="str">
        <f>_xlfn.IFS(Table3[[#This Row],[Age]]&lt;=10, "Child",Table3[[#This Row],[Age]]&lt;18, "Teenger", Table3[[#This Row],[Age]]&lt;30, "Middle Age", Table3[[#This Row],[Age]]&lt; 60,"Adult",Table3[[#This Row],[Age]],"Senior Citizen")</f>
        <v>Adult</v>
      </c>
      <c r="D75" t="s">
        <v>12</v>
      </c>
      <c r="E75" t="s">
        <v>38</v>
      </c>
      <c r="F75" t="s">
        <v>35</v>
      </c>
      <c r="G75" s="1">
        <v>45400</v>
      </c>
      <c r="H75" s="1">
        <v>45406</v>
      </c>
      <c r="I75" s="2">
        <f>Table3[[#This Row],[Discharge_Date]]-Table3[[#This Row],[Admission_Date]]</f>
        <v>6</v>
      </c>
      <c r="J75">
        <v>142</v>
      </c>
      <c r="K75" t="s">
        <v>15</v>
      </c>
      <c r="L75" t="s">
        <v>16</v>
      </c>
      <c r="M75">
        <f>IF(Table3[[#This Row],[Treatment_Success]]="Yes",1,0)</f>
        <v>1</v>
      </c>
      <c r="N75">
        <v>27442</v>
      </c>
    </row>
    <row r="76" spans="1:14" x14ac:dyDescent="0.35">
      <c r="A76" t="s">
        <v>123</v>
      </c>
      <c r="B76">
        <v>53</v>
      </c>
      <c r="C76" t="str">
        <f>_xlfn.IFS(Table3[[#This Row],[Age]]&lt;=10, "Child",Table3[[#This Row],[Age]]&lt;18, "Teenger", Table3[[#This Row],[Age]]&lt;30, "Middle Age", Table3[[#This Row],[Age]]&lt; 60,"Adult",Table3[[#This Row],[Age]],"Senior Citizen")</f>
        <v>Adult</v>
      </c>
      <c r="D76" t="s">
        <v>12</v>
      </c>
      <c r="E76" t="s">
        <v>28</v>
      </c>
      <c r="F76" t="s">
        <v>22</v>
      </c>
      <c r="G76" s="1">
        <v>45415</v>
      </c>
      <c r="H76" s="1">
        <v>45427</v>
      </c>
      <c r="I76" s="2">
        <f>Table3[[#This Row],[Discharge_Date]]-Table3[[#This Row],[Admission_Date]]</f>
        <v>12</v>
      </c>
      <c r="J76">
        <v>124</v>
      </c>
      <c r="K76" t="s">
        <v>46</v>
      </c>
      <c r="L76" t="s">
        <v>26</v>
      </c>
      <c r="M76">
        <f>IF(Table3[[#This Row],[Treatment_Success]]="Yes",1,0)</f>
        <v>0</v>
      </c>
      <c r="N76">
        <v>122486</v>
      </c>
    </row>
    <row r="77" spans="1:14" x14ac:dyDescent="0.35">
      <c r="A77" t="s">
        <v>124</v>
      </c>
      <c r="B77">
        <v>38</v>
      </c>
      <c r="C77" t="str">
        <f>_xlfn.IFS(Table3[[#This Row],[Age]]&lt;=10, "Child",Table3[[#This Row],[Age]]&lt;18, "Teenger", Table3[[#This Row],[Age]]&lt;30, "Middle Age", Table3[[#This Row],[Age]]&lt; 60,"Adult",Table3[[#This Row],[Age]],"Senior Citizen")</f>
        <v>Adult</v>
      </c>
      <c r="D77" t="s">
        <v>18</v>
      </c>
      <c r="E77" t="s">
        <v>31</v>
      </c>
      <c r="F77" t="s">
        <v>40</v>
      </c>
      <c r="G77" s="1">
        <v>45300</v>
      </c>
      <c r="H77" s="1">
        <v>45302</v>
      </c>
      <c r="I77" s="2">
        <f>Table3[[#This Row],[Discharge_Date]]-Table3[[#This Row],[Admission_Date]]</f>
        <v>2</v>
      </c>
      <c r="J77">
        <v>125</v>
      </c>
      <c r="K77" t="s">
        <v>33</v>
      </c>
      <c r="L77" t="s">
        <v>16</v>
      </c>
      <c r="M77">
        <f>IF(Table3[[#This Row],[Treatment_Success]]="Yes",1,0)</f>
        <v>1</v>
      </c>
      <c r="N77">
        <v>129062</v>
      </c>
    </row>
    <row r="78" spans="1:14" x14ac:dyDescent="0.35">
      <c r="A78" t="s">
        <v>125</v>
      </c>
      <c r="B78">
        <v>45</v>
      </c>
      <c r="C78" t="str">
        <f>_xlfn.IFS(Table3[[#This Row],[Age]]&lt;=10, "Child",Table3[[#This Row],[Age]]&lt;18, "Teenger", Table3[[#This Row],[Age]]&lt;30, "Middle Age", Table3[[#This Row],[Age]]&lt; 60,"Adult",Table3[[#This Row],[Age]],"Senior Citizen")</f>
        <v>Adult</v>
      </c>
      <c r="D78" t="s">
        <v>12</v>
      </c>
      <c r="E78" t="s">
        <v>28</v>
      </c>
      <c r="F78" t="s">
        <v>95</v>
      </c>
      <c r="G78" s="1">
        <v>45575</v>
      </c>
      <c r="H78" s="1">
        <v>45584</v>
      </c>
      <c r="I78" s="2">
        <f>Table3[[#This Row],[Discharge_Date]]-Table3[[#This Row],[Admission_Date]]</f>
        <v>9</v>
      </c>
      <c r="J78">
        <v>181</v>
      </c>
      <c r="K78" t="s">
        <v>46</v>
      </c>
      <c r="L78" t="s">
        <v>16</v>
      </c>
      <c r="M78">
        <f>IF(Table3[[#This Row],[Treatment_Success]]="Yes",1,0)</f>
        <v>1</v>
      </c>
      <c r="N78">
        <v>85379</v>
      </c>
    </row>
    <row r="79" spans="1:14" x14ac:dyDescent="0.35">
      <c r="A79" t="s">
        <v>126</v>
      </c>
      <c r="B79">
        <v>16</v>
      </c>
      <c r="C79" t="str">
        <f>_xlfn.IFS(Table3[[#This Row],[Age]]&lt;=10, "Child",Table3[[#This Row],[Age]]&lt;18, "Teenger", Table3[[#This Row],[Age]]&lt;30, "Middle Age", Table3[[#This Row],[Age]]&lt; 60,"Adult",Table3[[#This Row],[Age]],"Senior Citizen")</f>
        <v>Teenger</v>
      </c>
      <c r="D79" t="s">
        <v>18</v>
      </c>
      <c r="E79" t="s">
        <v>38</v>
      </c>
      <c r="F79" t="s">
        <v>90</v>
      </c>
      <c r="G79" s="1">
        <v>45420</v>
      </c>
      <c r="H79" s="1">
        <v>45424</v>
      </c>
      <c r="I79" s="2">
        <f>Table3[[#This Row],[Discharge_Date]]-Table3[[#This Row],[Admission_Date]]</f>
        <v>4</v>
      </c>
      <c r="J79">
        <v>275</v>
      </c>
      <c r="K79" t="s">
        <v>36</v>
      </c>
      <c r="L79" t="s">
        <v>16</v>
      </c>
      <c r="M79">
        <f>IF(Table3[[#This Row],[Treatment_Success]]="Yes",1,0)</f>
        <v>1</v>
      </c>
      <c r="N79">
        <v>61723</v>
      </c>
    </row>
    <row r="80" spans="1:14" x14ac:dyDescent="0.35">
      <c r="A80" t="s">
        <v>127</v>
      </c>
      <c r="B80">
        <v>76</v>
      </c>
      <c r="C80" t="str">
        <f>_xlfn.IFS(Table3[[#This Row],[Age]]&lt;=10, "Child",Table3[[#This Row],[Age]]&lt;18, "Teenger", Table3[[#This Row],[Age]]&lt;30, "Middle Age", Table3[[#This Row],[Age]]&lt; 60,"Adult",Table3[[#This Row],[Age]],"Senior Citizen")</f>
        <v>Senior Citizen</v>
      </c>
      <c r="D80" t="s">
        <v>12</v>
      </c>
      <c r="E80" t="s">
        <v>24</v>
      </c>
      <c r="F80" t="s">
        <v>29</v>
      </c>
      <c r="G80" s="1">
        <v>45539</v>
      </c>
      <c r="H80" s="1">
        <v>45544</v>
      </c>
      <c r="I80" s="2">
        <f>Table3[[#This Row],[Discharge_Date]]-Table3[[#This Row],[Admission_Date]]</f>
        <v>5</v>
      </c>
      <c r="J80">
        <v>152</v>
      </c>
      <c r="K80" t="s">
        <v>36</v>
      </c>
      <c r="L80" t="s">
        <v>16</v>
      </c>
      <c r="M80">
        <f>IF(Table3[[#This Row],[Treatment_Success]]="Yes",1,0)</f>
        <v>1</v>
      </c>
      <c r="N80">
        <v>52039</v>
      </c>
    </row>
    <row r="81" spans="1:14" x14ac:dyDescent="0.35">
      <c r="A81" t="s">
        <v>128</v>
      </c>
      <c r="B81">
        <v>69</v>
      </c>
      <c r="C81" t="str">
        <f>_xlfn.IFS(Table3[[#This Row],[Age]]&lt;=10, "Child",Table3[[#This Row],[Age]]&lt;18, "Teenger", Table3[[#This Row],[Age]]&lt;30, "Middle Age", Table3[[#This Row],[Age]]&lt; 60,"Adult",Table3[[#This Row],[Age]],"Senior Citizen")</f>
        <v>Senior Citizen</v>
      </c>
      <c r="D81" t="s">
        <v>18</v>
      </c>
      <c r="E81" t="s">
        <v>38</v>
      </c>
      <c r="F81" t="s">
        <v>52</v>
      </c>
      <c r="G81" s="1">
        <v>45446</v>
      </c>
      <c r="H81" s="1">
        <v>45447</v>
      </c>
      <c r="I81" s="2">
        <f>Table3[[#This Row],[Discharge_Date]]-Table3[[#This Row],[Admission_Date]]</f>
        <v>1</v>
      </c>
      <c r="J81">
        <v>28</v>
      </c>
      <c r="K81" t="s">
        <v>33</v>
      </c>
      <c r="L81" t="s">
        <v>16</v>
      </c>
      <c r="M81">
        <f>IF(Table3[[#This Row],[Treatment_Success]]="Yes",1,0)</f>
        <v>1</v>
      </c>
      <c r="N81">
        <v>172213</v>
      </c>
    </row>
    <row r="82" spans="1:14" x14ac:dyDescent="0.35">
      <c r="A82" t="s">
        <v>129</v>
      </c>
      <c r="B82">
        <v>2</v>
      </c>
      <c r="C82" t="str">
        <f>_xlfn.IFS(Table3[[#This Row],[Age]]&lt;=10, "Child",Table3[[#This Row],[Age]]&lt;18, "Teenger", Table3[[#This Row],[Age]]&lt;30, "Middle Age", Table3[[#This Row],[Age]]&lt; 60,"Adult",Table3[[#This Row],[Age]],"Senior Citizen")</f>
        <v>Child</v>
      </c>
      <c r="D82" t="s">
        <v>12</v>
      </c>
      <c r="E82" t="s">
        <v>31</v>
      </c>
      <c r="F82" t="s">
        <v>43</v>
      </c>
      <c r="G82" s="1">
        <v>45543</v>
      </c>
      <c r="H82" s="1">
        <v>45545</v>
      </c>
      <c r="I82" s="2">
        <f>Table3[[#This Row],[Discharge_Date]]-Table3[[#This Row],[Admission_Date]]</f>
        <v>2</v>
      </c>
      <c r="J82">
        <v>226</v>
      </c>
      <c r="K82" t="s">
        <v>33</v>
      </c>
      <c r="L82" t="s">
        <v>16</v>
      </c>
      <c r="M82">
        <f>IF(Table3[[#This Row],[Treatment_Success]]="Yes",1,0)</f>
        <v>1</v>
      </c>
      <c r="N82">
        <v>18468</v>
      </c>
    </row>
    <row r="83" spans="1:14" x14ac:dyDescent="0.35">
      <c r="A83" t="s">
        <v>130</v>
      </c>
      <c r="B83">
        <v>62</v>
      </c>
      <c r="C83" t="str">
        <f>_xlfn.IFS(Table3[[#This Row],[Age]]&lt;=10, "Child",Table3[[#This Row],[Age]]&lt;18, "Teenger", Table3[[#This Row],[Age]]&lt;30, "Middle Age", Table3[[#This Row],[Age]]&lt; 60,"Adult",Table3[[#This Row],[Age]],"Senior Citizen")</f>
        <v>Senior Citizen</v>
      </c>
      <c r="D83" t="s">
        <v>18</v>
      </c>
      <c r="E83" t="s">
        <v>24</v>
      </c>
      <c r="F83" t="s">
        <v>56</v>
      </c>
      <c r="G83" s="1">
        <v>45421</v>
      </c>
      <c r="H83" s="1">
        <v>45435</v>
      </c>
      <c r="I83" s="2">
        <f>Table3[[#This Row],[Discharge_Date]]-Table3[[#This Row],[Admission_Date]]</f>
        <v>14</v>
      </c>
      <c r="J83">
        <v>252</v>
      </c>
      <c r="K83" t="s">
        <v>15</v>
      </c>
      <c r="L83" t="s">
        <v>16</v>
      </c>
      <c r="M83">
        <f>IF(Table3[[#This Row],[Treatment_Success]]="Yes",1,0)</f>
        <v>1</v>
      </c>
      <c r="N83">
        <v>44774</v>
      </c>
    </row>
    <row r="84" spans="1:14" x14ac:dyDescent="0.35">
      <c r="A84" t="s">
        <v>131</v>
      </c>
      <c r="B84">
        <v>73</v>
      </c>
      <c r="C84" t="str">
        <f>_xlfn.IFS(Table3[[#This Row],[Age]]&lt;=10, "Child",Table3[[#This Row],[Age]]&lt;18, "Teenger", Table3[[#This Row],[Age]]&lt;30, "Middle Age", Table3[[#This Row],[Age]]&lt; 60,"Adult",Table3[[#This Row],[Age]],"Senior Citizen")</f>
        <v>Senior Citizen</v>
      </c>
      <c r="D84" t="s">
        <v>12</v>
      </c>
      <c r="E84" t="s">
        <v>24</v>
      </c>
      <c r="F84" t="s">
        <v>14</v>
      </c>
      <c r="G84" s="1">
        <v>45368</v>
      </c>
      <c r="H84" s="1">
        <v>45381</v>
      </c>
      <c r="I84" s="2">
        <f>Table3[[#This Row],[Discharge_Date]]-Table3[[#This Row],[Admission_Date]]</f>
        <v>13</v>
      </c>
      <c r="J84">
        <v>61</v>
      </c>
      <c r="K84" t="s">
        <v>46</v>
      </c>
      <c r="L84" t="s">
        <v>16</v>
      </c>
      <c r="M84">
        <f>IF(Table3[[#This Row],[Treatment_Success]]="Yes",1,0)</f>
        <v>1</v>
      </c>
      <c r="N84">
        <v>141989</v>
      </c>
    </row>
    <row r="85" spans="1:14" x14ac:dyDescent="0.35">
      <c r="A85" t="s">
        <v>132</v>
      </c>
      <c r="B85">
        <v>57</v>
      </c>
      <c r="C85" t="str">
        <f>_xlfn.IFS(Table3[[#This Row],[Age]]&lt;=10, "Child",Table3[[#This Row],[Age]]&lt;18, "Teenger", Table3[[#This Row],[Age]]&lt;30, "Middle Age", Table3[[#This Row],[Age]]&lt; 60,"Adult",Table3[[#This Row],[Age]],"Senior Citizen")</f>
        <v>Adult</v>
      </c>
      <c r="D85" t="s">
        <v>12</v>
      </c>
      <c r="E85" t="s">
        <v>28</v>
      </c>
      <c r="F85" t="s">
        <v>93</v>
      </c>
      <c r="G85" s="1">
        <v>45486</v>
      </c>
      <c r="H85" s="1">
        <v>45494</v>
      </c>
      <c r="I85" s="2">
        <f>Table3[[#This Row],[Discharge_Date]]-Table3[[#This Row],[Admission_Date]]</f>
        <v>8</v>
      </c>
      <c r="J85">
        <v>157</v>
      </c>
      <c r="K85" t="s">
        <v>15</v>
      </c>
      <c r="L85" t="s">
        <v>16</v>
      </c>
      <c r="M85">
        <f>IF(Table3[[#This Row],[Treatment_Success]]="Yes",1,0)</f>
        <v>1</v>
      </c>
      <c r="N85">
        <v>59470</v>
      </c>
    </row>
    <row r="86" spans="1:14" x14ac:dyDescent="0.35">
      <c r="A86" t="s">
        <v>133</v>
      </c>
      <c r="B86">
        <v>34</v>
      </c>
      <c r="C86" t="str">
        <f>_xlfn.IFS(Table3[[#This Row],[Age]]&lt;=10, "Child",Table3[[#This Row],[Age]]&lt;18, "Teenger", Table3[[#This Row],[Age]]&lt;30, "Middle Age", Table3[[#This Row],[Age]]&lt; 60,"Adult",Table3[[#This Row],[Age]],"Senior Citizen")</f>
        <v>Adult</v>
      </c>
      <c r="D86" t="s">
        <v>18</v>
      </c>
      <c r="E86" t="s">
        <v>13</v>
      </c>
      <c r="F86" t="s">
        <v>14</v>
      </c>
      <c r="G86" s="1">
        <v>45612</v>
      </c>
      <c r="H86" s="1">
        <v>45616</v>
      </c>
      <c r="I86" s="2">
        <f>Table3[[#This Row],[Discharge_Date]]-Table3[[#This Row],[Admission_Date]]</f>
        <v>4</v>
      </c>
      <c r="J86">
        <v>89</v>
      </c>
      <c r="K86" t="s">
        <v>15</v>
      </c>
      <c r="L86" t="s">
        <v>16</v>
      </c>
      <c r="M86">
        <f>IF(Table3[[#This Row],[Treatment_Success]]="Yes",1,0)</f>
        <v>1</v>
      </c>
      <c r="N86">
        <v>5701</v>
      </c>
    </row>
    <row r="87" spans="1:14" x14ac:dyDescent="0.35">
      <c r="A87" t="s">
        <v>134</v>
      </c>
      <c r="B87">
        <v>89</v>
      </c>
      <c r="C87" t="str">
        <f>_xlfn.IFS(Table3[[#This Row],[Age]]&lt;=10, "Child",Table3[[#This Row],[Age]]&lt;18, "Teenger", Table3[[#This Row],[Age]]&lt;30, "Middle Age", Table3[[#This Row],[Age]]&lt; 60,"Adult",Table3[[#This Row],[Age]],"Senior Citizen")</f>
        <v>Senior Citizen</v>
      </c>
      <c r="D87" t="s">
        <v>12</v>
      </c>
      <c r="E87" t="s">
        <v>38</v>
      </c>
      <c r="F87" t="s">
        <v>52</v>
      </c>
      <c r="G87" s="1">
        <v>45501</v>
      </c>
      <c r="H87" s="1">
        <v>45509</v>
      </c>
      <c r="I87" s="2">
        <f>Table3[[#This Row],[Discharge_Date]]-Table3[[#This Row],[Admission_Date]]</f>
        <v>8</v>
      </c>
      <c r="J87">
        <v>119</v>
      </c>
      <c r="K87" t="s">
        <v>33</v>
      </c>
      <c r="L87" t="s">
        <v>16</v>
      </c>
      <c r="M87">
        <f>IF(Table3[[#This Row],[Treatment_Success]]="Yes",1,0)</f>
        <v>1</v>
      </c>
      <c r="N87">
        <v>189283</v>
      </c>
    </row>
    <row r="88" spans="1:14" x14ac:dyDescent="0.35">
      <c r="A88" t="s">
        <v>135</v>
      </c>
      <c r="B88">
        <v>88</v>
      </c>
      <c r="C88" t="str">
        <f>_xlfn.IFS(Table3[[#This Row],[Age]]&lt;=10, "Child",Table3[[#This Row],[Age]]&lt;18, "Teenger", Table3[[#This Row],[Age]]&lt;30, "Middle Age", Table3[[#This Row],[Age]]&lt; 60,"Adult",Table3[[#This Row],[Age]],"Senior Citizen")</f>
        <v>Senior Citizen</v>
      </c>
      <c r="D88" t="s">
        <v>18</v>
      </c>
      <c r="E88" t="s">
        <v>38</v>
      </c>
      <c r="F88" t="s">
        <v>68</v>
      </c>
      <c r="G88" s="1">
        <v>45524</v>
      </c>
      <c r="H88" s="1">
        <v>45526</v>
      </c>
      <c r="I88" s="2">
        <f>Table3[[#This Row],[Discharge_Date]]-Table3[[#This Row],[Admission_Date]]</f>
        <v>2</v>
      </c>
      <c r="J88">
        <v>102</v>
      </c>
      <c r="K88" t="s">
        <v>46</v>
      </c>
      <c r="L88" t="s">
        <v>16</v>
      </c>
      <c r="M88">
        <f>IF(Table3[[#This Row],[Treatment_Success]]="Yes",1,0)</f>
        <v>1</v>
      </c>
      <c r="N88">
        <v>147753</v>
      </c>
    </row>
    <row r="89" spans="1:14" x14ac:dyDescent="0.35">
      <c r="A89" t="s">
        <v>136</v>
      </c>
      <c r="B89">
        <v>20</v>
      </c>
      <c r="C89" t="str">
        <f>_xlfn.IFS(Table3[[#This Row],[Age]]&lt;=10, "Child",Table3[[#This Row],[Age]]&lt;18, "Teenger", Table3[[#This Row],[Age]]&lt;30, "Middle Age", Table3[[#This Row],[Age]]&lt; 60,"Adult",Table3[[#This Row],[Age]],"Senior Citizen")</f>
        <v>Middle Age</v>
      </c>
      <c r="D89" t="s">
        <v>12</v>
      </c>
      <c r="E89" t="s">
        <v>13</v>
      </c>
      <c r="F89" t="s">
        <v>45</v>
      </c>
      <c r="G89" s="1">
        <v>45407</v>
      </c>
      <c r="H89" s="1">
        <v>45418</v>
      </c>
      <c r="I89" s="2">
        <f>Table3[[#This Row],[Discharge_Date]]-Table3[[#This Row],[Admission_Date]]</f>
        <v>11</v>
      </c>
      <c r="J89">
        <v>31</v>
      </c>
      <c r="K89" t="s">
        <v>36</v>
      </c>
      <c r="L89" t="s">
        <v>16</v>
      </c>
      <c r="M89">
        <f>IF(Table3[[#This Row],[Treatment_Success]]="Yes",1,0)</f>
        <v>1</v>
      </c>
      <c r="N89">
        <v>160987</v>
      </c>
    </row>
    <row r="90" spans="1:14" x14ac:dyDescent="0.35">
      <c r="A90" t="s">
        <v>137</v>
      </c>
      <c r="B90">
        <v>37</v>
      </c>
      <c r="C90" t="str">
        <f>_xlfn.IFS(Table3[[#This Row],[Age]]&lt;=10, "Child",Table3[[#This Row],[Age]]&lt;18, "Teenger", Table3[[#This Row],[Age]]&lt;30, "Middle Age", Table3[[#This Row],[Age]]&lt; 60,"Adult",Table3[[#This Row],[Age]],"Senior Citizen")</f>
        <v>Adult</v>
      </c>
      <c r="D90" t="s">
        <v>12</v>
      </c>
      <c r="E90" t="s">
        <v>24</v>
      </c>
      <c r="F90" t="s">
        <v>20</v>
      </c>
      <c r="G90" s="1">
        <v>45583</v>
      </c>
      <c r="H90" s="1">
        <v>45598</v>
      </c>
      <c r="I90" s="2">
        <f>Table3[[#This Row],[Discharge_Date]]-Table3[[#This Row],[Admission_Date]]</f>
        <v>15</v>
      </c>
      <c r="J90">
        <v>156</v>
      </c>
      <c r="K90" t="s">
        <v>46</v>
      </c>
      <c r="L90" t="s">
        <v>16</v>
      </c>
      <c r="M90">
        <f>IF(Table3[[#This Row],[Treatment_Success]]="Yes",1,0)</f>
        <v>1</v>
      </c>
      <c r="N90">
        <v>136195</v>
      </c>
    </row>
    <row r="91" spans="1:14" x14ac:dyDescent="0.35">
      <c r="A91" t="s">
        <v>138</v>
      </c>
      <c r="B91">
        <v>57</v>
      </c>
      <c r="C91" t="str">
        <f>_xlfn.IFS(Table3[[#This Row],[Age]]&lt;=10, "Child",Table3[[#This Row],[Age]]&lt;18, "Teenger", Table3[[#This Row],[Age]]&lt;30, "Middle Age", Table3[[#This Row],[Age]]&lt; 60,"Adult",Table3[[#This Row],[Age]],"Senior Citizen")</f>
        <v>Adult</v>
      </c>
      <c r="D91" t="s">
        <v>18</v>
      </c>
      <c r="E91" t="s">
        <v>28</v>
      </c>
      <c r="F91" t="s">
        <v>52</v>
      </c>
      <c r="G91" s="1">
        <v>45568</v>
      </c>
      <c r="H91" s="1">
        <v>45576</v>
      </c>
      <c r="I91" s="2">
        <f>Table3[[#This Row],[Discharge_Date]]-Table3[[#This Row],[Admission_Date]]</f>
        <v>8</v>
      </c>
      <c r="J91">
        <v>222</v>
      </c>
      <c r="K91" t="s">
        <v>33</v>
      </c>
      <c r="L91" t="s">
        <v>16</v>
      </c>
      <c r="M91">
        <f>IF(Table3[[#This Row],[Treatment_Success]]="Yes",1,0)</f>
        <v>1</v>
      </c>
      <c r="N91">
        <v>11780</v>
      </c>
    </row>
    <row r="92" spans="1:14" x14ac:dyDescent="0.35">
      <c r="A92" t="s">
        <v>139</v>
      </c>
      <c r="B92">
        <v>87</v>
      </c>
      <c r="C92" t="str">
        <f>_xlfn.IFS(Table3[[#This Row],[Age]]&lt;=10, "Child",Table3[[#This Row],[Age]]&lt;18, "Teenger", Table3[[#This Row],[Age]]&lt;30, "Middle Age", Table3[[#This Row],[Age]]&lt; 60,"Adult",Table3[[#This Row],[Age]],"Senior Citizen")</f>
        <v>Senior Citizen</v>
      </c>
      <c r="D92" t="s">
        <v>18</v>
      </c>
      <c r="E92" t="s">
        <v>38</v>
      </c>
      <c r="F92" t="s">
        <v>58</v>
      </c>
      <c r="G92" s="1">
        <v>45338</v>
      </c>
      <c r="H92" s="1">
        <v>45342</v>
      </c>
      <c r="I92" s="2">
        <f>Table3[[#This Row],[Discharge_Date]]-Table3[[#This Row],[Admission_Date]]</f>
        <v>4</v>
      </c>
      <c r="J92">
        <v>21</v>
      </c>
      <c r="K92" t="s">
        <v>36</v>
      </c>
      <c r="L92" t="s">
        <v>26</v>
      </c>
      <c r="M92">
        <f>IF(Table3[[#This Row],[Treatment_Success]]="Yes",1,0)</f>
        <v>0</v>
      </c>
      <c r="N92">
        <v>141043</v>
      </c>
    </row>
    <row r="93" spans="1:14" x14ac:dyDescent="0.35">
      <c r="A93" t="s">
        <v>140</v>
      </c>
      <c r="B93">
        <v>36</v>
      </c>
      <c r="C93" t="str">
        <f>_xlfn.IFS(Table3[[#This Row],[Age]]&lt;=10, "Child",Table3[[#This Row],[Age]]&lt;18, "Teenger", Table3[[#This Row],[Age]]&lt;30, "Middle Age", Table3[[#This Row],[Age]]&lt; 60,"Adult",Table3[[#This Row],[Age]],"Senior Citizen")</f>
        <v>Adult</v>
      </c>
      <c r="D93" t="s">
        <v>18</v>
      </c>
      <c r="E93" t="s">
        <v>28</v>
      </c>
      <c r="F93" t="s">
        <v>93</v>
      </c>
      <c r="G93" s="1">
        <v>45625</v>
      </c>
      <c r="H93" s="1">
        <v>45633</v>
      </c>
      <c r="I93" s="2">
        <f>Table3[[#This Row],[Discharge_Date]]-Table3[[#This Row],[Admission_Date]]</f>
        <v>8</v>
      </c>
      <c r="J93">
        <v>252</v>
      </c>
      <c r="K93" t="s">
        <v>15</v>
      </c>
      <c r="L93" t="s">
        <v>26</v>
      </c>
      <c r="M93">
        <f>IF(Table3[[#This Row],[Treatment_Success]]="Yes",1,0)</f>
        <v>0</v>
      </c>
      <c r="N93">
        <v>96215</v>
      </c>
    </row>
    <row r="94" spans="1:14" x14ac:dyDescent="0.35">
      <c r="A94" t="s">
        <v>141</v>
      </c>
      <c r="B94">
        <v>42</v>
      </c>
      <c r="C94" t="str">
        <f>_xlfn.IFS(Table3[[#This Row],[Age]]&lt;=10, "Child",Table3[[#This Row],[Age]]&lt;18, "Teenger", Table3[[#This Row],[Age]]&lt;30, "Middle Age", Table3[[#This Row],[Age]]&lt; 60,"Adult",Table3[[#This Row],[Age]],"Senior Citizen")</f>
        <v>Adult</v>
      </c>
      <c r="D94" t="s">
        <v>18</v>
      </c>
      <c r="E94" t="s">
        <v>13</v>
      </c>
      <c r="F94" t="s">
        <v>95</v>
      </c>
      <c r="G94" s="1">
        <v>45501</v>
      </c>
      <c r="H94" s="1">
        <v>45507</v>
      </c>
      <c r="I94" s="2">
        <f>Table3[[#This Row],[Discharge_Date]]-Table3[[#This Row],[Admission_Date]]</f>
        <v>6</v>
      </c>
      <c r="J94">
        <v>211</v>
      </c>
      <c r="K94" t="s">
        <v>46</v>
      </c>
      <c r="L94" t="s">
        <v>16</v>
      </c>
      <c r="M94">
        <f>IF(Table3[[#This Row],[Treatment_Success]]="Yes",1,0)</f>
        <v>1</v>
      </c>
      <c r="N94">
        <v>178692</v>
      </c>
    </row>
    <row r="95" spans="1:14" x14ac:dyDescent="0.35">
      <c r="A95" t="s">
        <v>142</v>
      </c>
      <c r="B95">
        <v>71</v>
      </c>
      <c r="C95" t="str">
        <f>_xlfn.IFS(Table3[[#This Row],[Age]]&lt;=10, "Child",Table3[[#This Row],[Age]]&lt;18, "Teenger", Table3[[#This Row],[Age]]&lt;30, "Middle Age", Table3[[#This Row],[Age]]&lt; 60,"Adult",Table3[[#This Row],[Age]],"Senior Citizen")</f>
        <v>Senior Citizen</v>
      </c>
      <c r="D95" t="s">
        <v>18</v>
      </c>
      <c r="E95" t="s">
        <v>31</v>
      </c>
      <c r="F95" t="s">
        <v>45</v>
      </c>
      <c r="G95" s="1">
        <v>45497</v>
      </c>
      <c r="H95" s="1">
        <v>45511</v>
      </c>
      <c r="I95" s="2">
        <f>Table3[[#This Row],[Discharge_Date]]-Table3[[#This Row],[Admission_Date]]</f>
        <v>14</v>
      </c>
      <c r="J95">
        <v>162</v>
      </c>
      <c r="K95" t="s">
        <v>33</v>
      </c>
      <c r="L95" t="s">
        <v>16</v>
      </c>
      <c r="M95">
        <f>IF(Table3[[#This Row],[Treatment_Success]]="Yes",1,0)</f>
        <v>1</v>
      </c>
      <c r="N95">
        <v>35388</v>
      </c>
    </row>
    <row r="96" spans="1:14" x14ac:dyDescent="0.35">
      <c r="A96" t="s">
        <v>143</v>
      </c>
      <c r="B96">
        <v>66</v>
      </c>
      <c r="C96" t="str">
        <f>_xlfn.IFS(Table3[[#This Row],[Age]]&lt;=10, "Child",Table3[[#This Row],[Age]]&lt;18, "Teenger", Table3[[#This Row],[Age]]&lt;30, "Middle Age", Table3[[#This Row],[Age]]&lt; 60,"Adult",Table3[[#This Row],[Age]],"Senior Citizen")</f>
        <v>Senior Citizen</v>
      </c>
      <c r="D96" t="s">
        <v>18</v>
      </c>
      <c r="E96" t="s">
        <v>28</v>
      </c>
      <c r="F96" t="s">
        <v>20</v>
      </c>
      <c r="G96" s="1">
        <v>45498</v>
      </c>
      <c r="H96" s="1">
        <v>45512</v>
      </c>
      <c r="I96" s="2">
        <f>Table3[[#This Row],[Discharge_Date]]-Table3[[#This Row],[Admission_Date]]</f>
        <v>14</v>
      </c>
      <c r="J96">
        <v>212</v>
      </c>
      <c r="K96" t="s">
        <v>15</v>
      </c>
      <c r="L96" t="s">
        <v>16</v>
      </c>
      <c r="M96">
        <f>IF(Table3[[#This Row],[Treatment_Success]]="Yes",1,0)</f>
        <v>1</v>
      </c>
      <c r="N96">
        <v>140905</v>
      </c>
    </row>
    <row r="97" spans="1:14" x14ac:dyDescent="0.35">
      <c r="A97" t="s">
        <v>144</v>
      </c>
      <c r="B97">
        <v>64</v>
      </c>
      <c r="C97" t="str">
        <f>_xlfn.IFS(Table3[[#This Row],[Age]]&lt;=10, "Child",Table3[[#This Row],[Age]]&lt;18, "Teenger", Table3[[#This Row],[Age]]&lt;30, "Middle Age", Table3[[#This Row],[Age]]&lt; 60,"Adult",Table3[[#This Row],[Age]],"Senior Citizen")</f>
        <v>Senior Citizen</v>
      </c>
      <c r="D97" t="s">
        <v>12</v>
      </c>
      <c r="E97" t="s">
        <v>24</v>
      </c>
      <c r="F97" t="s">
        <v>29</v>
      </c>
      <c r="G97" s="1">
        <v>45477</v>
      </c>
      <c r="H97" s="1">
        <v>45487</v>
      </c>
      <c r="I97" s="2">
        <f>Table3[[#This Row],[Discharge_Date]]-Table3[[#This Row],[Admission_Date]]</f>
        <v>10</v>
      </c>
      <c r="J97">
        <v>137</v>
      </c>
      <c r="K97" t="s">
        <v>36</v>
      </c>
      <c r="L97" t="s">
        <v>16</v>
      </c>
      <c r="M97">
        <f>IF(Table3[[#This Row],[Treatment_Success]]="Yes",1,0)</f>
        <v>1</v>
      </c>
      <c r="N97">
        <v>119849</v>
      </c>
    </row>
    <row r="98" spans="1:14" x14ac:dyDescent="0.35">
      <c r="A98" t="s">
        <v>145</v>
      </c>
      <c r="B98">
        <v>16</v>
      </c>
      <c r="C98" t="str">
        <f>_xlfn.IFS(Table3[[#This Row],[Age]]&lt;=10, "Child",Table3[[#This Row],[Age]]&lt;18, "Teenger", Table3[[#This Row],[Age]]&lt;30, "Middle Age", Table3[[#This Row],[Age]]&lt; 60,"Adult",Table3[[#This Row],[Age]],"Senior Citizen")</f>
        <v>Teenger</v>
      </c>
      <c r="D98" t="s">
        <v>18</v>
      </c>
      <c r="E98" t="s">
        <v>28</v>
      </c>
      <c r="F98" t="s">
        <v>14</v>
      </c>
      <c r="G98" s="1">
        <v>45649</v>
      </c>
      <c r="H98" s="1">
        <v>45657</v>
      </c>
      <c r="I98" s="2">
        <f>Table3[[#This Row],[Discharge_Date]]-Table3[[#This Row],[Admission_Date]]</f>
        <v>8</v>
      </c>
      <c r="J98">
        <v>82</v>
      </c>
      <c r="K98" t="s">
        <v>33</v>
      </c>
      <c r="L98" t="s">
        <v>16</v>
      </c>
      <c r="M98">
        <f>IF(Table3[[#This Row],[Treatment_Success]]="Yes",1,0)</f>
        <v>1</v>
      </c>
      <c r="N98">
        <v>149769</v>
      </c>
    </row>
    <row r="99" spans="1:14" x14ac:dyDescent="0.35">
      <c r="A99" t="s">
        <v>146</v>
      </c>
      <c r="B99">
        <v>29</v>
      </c>
      <c r="C99" t="str">
        <f>_xlfn.IFS(Table3[[#This Row],[Age]]&lt;=10, "Child",Table3[[#This Row],[Age]]&lt;18, "Teenger", Table3[[#This Row],[Age]]&lt;30, "Middle Age", Table3[[#This Row],[Age]]&lt; 60,"Adult",Table3[[#This Row],[Age]],"Senior Citizen")</f>
        <v>Middle Age</v>
      </c>
      <c r="D99" t="s">
        <v>18</v>
      </c>
      <c r="E99" t="s">
        <v>31</v>
      </c>
      <c r="F99" t="s">
        <v>90</v>
      </c>
      <c r="G99" s="1">
        <v>45500</v>
      </c>
      <c r="H99" s="1">
        <v>45502</v>
      </c>
      <c r="I99" s="2">
        <f>Table3[[#This Row],[Discharge_Date]]-Table3[[#This Row],[Admission_Date]]</f>
        <v>2</v>
      </c>
      <c r="J99">
        <v>79</v>
      </c>
      <c r="K99" t="s">
        <v>46</v>
      </c>
      <c r="L99" t="s">
        <v>16</v>
      </c>
      <c r="M99">
        <f>IF(Table3[[#This Row],[Treatment_Success]]="Yes",1,0)</f>
        <v>1</v>
      </c>
      <c r="N99">
        <v>138397</v>
      </c>
    </row>
    <row r="100" spans="1:14" x14ac:dyDescent="0.35">
      <c r="A100" t="s">
        <v>147</v>
      </c>
      <c r="B100">
        <v>54</v>
      </c>
      <c r="C100" t="str">
        <f>_xlfn.IFS(Table3[[#This Row],[Age]]&lt;=10, "Child",Table3[[#This Row],[Age]]&lt;18, "Teenger", Table3[[#This Row],[Age]]&lt;30, "Middle Age", Table3[[#This Row],[Age]]&lt; 60,"Adult",Table3[[#This Row],[Age]],"Senior Citizen")</f>
        <v>Adult</v>
      </c>
      <c r="D100" t="s">
        <v>12</v>
      </c>
      <c r="E100" t="s">
        <v>31</v>
      </c>
      <c r="F100" t="s">
        <v>14</v>
      </c>
      <c r="G100" s="1">
        <v>45653</v>
      </c>
      <c r="H100" s="1">
        <v>45658</v>
      </c>
      <c r="I100" s="2">
        <f>Table3[[#This Row],[Discharge_Date]]-Table3[[#This Row],[Admission_Date]]</f>
        <v>5</v>
      </c>
      <c r="J100">
        <v>234</v>
      </c>
      <c r="K100" t="s">
        <v>36</v>
      </c>
      <c r="L100" t="s">
        <v>26</v>
      </c>
      <c r="M100">
        <f>IF(Table3[[#This Row],[Treatment_Success]]="Yes",1,0)</f>
        <v>0</v>
      </c>
      <c r="N100">
        <v>54967</v>
      </c>
    </row>
    <row r="101" spans="1:14" x14ac:dyDescent="0.35">
      <c r="A101" t="s">
        <v>148</v>
      </c>
      <c r="B101">
        <v>18</v>
      </c>
      <c r="C101" t="str">
        <f>_xlfn.IFS(Table3[[#This Row],[Age]]&lt;=10, "Child",Table3[[#This Row],[Age]]&lt;18, "Teenger", Table3[[#This Row],[Age]]&lt;30, "Middle Age", Table3[[#This Row],[Age]]&lt; 60,"Adult",Table3[[#This Row],[Age]],"Senior Citizen")</f>
        <v>Middle Age</v>
      </c>
      <c r="D101" t="s">
        <v>18</v>
      </c>
      <c r="E101" t="s">
        <v>38</v>
      </c>
      <c r="F101" t="s">
        <v>22</v>
      </c>
      <c r="G101" s="1">
        <v>45598</v>
      </c>
      <c r="H101" s="1">
        <v>45607</v>
      </c>
      <c r="I101" s="2">
        <f>Table3[[#This Row],[Discharge_Date]]-Table3[[#This Row],[Admission_Date]]</f>
        <v>9</v>
      </c>
      <c r="J101">
        <v>213</v>
      </c>
      <c r="K101" t="s">
        <v>33</v>
      </c>
      <c r="L101" t="s">
        <v>16</v>
      </c>
      <c r="M101">
        <f>IF(Table3[[#This Row],[Treatment_Success]]="Yes",1,0)</f>
        <v>1</v>
      </c>
      <c r="N101">
        <v>5672</v>
      </c>
    </row>
    <row r="102" spans="1:14" x14ac:dyDescent="0.35">
      <c r="A102" t="s">
        <v>149</v>
      </c>
      <c r="B102">
        <v>39</v>
      </c>
      <c r="C102" t="str">
        <f>_xlfn.IFS(Table3[[#This Row],[Age]]&lt;=10, "Child",Table3[[#This Row],[Age]]&lt;18, "Teenger", Table3[[#This Row],[Age]]&lt;30, "Middle Age", Table3[[#This Row],[Age]]&lt; 60,"Adult",Table3[[#This Row],[Age]],"Senior Citizen")</f>
        <v>Adult</v>
      </c>
      <c r="D102" t="s">
        <v>12</v>
      </c>
      <c r="E102" t="s">
        <v>13</v>
      </c>
      <c r="F102" t="s">
        <v>20</v>
      </c>
      <c r="G102" s="1">
        <v>45436</v>
      </c>
      <c r="H102" s="1">
        <v>45448</v>
      </c>
      <c r="I102" s="2">
        <f>Table3[[#This Row],[Discharge_Date]]-Table3[[#This Row],[Admission_Date]]</f>
        <v>12</v>
      </c>
      <c r="J102">
        <v>276</v>
      </c>
      <c r="K102" t="s">
        <v>46</v>
      </c>
      <c r="L102" t="s">
        <v>16</v>
      </c>
      <c r="M102">
        <f>IF(Table3[[#This Row],[Treatment_Success]]="Yes",1,0)</f>
        <v>1</v>
      </c>
      <c r="N102">
        <v>92147</v>
      </c>
    </row>
    <row r="103" spans="1:14" x14ac:dyDescent="0.35">
      <c r="A103" t="s">
        <v>150</v>
      </c>
      <c r="B103">
        <v>70</v>
      </c>
      <c r="C103" t="str">
        <f>_xlfn.IFS(Table3[[#This Row],[Age]]&lt;=10, "Child",Table3[[#This Row],[Age]]&lt;18, "Teenger", Table3[[#This Row],[Age]]&lt;30, "Middle Age", Table3[[#This Row],[Age]]&lt; 60,"Adult",Table3[[#This Row],[Age]],"Senior Citizen")</f>
        <v>Senior Citizen</v>
      </c>
      <c r="D103" t="s">
        <v>12</v>
      </c>
      <c r="E103" t="s">
        <v>31</v>
      </c>
      <c r="F103" t="s">
        <v>95</v>
      </c>
      <c r="G103" s="1">
        <v>45574</v>
      </c>
      <c r="H103" s="1">
        <v>45587</v>
      </c>
      <c r="I103" s="2">
        <f>Table3[[#This Row],[Discharge_Date]]-Table3[[#This Row],[Admission_Date]]</f>
        <v>13</v>
      </c>
      <c r="J103">
        <v>97</v>
      </c>
      <c r="K103" t="s">
        <v>36</v>
      </c>
      <c r="L103" t="s">
        <v>26</v>
      </c>
      <c r="M103">
        <f>IF(Table3[[#This Row],[Treatment_Success]]="Yes",1,0)</f>
        <v>0</v>
      </c>
      <c r="N103">
        <v>66226</v>
      </c>
    </row>
    <row r="104" spans="1:14" x14ac:dyDescent="0.35">
      <c r="A104" t="s">
        <v>151</v>
      </c>
      <c r="B104">
        <v>41</v>
      </c>
      <c r="C104" t="str">
        <f>_xlfn.IFS(Table3[[#This Row],[Age]]&lt;=10, "Child",Table3[[#This Row],[Age]]&lt;18, "Teenger", Table3[[#This Row],[Age]]&lt;30, "Middle Age", Table3[[#This Row],[Age]]&lt; 60,"Adult",Table3[[#This Row],[Age]],"Senior Citizen")</f>
        <v>Adult</v>
      </c>
      <c r="D104" t="s">
        <v>12</v>
      </c>
      <c r="E104" t="s">
        <v>31</v>
      </c>
      <c r="F104" t="s">
        <v>56</v>
      </c>
      <c r="G104" s="1">
        <v>45502</v>
      </c>
      <c r="H104" s="1">
        <v>45503</v>
      </c>
      <c r="I104" s="2">
        <f>Table3[[#This Row],[Discharge_Date]]-Table3[[#This Row],[Admission_Date]]</f>
        <v>1</v>
      </c>
      <c r="J104">
        <v>78</v>
      </c>
      <c r="K104" t="s">
        <v>46</v>
      </c>
      <c r="L104" t="s">
        <v>16</v>
      </c>
      <c r="M104">
        <f>IF(Table3[[#This Row],[Treatment_Success]]="Yes",1,0)</f>
        <v>1</v>
      </c>
      <c r="N104">
        <v>38094</v>
      </c>
    </row>
    <row r="105" spans="1:14" x14ac:dyDescent="0.35">
      <c r="A105" t="s">
        <v>152</v>
      </c>
      <c r="B105">
        <v>43</v>
      </c>
      <c r="C105" t="str">
        <f>_xlfn.IFS(Table3[[#This Row],[Age]]&lt;=10, "Child",Table3[[#This Row],[Age]]&lt;18, "Teenger", Table3[[#This Row],[Age]]&lt;30, "Middle Age", Table3[[#This Row],[Age]]&lt; 60,"Adult",Table3[[#This Row],[Age]],"Senior Citizen")</f>
        <v>Adult</v>
      </c>
      <c r="D105" t="s">
        <v>18</v>
      </c>
      <c r="E105" t="s">
        <v>31</v>
      </c>
      <c r="F105" t="s">
        <v>90</v>
      </c>
      <c r="G105" s="1">
        <v>45549</v>
      </c>
      <c r="H105" s="1">
        <v>45559</v>
      </c>
      <c r="I105" s="2">
        <f>Table3[[#This Row],[Discharge_Date]]-Table3[[#This Row],[Admission_Date]]</f>
        <v>10</v>
      </c>
      <c r="J105">
        <v>270</v>
      </c>
      <c r="K105" t="s">
        <v>46</v>
      </c>
      <c r="L105" t="s">
        <v>16</v>
      </c>
      <c r="M105">
        <f>IF(Table3[[#This Row],[Treatment_Success]]="Yes",1,0)</f>
        <v>1</v>
      </c>
      <c r="N105">
        <v>194384</v>
      </c>
    </row>
    <row r="106" spans="1:14" x14ac:dyDescent="0.35">
      <c r="A106" t="s">
        <v>153</v>
      </c>
      <c r="B106">
        <v>84</v>
      </c>
      <c r="C106" t="str">
        <f>_xlfn.IFS(Table3[[#This Row],[Age]]&lt;=10, "Child",Table3[[#This Row],[Age]]&lt;18, "Teenger", Table3[[#This Row],[Age]]&lt;30, "Middle Age", Table3[[#This Row],[Age]]&lt; 60,"Adult",Table3[[#This Row],[Age]],"Senior Citizen")</f>
        <v>Senior Citizen</v>
      </c>
      <c r="D106" t="s">
        <v>18</v>
      </c>
      <c r="E106" t="s">
        <v>24</v>
      </c>
      <c r="F106" t="s">
        <v>43</v>
      </c>
      <c r="G106" s="1">
        <v>45365</v>
      </c>
      <c r="H106" s="1">
        <v>45372</v>
      </c>
      <c r="I106" s="2">
        <f>Table3[[#This Row],[Discharge_Date]]-Table3[[#This Row],[Admission_Date]]</f>
        <v>7</v>
      </c>
      <c r="J106">
        <v>136</v>
      </c>
      <c r="K106" t="s">
        <v>33</v>
      </c>
      <c r="L106" t="s">
        <v>26</v>
      </c>
      <c r="M106">
        <f>IF(Table3[[#This Row],[Treatment_Success]]="Yes",1,0)</f>
        <v>0</v>
      </c>
      <c r="N106">
        <v>175350</v>
      </c>
    </row>
    <row r="107" spans="1:14" x14ac:dyDescent="0.35">
      <c r="A107" t="s">
        <v>154</v>
      </c>
      <c r="B107">
        <v>43</v>
      </c>
      <c r="C107" t="str">
        <f>_xlfn.IFS(Table3[[#This Row],[Age]]&lt;=10, "Child",Table3[[#This Row],[Age]]&lt;18, "Teenger", Table3[[#This Row],[Age]]&lt;30, "Middle Age", Table3[[#This Row],[Age]]&lt; 60,"Adult",Table3[[#This Row],[Age]],"Senior Citizen")</f>
        <v>Adult</v>
      </c>
      <c r="D107" t="s">
        <v>12</v>
      </c>
      <c r="E107" t="s">
        <v>38</v>
      </c>
      <c r="F107" t="s">
        <v>68</v>
      </c>
      <c r="G107" s="1">
        <v>45333</v>
      </c>
      <c r="H107" s="1">
        <v>45347</v>
      </c>
      <c r="I107" s="2">
        <f>Table3[[#This Row],[Discharge_Date]]-Table3[[#This Row],[Admission_Date]]</f>
        <v>14</v>
      </c>
      <c r="J107">
        <v>250</v>
      </c>
      <c r="K107" t="s">
        <v>15</v>
      </c>
      <c r="L107" t="s">
        <v>16</v>
      </c>
      <c r="M107">
        <f>IF(Table3[[#This Row],[Treatment_Success]]="Yes",1,0)</f>
        <v>1</v>
      </c>
      <c r="N107">
        <v>66543</v>
      </c>
    </row>
    <row r="108" spans="1:14" x14ac:dyDescent="0.35">
      <c r="A108" t="s">
        <v>155</v>
      </c>
      <c r="B108">
        <v>37</v>
      </c>
      <c r="C108" t="str">
        <f>_xlfn.IFS(Table3[[#This Row],[Age]]&lt;=10, "Child",Table3[[#This Row],[Age]]&lt;18, "Teenger", Table3[[#This Row],[Age]]&lt;30, "Middle Age", Table3[[#This Row],[Age]]&lt; 60,"Adult",Table3[[#This Row],[Age]],"Senior Citizen")</f>
        <v>Adult</v>
      </c>
      <c r="D108" t="s">
        <v>18</v>
      </c>
      <c r="E108" t="s">
        <v>24</v>
      </c>
      <c r="F108" t="s">
        <v>93</v>
      </c>
      <c r="G108" s="1">
        <v>45615</v>
      </c>
      <c r="H108" s="1">
        <v>45626</v>
      </c>
      <c r="I108" s="2">
        <f>Table3[[#This Row],[Discharge_Date]]-Table3[[#This Row],[Admission_Date]]</f>
        <v>11</v>
      </c>
      <c r="J108">
        <v>51</v>
      </c>
      <c r="K108" t="s">
        <v>15</v>
      </c>
      <c r="L108" t="s">
        <v>26</v>
      </c>
      <c r="M108">
        <f>IF(Table3[[#This Row],[Treatment_Success]]="Yes",1,0)</f>
        <v>0</v>
      </c>
      <c r="N108">
        <v>48611</v>
      </c>
    </row>
    <row r="109" spans="1:14" x14ac:dyDescent="0.35">
      <c r="A109" t="s">
        <v>156</v>
      </c>
      <c r="B109">
        <v>4</v>
      </c>
      <c r="C109" t="str">
        <f>_xlfn.IFS(Table3[[#This Row],[Age]]&lt;=10, "Child",Table3[[#This Row],[Age]]&lt;18, "Teenger", Table3[[#This Row],[Age]]&lt;30, "Middle Age", Table3[[#This Row],[Age]]&lt; 60,"Adult",Table3[[#This Row],[Age]],"Senior Citizen")</f>
        <v>Child</v>
      </c>
      <c r="D109" t="s">
        <v>18</v>
      </c>
      <c r="E109" t="s">
        <v>38</v>
      </c>
      <c r="F109" t="s">
        <v>52</v>
      </c>
      <c r="G109" s="1">
        <v>45647</v>
      </c>
      <c r="H109" s="1">
        <v>45652</v>
      </c>
      <c r="I109" s="2">
        <f>Table3[[#This Row],[Discharge_Date]]-Table3[[#This Row],[Admission_Date]]</f>
        <v>5</v>
      </c>
      <c r="J109">
        <v>151</v>
      </c>
      <c r="K109" t="s">
        <v>33</v>
      </c>
      <c r="L109" t="s">
        <v>16</v>
      </c>
      <c r="M109">
        <f>IF(Table3[[#This Row],[Treatment_Success]]="Yes",1,0)</f>
        <v>1</v>
      </c>
      <c r="N109">
        <v>117901</v>
      </c>
    </row>
    <row r="110" spans="1:14" x14ac:dyDescent="0.35">
      <c r="A110" t="s">
        <v>157</v>
      </c>
      <c r="B110">
        <v>68</v>
      </c>
      <c r="C110" t="str">
        <f>_xlfn.IFS(Table3[[#This Row],[Age]]&lt;=10, "Child",Table3[[#This Row],[Age]]&lt;18, "Teenger", Table3[[#This Row],[Age]]&lt;30, "Middle Age", Table3[[#This Row],[Age]]&lt; 60,"Adult",Table3[[#This Row],[Age]],"Senior Citizen")</f>
        <v>Senior Citizen</v>
      </c>
      <c r="D110" t="s">
        <v>12</v>
      </c>
      <c r="E110" t="s">
        <v>28</v>
      </c>
      <c r="F110" t="s">
        <v>54</v>
      </c>
      <c r="G110" s="1">
        <v>45366</v>
      </c>
      <c r="H110" s="1">
        <v>45370</v>
      </c>
      <c r="I110" s="2">
        <f>Table3[[#This Row],[Discharge_Date]]-Table3[[#This Row],[Admission_Date]]</f>
        <v>4</v>
      </c>
      <c r="J110">
        <v>93</v>
      </c>
      <c r="K110" t="s">
        <v>36</v>
      </c>
      <c r="L110" t="s">
        <v>16</v>
      </c>
      <c r="M110">
        <f>IF(Table3[[#This Row],[Treatment_Success]]="Yes",1,0)</f>
        <v>1</v>
      </c>
      <c r="N110">
        <v>25701</v>
      </c>
    </row>
    <row r="111" spans="1:14" x14ac:dyDescent="0.35">
      <c r="A111" t="s">
        <v>158</v>
      </c>
      <c r="B111">
        <v>49</v>
      </c>
      <c r="C111" t="str">
        <f>_xlfn.IFS(Table3[[#This Row],[Age]]&lt;=10, "Child",Table3[[#This Row],[Age]]&lt;18, "Teenger", Table3[[#This Row],[Age]]&lt;30, "Middle Age", Table3[[#This Row],[Age]]&lt; 60,"Adult",Table3[[#This Row],[Age]],"Senior Citizen")</f>
        <v>Adult</v>
      </c>
      <c r="D111" t="s">
        <v>18</v>
      </c>
      <c r="E111" t="s">
        <v>31</v>
      </c>
      <c r="F111" t="s">
        <v>58</v>
      </c>
      <c r="G111" s="1">
        <v>45604</v>
      </c>
      <c r="H111" s="1">
        <v>45618</v>
      </c>
      <c r="I111" s="2">
        <f>Table3[[#This Row],[Discharge_Date]]-Table3[[#This Row],[Admission_Date]]</f>
        <v>14</v>
      </c>
      <c r="J111">
        <v>74</v>
      </c>
      <c r="K111" t="s">
        <v>36</v>
      </c>
      <c r="L111" t="s">
        <v>26</v>
      </c>
      <c r="M111">
        <f>IF(Table3[[#This Row],[Treatment_Success]]="Yes",1,0)</f>
        <v>0</v>
      </c>
      <c r="N111">
        <v>172222</v>
      </c>
    </row>
    <row r="112" spans="1:14" x14ac:dyDescent="0.35">
      <c r="A112" t="s">
        <v>159</v>
      </c>
      <c r="B112">
        <v>33</v>
      </c>
      <c r="C112" t="str">
        <f>_xlfn.IFS(Table3[[#This Row],[Age]]&lt;=10, "Child",Table3[[#This Row],[Age]]&lt;18, "Teenger", Table3[[#This Row],[Age]]&lt;30, "Middle Age", Table3[[#This Row],[Age]]&lt; 60,"Adult",Table3[[#This Row],[Age]],"Senior Citizen")</f>
        <v>Adult</v>
      </c>
      <c r="D112" t="s">
        <v>18</v>
      </c>
      <c r="E112" t="s">
        <v>31</v>
      </c>
      <c r="F112" t="s">
        <v>83</v>
      </c>
      <c r="G112" s="1">
        <v>45422</v>
      </c>
      <c r="H112" s="1">
        <v>45430</v>
      </c>
      <c r="I112" s="2">
        <f>Table3[[#This Row],[Discharge_Date]]-Table3[[#This Row],[Admission_Date]]</f>
        <v>8</v>
      </c>
      <c r="J112">
        <v>280</v>
      </c>
      <c r="K112" t="s">
        <v>36</v>
      </c>
      <c r="L112" t="s">
        <v>16</v>
      </c>
      <c r="M112">
        <f>IF(Table3[[#This Row],[Treatment_Success]]="Yes",1,0)</f>
        <v>1</v>
      </c>
      <c r="N112">
        <v>120796</v>
      </c>
    </row>
    <row r="113" spans="1:14" x14ac:dyDescent="0.35">
      <c r="A113" t="s">
        <v>160</v>
      </c>
      <c r="B113">
        <v>39</v>
      </c>
      <c r="C113" t="str">
        <f>_xlfn.IFS(Table3[[#This Row],[Age]]&lt;=10, "Child",Table3[[#This Row],[Age]]&lt;18, "Teenger", Table3[[#This Row],[Age]]&lt;30, "Middle Age", Table3[[#This Row],[Age]]&lt; 60,"Adult",Table3[[#This Row],[Age]],"Senior Citizen")</f>
        <v>Adult</v>
      </c>
      <c r="D113" t="s">
        <v>12</v>
      </c>
      <c r="E113" t="s">
        <v>38</v>
      </c>
      <c r="F113" t="s">
        <v>20</v>
      </c>
      <c r="G113" s="1">
        <v>45468</v>
      </c>
      <c r="H113" s="1">
        <v>45478</v>
      </c>
      <c r="I113" s="2">
        <f>Table3[[#This Row],[Discharge_Date]]-Table3[[#This Row],[Admission_Date]]</f>
        <v>10</v>
      </c>
      <c r="J113">
        <v>155</v>
      </c>
      <c r="K113" t="s">
        <v>36</v>
      </c>
      <c r="L113" t="s">
        <v>26</v>
      </c>
      <c r="M113">
        <f>IF(Table3[[#This Row],[Treatment_Success]]="Yes",1,0)</f>
        <v>0</v>
      </c>
      <c r="N113">
        <v>131670</v>
      </c>
    </row>
    <row r="114" spans="1:14" x14ac:dyDescent="0.35">
      <c r="A114" t="s">
        <v>161</v>
      </c>
      <c r="B114">
        <v>49</v>
      </c>
      <c r="C114" t="str">
        <f>_xlfn.IFS(Table3[[#This Row],[Age]]&lt;=10, "Child",Table3[[#This Row],[Age]]&lt;18, "Teenger", Table3[[#This Row],[Age]]&lt;30, "Middle Age", Table3[[#This Row],[Age]]&lt; 60,"Adult",Table3[[#This Row],[Age]],"Senior Citizen")</f>
        <v>Adult</v>
      </c>
      <c r="D114" t="s">
        <v>12</v>
      </c>
      <c r="E114" t="s">
        <v>28</v>
      </c>
      <c r="F114" t="s">
        <v>83</v>
      </c>
      <c r="G114" s="1">
        <v>45346</v>
      </c>
      <c r="H114" s="1">
        <v>45350</v>
      </c>
      <c r="I114" s="2">
        <f>Table3[[#This Row],[Discharge_Date]]-Table3[[#This Row],[Admission_Date]]</f>
        <v>4</v>
      </c>
      <c r="J114">
        <v>152</v>
      </c>
      <c r="K114" t="s">
        <v>15</v>
      </c>
      <c r="L114" t="s">
        <v>26</v>
      </c>
      <c r="M114">
        <f>IF(Table3[[#This Row],[Treatment_Success]]="Yes",1,0)</f>
        <v>0</v>
      </c>
      <c r="N114">
        <v>76953</v>
      </c>
    </row>
    <row r="115" spans="1:14" x14ac:dyDescent="0.35">
      <c r="A115" t="s">
        <v>162</v>
      </c>
      <c r="B115">
        <v>88</v>
      </c>
      <c r="C115" t="str">
        <f>_xlfn.IFS(Table3[[#This Row],[Age]]&lt;=10, "Child",Table3[[#This Row],[Age]]&lt;18, "Teenger", Table3[[#This Row],[Age]]&lt;30, "Middle Age", Table3[[#This Row],[Age]]&lt; 60,"Adult",Table3[[#This Row],[Age]],"Senior Citizen")</f>
        <v>Senior Citizen</v>
      </c>
      <c r="D115" t="s">
        <v>18</v>
      </c>
      <c r="E115" t="s">
        <v>28</v>
      </c>
      <c r="F115" t="s">
        <v>25</v>
      </c>
      <c r="G115" s="1">
        <v>45296</v>
      </c>
      <c r="H115" s="1">
        <v>45306</v>
      </c>
      <c r="I115" s="2">
        <f>Table3[[#This Row],[Discharge_Date]]-Table3[[#This Row],[Admission_Date]]</f>
        <v>10</v>
      </c>
      <c r="J115">
        <v>255</v>
      </c>
      <c r="K115" t="s">
        <v>33</v>
      </c>
      <c r="L115" t="s">
        <v>16</v>
      </c>
      <c r="M115">
        <f>IF(Table3[[#This Row],[Treatment_Success]]="Yes",1,0)</f>
        <v>1</v>
      </c>
      <c r="N115">
        <v>164138</v>
      </c>
    </row>
    <row r="116" spans="1:14" x14ac:dyDescent="0.35">
      <c r="A116" t="s">
        <v>163</v>
      </c>
      <c r="B116">
        <v>82</v>
      </c>
      <c r="C116" t="str">
        <f>_xlfn.IFS(Table3[[#This Row],[Age]]&lt;=10, "Child",Table3[[#This Row],[Age]]&lt;18, "Teenger", Table3[[#This Row],[Age]]&lt;30, "Middle Age", Table3[[#This Row],[Age]]&lt; 60,"Adult",Table3[[#This Row],[Age]],"Senior Citizen")</f>
        <v>Senior Citizen</v>
      </c>
      <c r="D116" t="s">
        <v>18</v>
      </c>
      <c r="E116" t="s">
        <v>28</v>
      </c>
      <c r="F116" t="s">
        <v>32</v>
      </c>
      <c r="G116" s="1">
        <v>45472</v>
      </c>
      <c r="H116" s="1">
        <v>45476</v>
      </c>
      <c r="I116" s="2">
        <f>Table3[[#This Row],[Discharge_Date]]-Table3[[#This Row],[Admission_Date]]</f>
        <v>4</v>
      </c>
      <c r="J116">
        <v>71</v>
      </c>
      <c r="K116" t="s">
        <v>15</v>
      </c>
      <c r="L116" t="s">
        <v>16</v>
      </c>
      <c r="M116">
        <f>IF(Table3[[#This Row],[Treatment_Success]]="Yes",1,0)</f>
        <v>1</v>
      </c>
      <c r="N116">
        <v>85984</v>
      </c>
    </row>
    <row r="117" spans="1:14" x14ac:dyDescent="0.35">
      <c r="A117" t="s">
        <v>164</v>
      </c>
      <c r="B117">
        <v>75</v>
      </c>
      <c r="C117" t="str">
        <f>_xlfn.IFS(Table3[[#This Row],[Age]]&lt;=10, "Child",Table3[[#This Row],[Age]]&lt;18, "Teenger", Table3[[#This Row],[Age]]&lt;30, "Middle Age", Table3[[#This Row],[Age]]&lt; 60,"Adult",Table3[[#This Row],[Age]],"Senior Citizen")</f>
        <v>Senior Citizen</v>
      </c>
      <c r="D117" t="s">
        <v>12</v>
      </c>
      <c r="E117" t="s">
        <v>13</v>
      </c>
      <c r="F117" t="s">
        <v>45</v>
      </c>
      <c r="G117" s="1">
        <v>45517</v>
      </c>
      <c r="H117" s="1">
        <v>45518</v>
      </c>
      <c r="I117" s="2">
        <f>Table3[[#This Row],[Discharge_Date]]-Table3[[#This Row],[Admission_Date]]</f>
        <v>1</v>
      </c>
      <c r="J117">
        <v>152</v>
      </c>
      <c r="K117" t="s">
        <v>33</v>
      </c>
      <c r="L117" t="s">
        <v>26</v>
      </c>
      <c r="M117">
        <f>IF(Table3[[#This Row],[Treatment_Success]]="Yes",1,0)</f>
        <v>0</v>
      </c>
      <c r="N117">
        <v>51042</v>
      </c>
    </row>
    <row r="118" spans="1:14" x14ac:dyDescent="0.35">
      <c r="A118" t="s">
        <v>165</v>
      </c>
      <c r="B118">
        <v>70</v>
      </c>
      <c r="C118" t="str">
        <f>_xlfn.IFS(Table3[[#This Row],[Age]]&lt;=10, "Child",Table3[[#This Row],[Age]]&lt;18, "Teenger", Table3[[#This Row],[Age]]&lt;30, "Middle Age", Table3[[#This Row],[Age]]&lt; 60,"Adult",Table3[[#This Row],[Age]],"Senior Citizen")</f>
        <v>Senior Citizen</v>
      </c>
      <c r="D118" t="s">
        <v>12</v>
      </c>
      <c r="E118" t="s">
        <v>28</v>
      </c>
      <c r="F118" t="s">
        <v>49</v>
      </c>
      <c r="G118" s="1">
        <v>45394</v>
      </c>
      <c r="H118" s="1">
        <v>45397</v>
      </c>
      <c r="I118" s="2">
        <f>Table3[[#This Row],[Discharge_Date]]-Table3[[#This Row],[Admission_Date]]</f>
        <v>3</v>
      </c>
      <c r="J118">
        <v>140</v>
      </c>
      <c r="K118" t="s">
        <v>36</v>
      </c>
      <c r="L118" t="s">
        <v>16</v>
      </c>
      <c r="M118">
        <f>IF(Table3[[#This Row],[Treatment_Success]]="Yes",1,0)</f>
        <v>1</v>
      </c>
      <c r="N118">
        <v>131313</v>
      </c>
    </row>
    <row r="119" spans="1:14" x14ac:dyDescent="0.35">
      <c r="A119" t="s">
        <v>166</v>
      </c>
      <c r="B119">
        <v>44</v>
      </c>
      <c r="C119" t="str">
        <f>_xlfn.IFS(Table3[[#This Row],[Age]]&lt;=10, "Child",Table3[[#This Row],[Age]]&lt;18, "Teenger", Table3[[#This Row],[Age]]&lt;30, "Middle Age", Table3[[#This Row],[Age]]&lt; 60,"Adult",Table3[[#This Row],[Age]],"Senior Citizen")</f>
        <v>Adult</v>
      </c>
      <c r="D119" t="s">
        <v>18</v>
      </c>
      <c r="E119" t="s">
        <v>31</v>
      </c>
      <c r="F119" t="s">
        <v>45</v>
      </c>
      <c r="G119" s="1">
        <v>45443</v>
      </c>
      <c r="H119" s="1">
        <v>45455</v>
      </c>
      <c r="I119" s="2">
        <f>Table3[[#This Row],[Discharge_Date]]-Table3[[#This Row],[Admission_Date]]</f>
        <v>12</v>
      </c>
      <c r="J119">
        <v>73</v>
      </c>
      <c r="K119" t="s">
        <v>36</v>
      </c>
      <c r="L119" t="s">
        <v>26</v>
      </c>
      <c r="M119">
        <f>IF(Table3[[#This Row],[Treatment_Success]]="Yes",1,0)</f>
        <v>0</v>
      </c>
      <c r="N119">
        <v>151096</v>
      </c>
    </row>
    <row r="120" spans="1:14" x14ac:dyDescent="0.35">
      <c r="A120" t="s">
        <v>167</v>
      </c>
      <c r="B120">
        <v>51</v>
      </c>
      <c r="C120" t="str">
        <f>_xlfn.IFS(Table3[[#This Row],[Age]]&lt;=10, "Child",Table3[[#This Row],[Age]]&lt;18, "Teenger", Table3[[#This Row],[Age]]&lt;30, "Middle Age", Table3[[#This Row],[Age]]&lt; 60,"Adult",Table3[[#This Row],[Age]],"Senior Citizen")</f>
        <v>Adult</v>
      </c>
      <c r="D120" t="s">
        <v>18</v>
      </c>
      <c r="E120" t="s">
        <v>38</v>
      </c>
      <c r="F120" t="s">
        <v>61</v>
      </c>
      <c r="G120" s="1">
        <v>45479</v>
      </c>
      <c r="H120" s="1">
        <v>45481</v>
      </c>
      <c r="I120" s="2">
        <f>Table3[[#This Row],[Discharge_Date]]-Table3[[#This Row],[Admission_Date]]</f>
        <v>2</v>
      </c>
      <c r="J120">
        <v>64</v>
      </c>
      <c r="K120" t="s">
        <v>46</v>
      </c>
      <c r="L120" t="s">
        <v>16</v>
      </c>
      <c r="M120">
        <f>IF(Table3[[#This Row],[Treatment_Success]]="Yes",1,0)</f>
        <v>1</v>
      </c>
      <c r="N120">
        <v>181377</v>
      </c>
    </row>
    <row r="121" spans="1:14" x14ac:dyDescent="0.35">
      <c r="A121" t="s">
        <v>168</v>
      </c>
      <c r="B121">
        <v>75</v>
      </c>
      <c r="C121" t="str">
        <f>_xlfn.IFS(Table3[[#This Row],[Age]]&lt;=10, "Child",Table3[[#This Row],[Age]]&lt;18, "Teenger", Table3[[#This Row],[Age]]&lt;30, "Middle Age", Table3[[#This Row],[Age]]&lt; 60,"Adult",Table3[[#This Row],[Age]],"Senior Citizen")</f>
        <v>Senior Citizen</v>
      </c>
      <c r="D121" t="s">
        <v>12</v>
      </c>
      <c r="E121" t="s">
        <v>38</v>
      </c>
      <c r="F121" t="s">
        <v>90</v>
      </c>
      <c r="G121" s="1">
        <v>45636</v>
      </c>
      <c r="H121" s="1">
        <v>45641</v>
      </c>
      <c r="I121" s="2">
        <f>Table3[[#This Row],[Discharge_Date]]-Table3[[#This Row],[Admission_Date]]</f>
        <v>5</v>
      </c>
      <c r="J121">
        <v>120</v>
      </c>
      <c r="K121" t="s">
        <v>46</v>
      </c>
      <c r="L121" t="s">
        <v>16</v>
      </c>
      <c r="M121">
        <f>IF(Table3[[#This Row],[Treatment_Success]]="Yes",1,0)</f>
        <v>1</v>
      </c>
      <c r="N121">
        <v>167410</v>
      </c>
    </row>
    <row r="122" spans="1:14" x14ac:dyDescent="0.35">
      <c r="A122" t="s">
        <v>169</v>
      </c>
      <c r="B122">
        <v>79</v>
      </c>
      <c r="C122" t="str">
        <f>_xlfn.IFS(Table3[[#This Row],[Age]]&lt;=10, "Child",Table3[[#This Row],[Age]]&lt;18, "Teenger", Table3[[#This Row],[Age]]&lt;30, "Middle Age", Table3[[#This Row],[Age]]&lt; 60,"Adult",Table3[[#This Row],[Age]],"Senior Citizen")</f>
        <v>Senior Citizen</v>
      </c>
      <c r="D122" t="s">
        <v>18</v>
      </c>
      <c r="E122" t="s">
        <v>24</v>
      </c>
      <c r="F122" t="s">
        <v>68</v>
      </c>
      <c r="G122" s="1">
        <v>45579</v>
      </c>
      <c r="H122" s="1">
        <v>45585</v>
      </c>
      <c r="I122" s="2">
        <f>Table3[[#This Row],[Discharge_Date]]-Table3[[#This Row],[Admission_Date]]</f>
        <v>6</v>
      </c>
      <c r="J122">
        <v>238</v>
      </c>
      <c r="K122" t="s">
        <v>33</v>
      </c>
      <c r="L122" t="s">
        <v>26</v>
      </c>
      <c r="M122">
        <f>IF(Table3[[#This Row],[Treatment_Success]]="Yes",1,0)</f>
        <v>0</v>
      </c>
      <c r="N122">
        <v>35585</v>
      </c>
    </row>
    <row r="123" spans="1:14" x14ac:dyDescent="0.35">
      <c r="A123" t="s">
        <v>170</v>
      </c>
      <c r="B123">
        <v>5</v>
      </c>
      <c r="C123" t="str">
        <f>_xlfn.IFS(Table3[[#This Row],[Age]]&lt;=10, "Child",Table3[[#This Row],[Age]]&lt;18, "Teenger", Table3[[#This Row],[Age]]&lt;30, "Middle Age", Table3[[#This Row],[Age]]&lt; 60,"Adult",Table3[[#This Row],[Age]],"Senior Citizen")</f>
        <v>Child</v>
      </c>
      <c r="D123" t="s">
        <v>12</v>
      </c>
      <c r="E123" t="s">
        <v>31</v>
      </c>
      <c r="F123" t="s">
        <v>90</v>
      </c>
      <c r="G123" s="1">
        <v>45363</v>
      </c>
      <c r="H123" s="1">
        <v>45364</v>
      </c>
      <c r="I123" s="2">
        <f>Table3[[#This Row],[Discharge_Date]]-Table3[[#This Row],[Admission_Date]]</f>
        <v>1</v>
      </c>
      <c r="J123">
        <v>50</v>
      </c>
      <c r="K123" t="s">
        <v>36</v>
      </c>
      <c r="L123" t="s">
        <v>16</v>
      </c>
      <c r="M123">
        <f>IF(Table3[[#This Row],[Treatment_Success]]="Yes",1,0)</f>
        <v>1</v>
      </c>
      <c r="N123">
        <v>106881</v>
      </c>
    </row>
    <row r="124" spans="1:14" x14ac:dyDescent="0.35">
      <c r="A124" t="s">
        <v>171</v>
      </c>
      <c r="B124">
        <v>86</v>
      </c>
      <c r="C124" t="str">
        <f>_xlfn.IFS(Table3[[#This Row],[Age]]&lt;=10, "Child",Table3[[#This Row],[Age]]&lt;18, "Teenger", Table3[[#This Row],[Age]]&lt;30, "Middle Age", Table3[[#This Row],[Age]]&lt; 60,"Adult",Table3[[#This Row],[Age]],"Senior Citizen")</f>
        <v>Senior Citizen</v>
      </c>
      <c r="D124" t="s">
        <v>12</v>
      </c>
      <c r="E124" t="s">
        <v>28</v>
      </c>
      <c r="F124" t="s">
        <v>25</v>
      </c>
      <c r="G124" s="1">
        <v>45524</v>
      </c>
      <c r="H124" s="1">
        <v>45530</v>
      </c>
      <c r="I124" s="2">
        <f>Table3[[#This Row],[Discharge_Date]]-Table3[[#This Row],[Admission_Date]]</f>
        <v>6</v>
      </c>
      <c r="J124">
        <v>80</v>
      </c>
      <c r="K124" t="s">
        <v>46</v>
      </c>
      <c r="L124" t="s">
        <v>16</v>
      </c>
      <c r="M124">
        <f>IF(Table3[[#This Row],[Treatment_Success]]="Yes",1,0)</f>
        <v>1</v>
      </c>
      <c r="N124">
        <v>133279</v>
      </c>
    </row>
    <row r="125" spans="1:14" x14ac:dyDescent="0.35">
      <c r="A125" t="s">
        <v>172</v>
      </c>
      <c r="B125">
        <v>36</v>
      </c>
      <c r="C125" t="str">
        <f>_xlfn.IFS(Table3[[#This Row],[Age]]&lt;=10, "Child",Table3[[#This Row],[Age]]&lt;18, "Teenger", Table3[[#This Row],[Age]]&lt;30, "Middle Age", Table3[[#This Row],[Age]]&lt; 60,"Adult",Table3[[#This Row],[Age]],"Senior Citizen")</f>
        <v>Adult</v>
      </c>
      <c r="D125" t="s">
        <v>18</v>
      </c>
      <c r="E125" t="s">
        <v>38</v>
      </c>
      <c r="F125" t="s">
        <v>29</v>
      </c>
      <c r="G125" s="1">
        <v>45607</v>
      </c>
      <c r="H125" s="1">
        <v>45614</v>
      </c>
      <c r="I125" s="2">
        <f>Table3[[#This Row],[Discharge_Date]]-Table3[[#This Row],[Admission_Date]]</f>
        <v>7</v>
      </c>
      <c r="J125">
        <v>228</v>
      </c>
      <c r="K125" t="s">
        <v>46</v>
      </c>
      <c r="L125" t="s">
        <v>16</v>
      </c>
      <c r="M125">
        <f>IF(Table3[[#This Row],[Treatment_Success]]="Yes",1,0)</f>
        <v>1</v>
      </c>
      <c r="N125">
        <v>100075</v>
      </c>
    </row>
    <row r="126" spans="1:14" x14ac:dyDescent="0.35">
      <c r="A126" t="s">
        <v>173</v>
      </c>
      <c r="B126">
        <v>48</v>
      </c>
      <c r="C126" t="str">
        <f>_xlfn.IFS(Table3[[#This Row],[Age]]&lt;=10, "Child",Table3[[#This Row],[Age]]&lt;18, "Teenger", Table3[[#This Row],[Age]]&lt;30, "Middle Age", Table3[[#This Row],[Age]]&lt; 60,"Adult",Table3[[#This Row],[Age]],"Senior Citizen")</f>
        <v>Adult</v>
      </c>
      <c r="D126" t="s">
        <v>12</v>
      </c>
      <c r="E126" t="s">
        <v>24</v>
      </c>
      <c r="F126" t="s">
        <v>56</v>
      </c>
      <c r="G126" s="1">
        <v>45342</v>
      </c>
      <c r="H126" s="1">
        <v>45353</v>
      </c>
      <c r="I126" s="2">
        <f>Table3[[#This Row],[Discharge_Date]]-Table3[[#This Row],[Admission_Date]]</f>
        <v>11</v>
      </c>
      <c r="J126">
        <v>142</v>
      </c>
      <c r="K126" t="s">
        <v>36</v>
      </c>
      <c r="L126" t="s">
        <v>16</v>
      </c>
      <c r="M126">
        <f>IF(Table3[[#This Row],[Treatment_Success]]="Yes",1,0)</f>
        <v>1</v>
      </c>
      <c r="N126">
        <v>124201</v>
      </c>
    </row>
    <row r="127" spans="1:14" x14ac:dyDescent="0.35">
      <c r="A127" t="s">
        <v>174</v>
      </c>
      <c r="B127">
        <v>28</v>
      </c>
      <c r="C127" t="str">
        <f>_xlfn.IFS(Table3[[#This Row],[Age]]&lt;=10, "Child",Table3[[#This Row],[Age]]&lt;18, "Teenger", Table3[[#This Row],[Age]]&lt;30, "Middle Age", Table3[[#This Row],[Age]]&lt; 60,"Adult",Table3[[#This Row],[Age]],"Senior Citizen")</f>
        <v>Middle Age</v>
      </c>
      <c r="D127" t="s">
        <v>18</v>
      </c>
      <c r="E127" t="s">
        <v>24</v>
      </c>
      <c r="F127" t="s">
        <v>95</v>
      </c>
      <c r="G127" s="1">
        <v>45338</v>
      </c>
      <c r="H127" s="1">
        <v>45349</v>
      </c>
      <c r="I127" s="2">
        <f>Table3[[#This Row],[Discharge_Date]]-Table3[[#This Row],[Admission_Date]]</f>
        <v>11</v>
      </c>
      <c r="J127">
        <v>125</v>
      </c>
      <c r="K127" t="s">
        <v>36</v>
      </c>
      <c r="L127" t="s">
        <v>16</v>
      </c>
      <c r="M127">
        <f>IF(Table3[[#This Row],[Treatment_Success]]="Yes",1,0)</f>
        <v>1</v>
      </c>
      <c r="N127">
        <v>22985</v>
      </c>
    </row>
    <row r="128" spans="1:14" x14ac:dyDescent="0.35">
      <c r="A128" t="s">
        <v>175</v>
      </c>
      <c r="B128">
        <v>76</v>
      </c>
      <c r="C128" t="str">
        <f>_xlfn.IFS(Table3[[#This Row],[Age]]&lt;=10, "Child",Table3[[#This Row],[Age]]&lt;18, "Teenger", Table3[[#This Row],[Age]]&lt;30, "Middle Age", Table3[[#This Row],[Age]]&lt; 60,"Adult",Table3[[#This Row],[Age]],"Senior Citizen")</f>
        <v>Senior Citizen</v>
      </c>
      <c r="D128" t="s">
        <v>18</v>
      </c>
      <c r="E128" t="s">
        <v>13</v>
      </c>
      <c r="F128" t="s">
        <v>95</v>
      </c>
      <c r="G128" s="1">
        <v>45575</v>
      </c>
      <c r="H128" s="1">
        <v>45579</v>
      </c>
      <c r="I128" s="2">
        <f>Table3[[#This Row],[Discharge_Date]]-Table3[[#This Row],[Admission_Date]]</f>
        <v>4</v>
      </c>
      <c r="J128">
        <v>76</v>
      </c>
      <c r="K128" t="s">
        <v>15</v>
      </c>
      <c r="L128" t="s">
        <v>16</v>
      </c>
      <c r="M128">
        <f>IF(Table3[[#This Row],[Treatment_Success]]="Yes",1,0)</f>
        <v>1</v>
      </c>
      <c r="N128">
        <v>42929</v>
      </c>
    </row>
    <row r="129" spans="1:14" x14ac:dyDescent="0.35">
      <c r="A129" t="s">
        <v>176</v>
      </c>
      <c r="B129">
        <v>33</v>
      </c>
      <c r="C129" t="str">
        <f>_xlfn.IFS(Table3[[#This Row],[Age]]&lt;=10, "Child",Table3[[#This Row],[Age]]&lt;18, "Teenger", Table3[[#This Row],[Age]]&lt;30, "Middle Age", Table3[[#This Row],[Age]]&lt; 60,"Adult",Table3[[#This Row],[Age]],"Senior Citizen")</f>
        <v>Adult</v>
      </c>
      <c r="D129" t="s">
        <v>18</v>
      </c>
      <c r="E129" t="s">
        <v>24</v>
      </c>
      <c r="F129" t="s">
        <v>54</v>
      </c>
      <c r="G129" s="1">
        <v>45358</v>
      </c>
      <c r="H129" s="1">
        <v>45367</v>
      </c>
      <c r="I129" s="2">
        <f>Table3[[#This Row],[Discharge_Date]]-Table3[[#This Row],[Admission_Date]]</f>
        <v>9</v>
      </c>
      <c r="J129">
        <v>14</v>
      </c>
      <c r="K129" t="s">
        <v>36</v>
      </c>
      <c r="L129" t="s">
        <v>16</v>
      </c>
      <c r="M129">
        <f>IF(Table3[[#This Row],[Treatment_Success]]="Yes",1,0)</f>
        <v>1</v>
      </c>
      <c r="N129">
        <v>98911</v>
      </c>
    </row>
    <row r="130" spans="1:14" x14ac:dyDescent="0.35">
      <c r="A130" t="s">
        <v>177</v>
      </c>
      <c r="B130">
        <v>42</v>
      </c>
      <c r="C130" t="str">
        <f>_xlfn.IFS(Table3[[#This Row],[Age]]&lt;=10, "Child",Table3[[#This Row],[Age]]&lt;18, "Teenger", Table3[[#This Row],[Age]]&lt;30, "Middle Age", Table3[[#This Row],[Age]]&lt; 60,"Adult",Table3[[#This Row],[Age]],"Senior Citizen")</f>
        <v>Adult</v>
      </c>
      <c r="D130" t="s">
        <v>18</v>
      </c>
      <c r="E130" t="s">
        <v>13</v>
      </c>
      <c r="F130" t="s">
        <v>32</v>
      </c>
      <c r="G130" s="1">
        <v>45413</v>
      </c>
      <c r="H130" s="1">
        <v>45423</v>
      </c>
      <c r="I130" s="2">
        <f>Table3[[#This Row],[Discharge_Date]]-Table3[[#This Row],[Admission_Date]]</f>
        <v>10</v>
      </c>
      <c r="J130">
        <v>27</v>
      </c>
      <c r="K130" t="s">
        <v>36</v>
      </c>
      <c r="L130" t="s">
        <v>26</v>
      </c>
      <c r="M130">
        <f>IF(Table3[[#This Row],[Treatment_Success]]="Yes",1,0)</f>
        <v>0</v>
      </c>
      <c r="N130">
        <v>142910</v>
      </c>
    </row>
    <row r="131" spans="1:14" x14ac:dyDescent="0.35">
      <c r="A131" t="s">
        <v>178</v>
      </c>
      <c r="B131">
        <v>9</v>
      </c>
      <c r="C131" t="str">
        <f>_xlfn.IFS(Table3[[#This Row],[Age]]&lt;=10, "Child",Table3[[#This Row],[Age]]&lt;18, "Teenger", Table3[[#This Row],[Age]]&lt;30, "Middle Age", Table3[[#This Row],[Age]]&lt; 60,"Adult",Table3[[#This Row],[Age]],"Senior Citizen")</f>
        <v>Child</v>
      </c>
      <c r="D131" t="s">
        <v>12</v>
      </c>
      <c r="E131" t="s">
        <v>31</v>
      </c>
      <c r="F131" t="s">
        <v>22</v>
      </c>
      <c r="G131" s="1">
        <v>45350</v>
      </c>
      <c r="H131" s="1">
        <v>45362</v>
      </c>
      <c r="I131" s="2">
        <f>Table3[[#This Row],[Discharge_Date]]-Table3[[#This Row],[Admission_Date]]</f>
        <v>12</v>
      </c>
      <c r="J131">
        <v>186</v>
      </c>
      <c r="K131" t="s">
        <v>15</v>
      </c>
      <c r="L131" t="s">
        <v>26</v>
      </c>
      <c r="M131">
        <f>IF(Table3[[#This Row],[Treatment_Success]]="Yes",1,0)</f>
        <v>0</v>
      </c>
      <c r="N131">
        <v>137078</v>
      </c>
    </row>
    <row r="132" spans="1:14" x14ac:dyDescent="0.35">
      <c r="A132" t="s">
        <v>179</v>
      </c>
      <c r="B132">
        <v>6</v>
      </c>
      <c r="C132" t="str">
        <f>_xlfn.IFS(Table3[[#This Row],[Age]]&lt;=10, "Child",Table3[[#This Row],[Age]]&lt;18, "Teenger", Table3[[#This Row],[Age]]&lt;30, "Middle Age", Table3[[#This Row],[Age]]&lt; 60,"Adult",Table3[[#This Row],[Age]],"Senior Citizen")</f>
        <v>Child</v>
      </c>
      <c r="D132" t="s">
        <v>12</v>
      </c>
      <c r="E132" t="s">
        <v>31</v>
      </c>
      <c r="F132" t="s">
        <v>68</v>
      </c>
      <c r="G132" s="1">
        <v>45405</v>
      </c>
      <c r="H132" s="1">
        <v>45415</v>
      </c>
      <c r="I132" s="2">
        <f>Table3[[#This Row],[Discharge_Date]]-Table3[[#This Row],[Admission_Date]]</f>
        <v>10</v>
      </c>
      <c r="J132">
        <v>16</v>
      </c>
      <c r="K132" t="s">
        <v>15</v>
      </c>
      <c r="L132" t="s">
        <v>26</v>
      </c>
      <c r="M132">
        <f>IF(Table3[[#This Row],[Treatment_Success]]="Yes",1,0)</f>
        <v>0</v>
      </c>
      <c r="N132">
        <v>110281</v>
      </c>
    </row>
    <row r="133" spans="1:14" x14ac:dyDescent="0.35">
      <c r="A133" t="s">
        <v>180</v>
      </c>
      <c r="B133">
        <v>14</v>
      </c>
      <c r="C133" t="str">
        <f>_xlfn.IFS(Table3[[#This Row],[Age]]&lt;=10, "Child",Table3[[#This Row],[Age]]&lt;18, "Teenger", Table3[[#This Row],[Age]]&lt;30, "Middle Age", Table3[[#This Row],[Age]]&lt; 60,"Adult",Table3[[#This Row],[Age]],"Senior Citizen")</f>
        <v>Teenger</v>
      </c>
      <c r="D133" t="s">
        <v>12</v>
      </c>
      <c r="E133" t="s">
        <v>31</v>
      </c>
      <c r="F133" t="s">
        <v>45</v>
      </c>
      <c r="G133" s="1">
        <v>45510</v>
      </c>
      <c r="H133" s="1">
        <v>45521</v>
      </c>
      <c r="I133" s="2">
        <f>Table3[[#This Row],[Discharge_Date]]-Table3[[#This Row],[Admission_Date]]</f>
        <v>11</v>
      </c>
      <c r="J133">
        <v>42</v>
      </c>
      <c r="K133" t="s">
        <v>33</v>
      </c>
      <c r="L133" t="s">
        <v>16</v>
      </c>
      <c r="M133">
        <f>IF(Table3[[#This Row],[Treatment_Success]]="Yes",1,0)</f>
        <v>1</v>
      </c>
      <c r="N133">
        <v>22218</v>
      </c>
    </row>
    <row r="134" spans="1:14" x14ac:dyDescent="0.35">
      <c r="A134" t="s">
        <v>181</v>
      </c>
      <c r="B134">
        <v>80</v>
      </c>
      <c r="C134" t="str">
        <f>_xlfn.IFS(Table3[[#This Row],[Age]]&lt;=10, "Child",Table3[[#This Row],[Age]]&lt;18, "Teenger", Table3[[#This Row],[Age]]&lt;30, "Middle Age", Table3[[#This Row],[Age]]&lt; 60,"Adult",Table3[[#This Row],[Age]],"Senior Citizen")</f>
        <v>Senior Citizen</v>
      </c>
      <c r="D134" t="s">
        <v>12</v>
      </c>
      <c r="E134" t="s">
        <v>31</v>
      </c>
      <c r="F134" t="s">
        <v>35</v>
      </c>
      <c r="G134" s="1">
        <v>45356</v>
      </c>
      <c r="H134" s="1">
        <v>45361</v>
      </c>
      <c r="I134" s="2">
        <f>Table3[[#This Row],[Discharge_Date]]-Table3[[#This Row],[Admission_Date]]</f>
        <v>5</v>
      </c>
      <c r="J134">
        <v>272</v>
      </c>
      <c r="K134" t="s">
        <v>33</v>
      </c>
      <c r="L134" t="s">
        <v>26</v>
      </c>
      <c r="M134">
        <f>IF(Table3[[#This Row],[Treatment_Success]]="Yes",1,0)</f>
        <v>0</v>
      </c>
      <c r="N134">
        <v>137527</v>
      </c>
    </row>
    <row r="135" spans="1:14" x14ac:dyDescent="0.35">
      <c r="A135" t="s">
        <v>182</v>
      </c>
      <c r="B135">
        <v>13</v>
      </c>
      <c r="C135" t="str">
        <f>_xlfn.IFS(Table3[[#This Row],[Age]]&lt;=10, "Child",Table3[[#This Row],[Age]]&lt;18, "Teenger", Table3[[#This Row],[Age]]&lt;30, "Middle Age", Table3[[#This Row],[Age]]&lt; 60,"Adult",Table3[[#This Row],[Age]],"Senior Citizen")</f>
        <v>Teenger</v>
      </c>
      <c r="D135" t="s">
        <v>18</v>
      </c>
      <c r="E135" t="s">
        <v>28</v>
      </c>
      <c r="F135" t="s">
        <v>25</v>
      </c>
      <c r="G135" s="1">
        <v>45601</v>
      </c>
      <c r="H135" s="1">
        <v>45608</v>
      </c>
      <c r="I135" s="2">
        <f>Table3[[#This Row],[Discharge_Date]]-Table3[[#This Row],[Admission_Date]]</f>
        <v>7</v>
      </c>
      <c r="J135">
        <v>111</v>
      </c>
      <c r="K135" t="s">
        <v>46</v>
      </c>
      <c r="L135" t="s">
        <v>26</v>
      </c>
      <c r="M135">
        <f>IF(Table3[[#This Row],[Treatment_Success]]="Yes",1,0)</f>
        <v>0</v>
      </c>
      <c r="N135">
        <v>64898</v>
      </c>
    </row>
    <row r="136" spans="1:14" x14ac:dyDescent="0.35">
      <c r="A136" t="s">
        <v>183</v>
      </c>
      <c r="B136">
        <v>59</v>
      </c>
      <c r="C136" t="str">
        <f>_xlfn.IFS(Table3[[#This Row],[Age]]&lt;=10, "Child",Table3[[#This Row],[Age]]&lt;18, "Teenger", Table3[[#This Row],[Age]]&lt;30, "Middle Age", Table3[[#This Row],[Age]]&lt; 60,"Adult",Table3[[#This Row],[Age]],"Senior Citizen")</f>
        <v>Adult</v>
      </c>
      <c r="D136" t="s">
        <v>12</v>
      </c>
      <c r="E136" t="s">
        <v>31</v>
      </c>
      <c r="F136" t="s">
        <v>25</v>
      </c>
      <c r="G136" s="1">
        <v>45503</v>
      </c>
      <c r="H136" s="1">
        <v>45509</v>
      </c>
      <c r="I136" s="2">
        <f>Table3[[#This Row],[Discharge_Date]]-Table3[[#This Row],[Admission_Date]]</f>
        <v>6</v>
      </c>
      <c r="J136">
        <v>49</v>
      </c>
      <c r="K136" t="s">
        <v>33</v>
      </c>
      <c r="L136" t="s">
        <v>26</v>
      </c>
      <c r="M136">
        <f>IF(Table3[[#This Row],[Treatment_Success]]="Yes",1,0)</f>
        <v>0</v>
      </c>
      <c r="N136">
        <v>86926</v>
      </c>
    </row>
    <row r="137" spans="1:14" x14ac:dyDescent="0.35">
      <c r="A137" t="s">
        <v>184</v>
      </c>
      <c r="B137">
        <v>48</v>
      </c>
      <c r="C137" t="str">
        <f>_xlfn.IFS(Table3[[#This Row],[Age]]&lt;=10, "Child",Table3[[#This Row],[Age]]&lt;18, "Teenger", Table3[[#This Row],[Age]]&lt;30, "Middle Age", Table3[[#This Row],[Age]]&lt; 60,"Adult",Table3[[#This Row],[Age]],"Senior Citizen")</f>
        <v>Adult</v>
      </c>
      <c r="D137" t="s">
        <v>18</v>
      </c>
      <c r="E137" t="s">
        <v>31</v>
      </c>
      <c r="F137" t="s">
        <v>45</v>
      </c>
      <c r="G137" s="1">
        <v>45632</v>
      </c>
      <c r="H137" s="1">
        <v>45637</v>
      </c>
      <c r="I137" s="2">
        <f>Table3[[#This Row],[Discharge_Date]]-Table3[[#This Row],[Admission_Date]]</f>
        <v>5</v>
      </c>
      <c r="J137">
        <v>47</v>
      </c>
      <c r="K137" t="s">
        <v>15</v>
      </c>
      <c r="L137" t="s">
        <v>16</v>
      </c>
      <c r="M137">
        <f>IF(Table3[[#This Row],[Treatment_Success]]="Yes",1,0)</f>
        <v>1</v>
      </c>
      <c r="N137">
        <v>118213</v>
      </c>
    </row>
    <row r="138" spans="1:14" x14ac:dyDescent="0.35">
      <c r="A138" t="s">
        <v>185</v>
      </c>
      <c r="B138">
        <v>48</v>
      </c>
      <c r="C138" t="str">
        <f>_xlfn.IFS(Table3[[#This Row],[Age]]&lt;=10, "Child",Table3[[#This Row],[Age]]&lt;18, "Teenger", Table3[[#This Row],[Age]]&lt;30, "Middle Age", Table3[[#This Row],[Age]]&lt; 60,"Adult",Table3[[#This Row],[Age]],"Senior Citizen")</f>
        <v>Adult</v>
      </c>
      <c r="D138" t="s">
        <v>18</v>
      </c>
      <c r="E138" t="s">
        <v>28</v>
      </c>
      <c r="F138" t="s">
        <v>52</v>
      </c>
      <c r="G138" s="1">
        <v>45341</v>
      </c>
      <c r="H138" s="1">
        <v>45353</v>
      </c>
      <c r="I138" s="2">
        <f>Table3[[#This Row],[Discharge_Date]]-Table3[[#This Row],[Admission_Date]]</f>
        <v>12</v>
      </c>
      <c r="J138">
        <v>288</v>
      </c>
      <c r="K138" t="s">
        <v>33</v>
      </c>
      <c r="L138" t="s">
        <v>16</v>
      </c>
      <c r="M138">
        <f>IF(Table3[[#This Row],[Treatment_Success]]="Yes",1,0)</f>
        <v>1</v>
      </c>
      <c r="N138">
        <v>112691</v>
      </c>
    </row>
    <row r="139" spans="1:14" x14ac:dyDescent="0.35">
      <c r="A139" t="s">
        <v>186</v>
      </c>
      <c r="B139">
        <v>86</v>
      </c>
      <c r="C139" t="str">
        <f>_xlfn.IFS(Table3[[#This Row],[Age]]&lt;=10, "Child",Table3[[#This Row],[Age]]&lt;18, "Teenger", Table3[[#This Row],[Age]]&lt;30, "Middle Age", Table3[[#This Row],[Age]]&lt; 60,"Adult",Table3[[#This Row],[Age]],"Senior Citizen")</f>
        <v>Senior Citizen</v>
      </c>
      <c r="D139" t="s">
        <v>12</v>
      </c>
      <c r="E139" t="s">
        <v>24</v>
      </c>
      <c r="F139" t="s">
        <v>83</v>
      </c>
      <c r="G139" s="1">
        <v>45473</v>
      </c>
      <c r="H139" s="1">
        <v>45487</v>
      </c>
      <c r="I139" s="2">
        <f>Table3[[#This Row],[Discharge_Date]]-Table3[[#This Row],[Admission_Date]]</f>
        <v>14</v>
      </c>
      <c r="J139">
        <v>160</v>
      </c>
      <c r="K139" t="s">
        <v>33</v>
      </c>
      <c r="L139" t="s">
        <v>16</v>
      </c>
      <c r="M139">
        <f>IF(Table3[[#This Row],[Treatment_Success]]="Yes",1,0)</f>
        <v>1</v>
      </c>
      <c r="N139">
        <v>156497</v>
      </c>
    </row>
    <row r="140" spans="1:14" x14ac:dyDescent="0.35">
      <c r="A140" t="s">
        <v>187</v>
      </c>
      <c r="B140">
        <v>20</v>
      </c>
      <c r="C140" t="str">
        <f>_xlfn.IFS(Table3[[#This Row],[Age]]&lt;=10, "Child",Table3[[#This Row],[Age]]&lt;18, "Teenger", Table3[[#This Row],[Age]]&lt;30, "Middle Age", Table3[[#This Row],[Age]]&lt; 60,"Adult",Table3[[#This Row],[Age]],"Senior Citizen")</f>
        <v>Middle Age</v>
      </c>
      <c r="D140" t="s">
        <v>12</v>
      </c>
      <c r="E140" t="s">
        <v>13</v>
      </c>
      <c r="F140" t="s">
        <v>90</v>
      </c>
      <c r="G140" s="1">
        <v>45551</v>
      </c>
      <c r="H140" s="1">
        <v>45555</v>
      </c>
      <c r="I140" s="2">
        <f>Table3[[#This Row],[Discharge_Date]]-Table3[[#This Row],[Admission_Date]]</f>
        <v>4</v>
      </c>
      <c r="J140">
        <v>180</v>
      </c>
      <c r="K140" t="s">
        <v>33</v>
      </c>
      <c r="L140" t="s">
        <v>16</v>
      </c>
      <c r="M140">
        <f>IF(Table3[[#This Row],[Treatment_Success]]="Yes",1,0)</f>
        <v>1</v>
      </c>
      <c r="N140">
        <v>78024</v>
      </c>
    </row>
    <row r="141" spans="1:14" x14ac:dyDescent="0.35">
      <c r="A141" t="s">
        <v>188</v>
      </c>
      <c r="B141">
        <v>55</v>
      </c>
      <c r="C141" t="str">
        <f>_xlfn.IFS(Table3[[#This Row],[Age]]&lt;=10, "Child",Table3[[#This Row],[Age]]&lt;18, "Teenger", Table3[[#This Row],[Age]]&lt;30, "Middle Age", Table3[[#This Row],[Age]]&lt; 60,"Adult",Table3[[#This Row],[Age]],"Senior Citizen")</f>
        <v>Adult</v>
      </c>
      <c r="D141" t="s">
        <v>18</v>
      </c>
      <c r="E141" t="s">
        <v>28</v>
      </c>
      <c r="F141" t="s">
        <v>54</v>
      </c>
      <c r="G141" s="1">
        <v>45585</v>
      </c>
      <c r="H141" s="1">
        <v>45589</v>
      </c>
      <c r="I141" s="2">
        <f>Table3[[#This Row],[Discharge_Date]]-Table3[[#This Row],[Admission_Date]]</f>
        <v>4</v>
      </c>
      <c r="J141">
        <v>137</v>
      </c>
      <c r="K141" t="s">
        <v>15</v>
      </c>
      <c r="L141" t="s">
        <v>16</v>
      </c>
      <c r="M141">
        <f>IF(Table3[[#This Row],[Treatment_Success]]="Yes",1,0)</f>
        <v>1</v>
      </c>
      <c r="N141">
        <v>76636</v>
      </c>
    </row>
    <row r="142" spans="1:14" x14ac:dyDescent="0.35">
      <c r="A142" t="s">
        <v>189</v>
      </c>
      <c r="B142">
        <v>40</v>
      </c>
      <c r="C142" t="str">
        <f>_xlfn.IFS(Table3[[#This Row],[Age]]&lt;=10, "Child",Table3[[#This Row],[Age]]&lt;18, "Teenger", Table3[[#This Row],[Age]]&lt;30, "Middle Age", Table3[[#This Row],[Age]]&lt; 60,"Adult",Table3[[#This Row],[Age]],"Senior Citizen")</f>
        <v>Adult</v>
      </c>
      <c r="D142" t="s">
        <v>12</v>
      </c>
      <c r="E142" t="s">
        <v>38</v>
      </c>
      <c r="F142" t="s">
        <v>80</v>
      </c>
      <c r="G142" s="1">
        <v>45651</v>
      </c>
      <c r="H142" s="1">
        <v>45664</v>
      </c>
      <c r="I142" s="2">
        <f>Table3[[#This Row],[Discharge_Date]]-Table3[[#This Row],[Admission_Date]]</f>
        <v>13</v>
      </c>
      <c r="J142">
        <v>93</v>
      </c>
      <c r="K142" t="s">
        <v>36</v>
      </c>
      <c r="L142" t="s">
        <v>26</v>
      </c>
      <c r="M142">
        <f>IF(Table3[[#This Row],[Treatment_Success]]="Yes",1,0)</f>
        <v>0</v>
      </c>
      <c r="N142">
        <v>23241</v>
      </c>
    </row>
    <row r="143" spans="1:14" x14ac:dyDescent="0.35">
      <c r="A143" t="s">
        <v>190</v>
      </c>
      <c r="B143">
        <v>82</v>
      </c>
      <c r="C143" t="str">
        <f>_xlfn.IFS(Table3[[#This Row],[Age]]&lt;=10, "Child",Table3[[#This Row],[Age]]&lt;18, "Teenger", Table3[[#This Row],[Age]]&lt;30, "Middle Age", Table3[[#This Row],[Age]]&lt; 60,"Adult",Table3[[#This Row],[Age]],"Senior Citizen")</f>
        <v>Senior Citizen</v>
      </c>
      <c r="D143" t="s">
        <v>18</v>
      </c>
      <c r="E143" t="s">
        <v>24</v>
      </c>
      <c r="F143" t="s">
        <v>25</v>
      </c>
      <c r="G143" s="1">
        <v>45364</v>
      </c>
      <c r="H143" s="1">
        <v>45376</v>
      </c>
      <c r="I143" s="2">
        <f>Table3[[#This Row],[Discharge_Date]]-Table3[[#This Row],[Admission_Date]]</f>
        <v>12</v>
      </c>
      <c r="J143">
        <v>272</v>
      </c>
      <c r="K143" t="s">
        <v>36</v>
      </c>
      <c r="L143" t="s">
        <v>26</v>
      </c>
      <c r="M143">
        <f>IF(Table3[[#This Row],[Treatment_Success]]="Yes",1,0)</f>
        <v>0</v>
      </c>
      <c r="N143">
        <v>115056</v>
      </c>
    </row>
    <row r="144" spans="1:14" x14ac:dyDescent="0.35">
      <c r="A144" t="s">
        <v>191</v>
      </c>
      <c r="B144">
        <v>21</v>
      </c>
      <c r="C144" t="str">
        <f>_xlfn.IFS(Table3[[#This Row],[Age]]&lt;=10, "Child",Table3[[#This Row],[Age]]&lt;18, "Teenger", Table3[[#This Row],[Age]]&lt;30, "Middle Age", Table3[[#This Row],[Age]]&lt; 60,"Adult",Table3[[#This Row],[Age]],"Senior Citizen")</f>
        <v>Middle Age</v>
      </c>
      <c r="D144" t="s">
        <v>12</v>
      </c>
      <c r="E144" t="s">
        <v>38</v>
      </c>
      <c r="F144" t="s">
        <v>25</v>
      </c>
      <c r="G144" s="1">
        <v>45524</v>
      </c>
      <c r="H144" s="1">
        <v>45530</v>
      </c>
      <c r="I144" s="2">
        <f>Table3[[#This Row],[Discharge_Date]]-Table3[[#This Row],[Admission_Date]]</f>
        <v>6</v>
      </c>
      <c r="J144">
        <v>167</v>
      </c>
      <c r="K144" t="s">
        <v>15</v>
      </c>
      <c r="L144" t="s">
        <v>16</v>
      </c>
      <c r="M144">
        <f>IF(Table3[[#This Row],[Treatment_Success]]="Yes",1,0)</f>
        <v>1</v>
      </c>
      <c r="N144">
        <v>45784</v>
      </c>
    </row>
    <row r="145" spans="1:14" x14ac:dyDescent="0.35">
      <c r="A145" t="s">
        <v>192</v>
      </c>
      <c r="B145">
        <v>80</v>
      </c>
      <c r="C145" t="str">
        <f>_xlfn.IFS(Table3[[#This Row],[Age]]&lt;=10, "Child",Table3[[#This Row],[Age]]&lt;18, "Teenger", Table3[[#This Row],[Age]]&lt;30, "Middle Age", Table3[[#This Row],[Age]]&lt; 60,"Adult",Table3[[#This Row],[Age]],"Senior Citizen")</f>
        <v>Senior Citizen</v>
      </c>
      <c r="D145" t="s">
        <v>18</v>
      </c>
      <c r="E145" t="s">
        <v>24</v>
      </c>
      <c r="F145" t="s">
        <v>32</v>
      </c>
      <c r="G145" s="1">
        <v>45372</v>
      </c>
      <c r="H145" s="1">
        <v>45385</v>
      </c>
      <c r="I145" s="2">
        <f>Table3[[#This Row],[Discharge_Date]]-Table3[[#This Row],[Admission_Date]]</f>
        <v>13</v>
      </c>
      <c r="J145">
        <v>227</v>
      </c>
      <c r="K145" t="s">
        <v>46</v>
      </c>
      <c r="L145" t="s">
        <v>26</v>
      </c>
      <c r="M145">
        <f>IF(Table3[[#This Row],[Treatment_Success]]="Yes",1,0)</f>
        <v>0</v>
      </c>
      <c r="N145">
        <v>164141</v>
      </c>
    </row>
    <row r="146" spans="1:14" x14ac:dyDescent="0.35">
      <c r="A146" t="s">
        <v>193</v>
      </c>
      <c r="B146">
        <v>35</v>
      </c>
      <c r="C146" t="str">
        <f>_xlfn.IFS(Table3[[#This Row],[Age]]&lt;=10, "Child",Table3[[#This Row],[Age]]&lt;18, "Teenger", Table3[[#This Row],[Age]]&lt;30, "Middle Age", Table3[[#This Row],[Age]]&lt; 60,"Adult",Table3[[#This Row],[Age]],"Senior Citizen")</f>
        <v>Adult</v>
      </c>
      <c r="D146" t="s">
        <v>18</v>
      </c>
      <c r="E146" t="s">
        <v>28</v>
      </c>
      <c r="F146" t="s">
        <v>90</v>
      </c>
      <c r="G146" s="1">
        <v>45518</v>
      </c>
      <c r="H146" s="1">
        <v>45525</v>
      </c>
      <c r="I146" s="2">
        <f>Table3[[#This Row],[Discharge_Date]]-Table3[[#This Row],[Admission_Date]]</f>
        <v>7</v>
      </c>
      <c r="J146">
        <v>177</v>
      </c>
      <c r="K146" t="s">
        <v>46</v>
      </c>
      <c r="L146" t="s">
        <v>16</v>
      </c>
      <c r="M146">
        <f>IF(Table3[[#This Row],[Treatment_Success]]="Yes",1,0)</f>
        <v>1</v>
      </c>
      <c r="N146">
        <v>79251</v>
      </c>
    </row>
    <row r="147" spans="1:14" x14ac:dyDescent="0.35">
      <c r="A147" t="s">
        <v>194</v>
      </c>
      <c r="B147">
        <v>76</v>
      </c>
      <c r="C147" t="str">
        <f>_xlfn.IFS(Table3[[#This Row],[Age]]&lt;=10, "Child",Table3[[#This Row],[Age]]&lt;18, "Teenger", Table3[[#This Row],[Age]]&lt;30, "Middle Age", Table3[[#This Row],[Age]]&lt; 60,"Adult",Table3[[#This Row],[Age]],"Senior Citizen")</f>
        <v>Senior Citizen</v>
      </c>
      <c r="D147" t="s">
        <v>12</v>
      </c>
      <c r="E147" t="s">
        <v>28</v>
      </c>
      <c r="F147" t="s">
        <v>54</v>
      </c>
      <c r="G147" s="1">
        <v>45639</v>
      </c>
      <c r="H147" s="1">
        <v>45650</v>
      </c>
      <c r="I147" s="2">
        <f>Table3[[#This Row],[Discharge_Date]]-Table3[[#This Row],[Admission_Date]]</f>
        <v>11</v>
      </c>
      <c r="J147">
        <v>158</v>
      </c>
      <c r="K147" t="s">
        <v>15</v>
      </c>
      <c r="L147" t="s">
        <v>16</v>
      </c>
      <c r="M147">
        <f>IF(Table3[[#This Row],[Treatment_Success]]="Yes",1,0)</f>
        <v>1</v>
      </c>
      <c r="N147">
        <v>108615</v>
      </c>
    </row>
    <row r="148" spans="1:14" x14ac:dyDescent="0.35">
      <c r="A148" t="s">
        <v>195</v>
      </c>
      <c r="B148">
        <v>1</v>
      </c>
      <c r="C148" t="str">
        <f>_xlfn.IFS(Table3[[#This Row],[Age]]&lt;=10, "Child",Table3[[#This Row],[Age]]&lt;18, "Teenger", Table3[[#This Row],[Age]]&lt;30, "Middle Age", Table3[[#This Row],[Age]]&lt; 60,"Adult",Table3[[#This Row],[Age]],"Senior Citizen")</f>
        <v>Child</v>
      </c>
      <c r="D148" t="s">
        <v>18</v>
      </c>
      <c r="E148" t="s">
        <v>38</v>
      </c>
      <c r="F148" t="s">
        <v>29</v>
      </c>
      <c r="G148" s="1">
        <v>45598</v>
      </c>
      <c r="H148" s="1">
        <v>45599</v>
      </c>
      <c r="I148" s="2">
        <f>Table3[[#This Row],[Discharge_Date]]-Table3[[#This Row],[Admission_Date]]</f>
        <v>1</v>
      </c>
      <c r="J148">
        <v>71</v>
      </c>
      <c r="K148" t="s">
        <v>33</v>
      </c>
      <c r="L148" t="s">
        <v>16</v>
      </c>
      <c r="M148">
        <f>IF(Table3[[#This Row],[Treatment_Success]]="Yes",1,0)</f>
        <v>1</v>
      </c>
      <c r="N148">
        <v>91015</v>
      </c>
    </row>
    <row r="149" spans="1:14" x14ac:dyDescent="0.35">
      <c r="A149" t="s">
        <v>196</v>
      </c>
      <c r="B149">
        <v>64</v>
      </c>
      <c r="C149" t="str">
        <f>_xlfn.IFS(Table3[[#This Row],[Age]]&lt;=10, "Child",Table3[[#This Row],[Age]]&lt;18, "Teenger", Table3[[#This Row],[Age]]&lt;30, "Middle Age", Table3[[#This Row],[Age]]&lt; 60,"Adult",Table3[[#This Row],[Age]],"Senior Citizen")</f>
        <v>Senior Citizen</v>
      </c>
      <c r="D149" t="s">
        <v>12</v>
      </c>
      <c r="E149" t="s">
        <v>13</v>
      </c>
      <c r="F149" t="s">
        <v>106</v>
      </c>
      <c r="G149" s="1">
        <v>45353</v>
      </c>
      <c r="H149" s="1">
        <v>45354</v>
      </c>
      <c r="I149" s="2">
        <f>Table3[[#This Row],[Discharge_Date]]-Table3[[#This Row],[Admission_Date]]</f>
        <v>1</v>
      </c>
      <c r="J149">
        <v>195</v>
      </c>
      <c r="K149" t="s">
        <v>36</v>
      </c>
      <c r="L149" t="s">
        <v>16</v>
      </c>
      <c r="M149">
        <f>IF(Table3[[#This Row],[Treatment_Success]]="Yes",1,0)</f>
        <v>1</v>
      </c>
      <c r="N149">
        <v>23894</v>
      </c>
    </row>
    <row r="150" spans="1:14" x14ac:dyDescent="0.35">
      <c r="A150" t="s">
        <v>197</v>
      </c>
      <c r="B150">
        <v>6</v>
      </c>
      <c r="C150" t="str">
        <f>_xlfn.IFS(Table3[[#This Row],[Age]]&lt;=10, "Child",Table3[[#This Row],[Age]]&lt;18, "Teenger", Table3[[#This Row],[Age]]&lt;30, "Middle Age", Table3[[#This Row],[Age]]&lt; 60,"Adult",Table3[[#This Row],[Age]],"Senior Citizen")</f>
        <v>Child</v>
      </c>
      <c r="D150" t="s">
        <v>12</v>
      </c>
      <c r="E150" t="s">
        <v>24</v>
      </c>
      <c r="F150" t="s">
        <v>20</v>
      </c>
      <c r="G150" s="1">
        <v>45495</v>
      </c>
      <c r="H150" s="1">
        <v>45509</v>
      </c>
      <c r="I150" s="2">
        <f>Table3[[#This Row],[Discharge_Date]]-Table3[[#This Row],[Admission_Date]]</f>
        <v>14</v>
      </c>
      <c r="J150">
        <v>40</v>
      </c>
      <c r="K150" t="s">
        <v>33</v>
      </c>
      <c r="L150" t="s">
        <v>26</v>
      </c>
      <c r="M150">
        <f>IF(Table3[[#This Row],[Treatment_Success]]="Yes",1,0)</f>
        <v>0</v>
      </c>
      <c r="N150">
        <v>155313</v>
      </c>
    </row>
    <row r="151" spans="1:14" x14ac:dyDescent="0.35">
      <c r="A151" t="s">
        <v>198</v>
      </c>
      <c r="B151">
        <v>82</v>
      </c>
      <c r="C151" t="str">
        <f>_xlfn.IFS(Table3[[#This Row],[Age]]&lt;=10, "Child",Table3[[#This Row],[Age]]&lt;18, "Teenger", Table3[[#This Row],[Age]]&lt;30, "Middle Age", Table3[[#This Row],[Age]]&lt; 60,"Adult",Table3[[#This Row],[Age]],"Senior Citizen")</f>
        <v>Senior Citizen</v>
      </c>
      <c r="D151" t="s">
        <v>12</v>
      </c>
      <c r="E151" t="s">
        <v>38</v>
      </c>
      <c r="F151" t="s">
        <v>90</v>
      </c>
      <c r="G151" s="1">
        <v>45499</v>
      </c>
      <c r="H151" s="1">
        <v>45511</v>
      </c>
      <c r="I151" s="2">
        <f>Table3[[#This Row],[Discharge_Date]]-Table3[[#This Row],[Admission_Date]]</f>
        <v>12</v>
      </c>
      <c r="J151">
        <v>208</v>
      </c>
      <c r="K151" t="s">
        <v>15</v>
      </c>
      <c r="L151" t="s">
        <v>16</v>
      </c>
      <c r="M151">
        <f>IF(Table3[[#This Row],[Treatment_Success]]="Yes",1,0)</f>
        <v>1</v>
      </c>
      <c r="N151">
        <v>50055</v>
      </c>
    </row>
    <row r="152" spans="1:14" x14ac:dyDescent="0.35">
      <c r="A152" t="s">
        <v>199</v>
      </c>
      <c r="B152">
        <v>89</v>
      </c>
      <c r="C152" t="str">
        <f>_xlfn.IFS(Table3[[#This Row],[Age]]&lt;=10, "Child",Table3[[#This Row],[Age]]&lt;18, "Teenger", Table3[[#This Row],[Age]]&lt;30, "Middle Age", Table3[[#This Row],[Age]]&lt; 60,"Adult",Table3[[#This Row],[Age]],"Senior Citizen")</f>
        <v>Senior Citizen</v>
      </c>
      <c r="D152" t="s">
        <v>12</v>
      </c>
      <c r="E152" t="s">
        <v>24</v>
      </c>
      <c r="F152" t="s">
        <v>93</v>
      </c>
      <c r="G152" s="1">
        <v>45608</v>
      </c>
      <c r="H152" s="1">
        <v>45616</v>
      </c>
      <c r="I152" s="2">
        <f>Table3[[#This Row],[Discharge_Date]]-Table3[[#This Row],[Admission_Date]]</f>
        <v>8</v>
      </c>
      <c r="J152">
        <v>55</v>
      </c>
      <c r="K152" t="s">
        <v>36</v>
      </c>
      <c r="L152" t="s">
        <v>26</v>
      </c>
      <c r="M152">
        <f>IF(Table3[[#This Row],[Treatment_Success]]="Yes",1,0)</f>
        <v>0</v>
      </c>
      <c r="N152">
        <v>159369</v>
      </c>
    </row>
    <row r="153" spans="1:14" x14ac:dyDescent="0.35">
      <c r="A153" t="s">
        <v>200</v>
      </c>
      <c r="B153">
        <v>11</v>
      </c>
      <c r="C153" t="str">
        <f>_xlfn.IFS(Table3[[#This Row],[Age]]&lt;=10, "Child",Table3[[#This Row],[Age]]&lt;18, "Teenger", Table3[[#This Row],[Age]]&lt;30, "Middle Age", Table3[[#This Row],[Age]]&lt; 60,"Adult",Table3[[#This Row],[Age]],"Senior Citizen")</f>
        <v>Teenger</v>
      </c>
      <c r="D153" t="s">
        <v>12</v>
      </c>
      <c r="E153" t="s">
        <v>38</v>
      </c>
      <c r="F153" t="s">
        <v>25</v>
      </c>
      <c r="G153" s="1">
        <v>45497</v>
      </c>
      <c r="H153" s="1">
        <v>45506</v>
      </c>
      <c r="I153" s="2">
        <f>Table3[[#This Row],[Discharge_Date]]-Table3[[#This Row],[Admission_Date]]</f>
        <v>9</v>
      </c>
      <c r="J153">
        <v>174</v>
      </c>
      <c r="K153" t="s">
        <v>36</v>
      </c>
      <c r="L153" t="s">
        <v>16</v>
      </c>
      <c r="M153">
        <f>IF(Table3[[#This Row],[Treatment_Success]]="Yes",1,0)</f>
        <v>1</v>
      </c>
      <c r="N153">
        <v>49074</v>
      </c>
    </row>
    <row r="154" spans="1:14" x14ac:dyDescent="0.35">
      <c r="A154" t="s">
        <v>201</v>
      </c>
      <c r="B154">
        <v>82</v>
      </c>
      <c r="C154" t="str">
        <f>_xlfn.IFS(Table3[[#This Row],[Age]]&lt;=10, "Child",Table3[[#This Row],[Age]]&lt;18, "Teenger", Table3[[#This Row],[Age]]&lt;30, "Middle Age", Table3[[#This Row],[Age]]&lt; 60,"Adult",Table3[[#This Row],[Age]],"Senior Citizen")</f>
        <v>Senior Citizen</v>
      </c>
      <c r="D154" t="s">
        <v>18</v>
      </c>
      <c r="E154" t="s">
        <v>28</v>
      </c>
      <c r="F154" t="s">
        <v>49</v>
      </c>
      <c r="G154" s="1">
        <v>45331</v>
      </c>
      <c r="H154" s="1">
        <v>45340</v>
      </c>
      <c r="I154" s="2">
        <f>Table3[[#This Row],[Discharge_Date]]-Table3[[#This Row],[Admission_Date]]</f>
        <v>9</v>
      </c>
      <c r="J154">
        <v>100</v>
      </c>
      <c r="K154" t="s">
        <v>33</v>
      </c>
      <c r="L154" t="s">
        <v>16</v>
      </c>
      <c r="M154">
        <f>IF(Table3[[#This Row],[Treatment_Success]]="Yes",1,0)</f>
        <v>1</v>
      </c>
      <c r="N154">
        <v>195678</v>
      </c>
    </row>
    <row r="155" spans="1:14" x14ac:dyDescent="0.35">
      <c r="A155" t="s">
        <v>202</v>
      </c>
      <c r="B155">
        <v>19</v>
      </c>
      <c r="C155" t="str">
        <f>_xlfn.IFS(Table3[[#This Row],[Age]]&lt;=10, "Child",Table3[[#This Row],[Age]]&lt;18, "Teenger", Table3[[#This Row],[Age]]&lt;30, "Middle Age", Table3[[#This Row],[Age]]&lt; 60,"Adult",Table3[[#This Row],[Age]],"Senior Citizen")</f>
        <v>Middle Age</v>
      </c>
      <c r="D155" t="s">
        <v>18</v>
      </c>
      <c r="E155" t="s">
        <v>24</v>
      </c>
      <c r="F155" t="s">
        <v>106</v>
      </c>
      <c r="G155" s="1">
        <v>45622</v>
      </c>
      <c r="H155" s="1">
        <v>45636</v>
      </c>
      <c r="I155" s="2">
        <f>Table3[[#This Row],[Discharge_Date]]-Table3[[#This Row],[Admission_Date]]</f>
        <v>14</v>
      </c>
      <c r="J155">
        <v>132</v>
      </c>
      <c r="K155" t="s">
        <v>36</v>
      </c>
      <c r="L155" t="s">
        <v>16</v>
      </c>
      <c r="M155">
        <f>IF(Table3[[#This Row],[Treatment_Success]]="Yes",1,0)</f>
        <v>1</v>
      </c>
      <c r="N155">
        <v>162915</v>
      </c>
    </row>
    <row r="156" spans="1:14" x14ac:dyDescent="0.35">
      <c r="A156" t="s">
        <v>203</v>
      </c>
      <c r="B156">
        <v>84</v>
      </c>
      <c r="C156" t="str">
        <f>_xlfn.IFS(Table3[[#This Row],[Age]]&lt;=10, "Child",Table3[[#This Row],[Age]]&lt;18, "Teenger", Table3[[#This Row],[Age]]&lt;30, "Middle Age", Table3[[#This Row],[Age]]&lt; 60,"Adult",Table3[[#This Row],[Age]],"Senior Citizen")</f>
        <v>Senior Citizen</v>
      </c>
      <c r="D156" t="s">
        <v>18</v>
      </c>
      <c r="E156" t="s">
        <v>13</v>
      </c>
      <c r="F156" t="s">
        <v>22</v>
      </c>
      <c r="G156" s="1">
        <v>45370</v>
      </c>
      <c r="H156" s="1">
        <v>45383</v>
      </c>
      <c r="I156" s="2">
        <f>Table3[[#This Row],[Discharge_Date]]-Table3[[#This Row],[Admission_Date]]</f>
        <v>13</v>
      </c>
      <c r="J156">
        <v>253</v>
      </c>
      <c r="K156" t="s">
        <v>46</v>
      </c>
      <c r="L156" t="s">
        <v>26</v>
      </c>
      <c r="M156">
        <f>IF(Table3[[#This Row],[Treatment_Success]]="Yes",1,0)</f>
        <v>0</v>
      </c>
      <c r="N156">
        <v>183555</v>
      </c>
    </row>
    <row r="157" spans="1:14" x14ac:dyDescent="0.35">
      <c r="A157" t="s">
        <v>204</v>
      </c>
      <c r="B157">
        <v>82</v>
      </c>
      <c r="C157" t="str">
        <f>_xlfn.IFS(Table3[[#This Row],[Age]]&lt;=10, "Child",Table3[[#This Row],[Age]]&lt;18, "Teenger", Table3[[#This Row],[Age]]&lt;30, "Middle Age", Table3[[#This Row],[Age]]&lt; 60,"Adult",Table3[[#This Row],[Age]],"Senior Citizen")</f>
        <v>Senior Citizen</v>
      </c>
      <c r="D157" t="s">
        <v>12</v>
      </c>
      <c r="E157" t="s">
        <v>38</v>
      </c>
      <c r="F157" t="s">
        <v>106</v>
      </c>
      <c r="G157" s="1">
        <v>45581</v>
      </c>
      <c r="H157" s="1">
        <v>45592</v>
      </c>
      <c r="I157" s="2">
        <f>Table3[[#This Row],[Discharge_Date]]-Table3[[#This Row],[Admission_Date]]</f>
        <v>11</v>
      </c>
      <c r="J157">
        <v>226</v>
      </c>
      <c r="K157" t="s">
        <v>15</v>
      </c>
      <c r="L157" t="s">
        <v>26</v>
      </c>
      <c r="M157">
        <f>IF(Table3[[#This Row],[Treatment_Success]]="Yes",1,0)</f>
        <v>0</v>
      </c>
      <c r="N157">
        <v>120922</v>
      </c>
    </row>
    <row r="158" spans="1:14" x14ac:dyDescent="0.35">
      <c r="A158" t="s">
        <v>205</v>
      </c>
      <c r="B158">
        <v>36</v>
      </c>
      <c r="C158" t="str">
        <f>_xlfn.IFS(Table3[[#This Row],[Age]]&lt;=10, "Child",Table3[[#This Row],[Age]]&lt;18, "Teenger", Table3[[#This Row],[Age]]&lt;30, "Middle Age", Table3[[#This Row],[Age]]&lt; 60,"Adult",Table3[[#This Row],[Age]],"Senior Citizen")</f>
        <v>Adult</v>
      </c>
      <c r="D158" t="s">
        <v>18</v>
      </c>
      <c r="E158" t="s">
        <v>38</v>
      </c>
      <c r="F158" t="s">
        <v>49</v>
      </c>
      <c r="G158" s="1">
        <v>45615</v>
      </c>
      <c r="H158" s="1">
        <v>45620</v>
      </c>
      <c r="I158" s="2">
        <f>Table3[[#This Row],[Discharge_Date]]-Table3[[#This Row],[Admission_Date]]</f>
        <v>5</v>
      </c>
      <c r="J158">
        <v>38</v>
      </c>
      <c r="K158" t="s">
        <v>33</v>
      </c>
      <c r="L158" t="s">
        <v>26</v>
      </c>
      <c r="M158">
        <f>IF(Table3[[#This Row],[Treatment_Success]]="Yes",1,0)</f>
        <v>0</v>
      </c>
      <c r="N158">
        <v>123466</v>
      </c>
    </row>
    <row r="159" spans="1:14" x14ac:dyDescent="0.35">
      <c r="A159" t="s">
        <v>206</v>
      </c>
      <c r="B159">
        <v>48</v>
      </c>
      <c r="C159" t="str">
        <f>_xlfn.IFS(Table3[[#This Row],[Age]]&lt;=10, "Child",Table3[[#This Row],[Age]]&lt;18, "Teenger", Table3[[#This Row],[Age]]&lt;30, "Middle Age", Table3[[#This Row],[Age]]&lt; 60,"Adult",Table3[[#This Row],[Age]],"Senior Citizen")</f>
        <v>Adult</v>
      </c>
      <c r="D159" t="s">
        <v>12</v>
      </c>
      <c r="E159" t="s">
        <v>24</v>
      </c>
      <c r="F159" t="s">
        <v>68</v>
      </c>
      <c r="G159" s="1">
        <v>45311</v>
      </c>
      <c r="H159" s="1">
        <v>45312</v>
      </c>
      <c r="I159" s="2">
        <f>Table3[[#This Row],[Discharge_Date]]-Table3[[#This Row],[Admission_Date]]</f>
        <v>1</v>
      </c>
      <c r="J159">
        <v>47</v>
      </c>
      <c r="K159" t="s">
        <v>46</v>
      </c>
      <c r="L159" t="s">
        <v>26</v>
      </c>
      <c r="M159">
        <f>IF(Table3[[#This Row],[Treatment_Success]]="Yes",1,0)</f>
        <v>0</v>
      </c>
      <c r="N159">
        <v>157129</v>
      </c>
    </row>
    <row r="160" spans="1:14" x14ac:dyDescent="0.35">
      <c r="A160" t="s">
        <v>207</v>
      </c>
      <c r="B160">
        <v>6</v>
      </c>
      <c r="C160" t="str">
        <f>_xlfn.IFS(Table3[[#This Row],[Age]]&lt;=10, "Child",Table3[[#This Row],[Age]]&lt;18, "Teenger", Table3[[#This Row],[Age]]&lt;30, "Middle Age", Table3[[#This Row],[Age]]&lt; 60,"Adult",Table3[[#This Row],[Age]],"Senior Citizen")</f>
        <v>Child</v>
      </c>
      <c r="D160" t="s">
        <v>12</v>
      </c>
      <c r="E160" t="s">
        <v>28</v>
      </c>
      <c r="F160" t="s">
        <v>68</v>
      </c>
      <c r="G160" s="1">
        <v>45575</v>
      </c>
      <c r="H160" s="1">
        <v>45588</v>
      </c>
      <c r="I160" s="2">
        <f>Table3[[#This Row],[Discharge_Date]]-Table3[[#This Row],[Admission_Date]]</f>
        <v>13</v>
      </c>
      <c r="J160">
        <v>97</v>
      </c>
      <c r="K160" t="s">
        <v>33</v>
      </c>
      <c r="L160" t="s">
        <v>26</v>
      </c>
      <c r="M160">
        <f>IF(Table3[[#This Row],[Treatment_Success]]="Yes",1,0)</f>
        <v>0</v>
      </c>
      <c r="N160">
        <v>136430</v>
      </c>
    </row>
    <row r="161" spans="1:14" x14ac:dyDescent="0.35">
      <c r="A161" t="s">
        <v>208</v>
      </c>
      <c r="B161">
        <v>58</v>
      </c>
      <c r="C161" t="str">
        <f>_xlfn.IFS(Table3[[#This Row],[Age]]&lt;=10, "Child",Table3[[#This Row],[Age]]&lt;18, "Teenger", Table3[[#This Row],[Age]]&lt;30, "Middle Age", Table3[[#This Row],[Age]]&lt; 60,"Adult",Table3[[#This Row],[Age]],"Senior Citizen")</f>
        <v>Adult</v>
      </c>
      <c r="D161" t="s">
        <v>18</v>
      </c>
      <c r="E161" t="s">
        <v>38</v>
      </c>
      <c r="F161" t="s">
        <v>40</v>
      </c>
      <c r="G161" s="1">
        <v>45369</v>
      </c>
      <c r="H161" s="1">
        <v>45370</v>
      </c>
      <c r="I161" s="2">
        <f>Table3[[#This Row],[Discharge_Date]]-Table3[[#This Row],[Admission_Date]]</f>
        <v>1</v>
      </c>
      <c r="J161">
        <v>44</v>
      </c>
      <c r="K161" t="s">
        <v>36</v>
      </c>
      <c r="L161" t="s">
        <v>16</v>
      </c>
      <c r="M161">
        <f>IF(Table3[[#This Row],[Treatment_Success]]="Yes",1,0)</f>
        <v>1</v>
      </c>
      <c r="N161">
        <v>69944</v>
      </c>
    </row>
    <row r="162" spans="1:14" x14ac:dyDescent="0.35">
      <c r="A162" t="s">
        <v>209</v>
      </c>
      <c r="B162">
        <v>57</v>
      </c>
      <c r="C162" t="str">
        <f>_xlfn.IFS(Table3[[#This Row],[Age]]&lt;=10, "Child",Table3[[#This Row],[Age]]&lt;18, "Teenger", Table3[[#This Row],[Age]]&lt;30, "Middle Age", Table3[[#This Row],[Age]]&lt; 60,"Adult",Table3[[#This Row],[Age]],"Senior Citizen")</f>
        <v>Adult</v>
      </c>
      <c r="D162" t="s">
        <v>18</v>
      </c>
      <c r="E162" t="s">
        <v>38</v>
      </c>
      <c r="F162" t="s">
        <v>63</v>
      </c>
      <c r="G162" s="1">
        <v>45654</v>
      </c>
      <c r="H162" s="1">
        <v>45662</v>
      </c>
      <c r="I162" s="2">
        <f>Table3[[#This Row],[Discharge_Date]]-Table3[[#This Row],[Admission_Date]]</f>
        <v>8</v>
      </c>
      <c r="J162">
        <v>145</v>
      </c>
      <c r="K162" t="s">
        <v>46</v>
      </c>
      <c r="L162" t="s">
        <v>26</v>
      </c>
      <c r="M162">
        <f>IF(Table3[[#This Row],[Treatment_Success]]="Yes",1,0)</f>
        <v>0</v>
      </c>
      <c r="N162">
        <v>93700</v>
      </c>
    </row>
    <row r="163" spans="1:14" x14ac:dyDescent="0.35">
      <c r="A163" t="s">
        <v>210</v>
      </c>
      <c r="B163">
        <v>7</v>
      </c>
      <c r="C163" t="str">
        <f>_xlfn.IFS(Table3[[#This Row],[Age]]&lt;=10, "Child",Table3[[#This Row],[Age]]&lt;18, "Teenger", Table3[[#This Row],[Age]]&lt;30, "Middle Age", Table3[[#This Row],[Age]]&lt; 60,"Adult",Table3[[#This Row],[Age]],"Senior Citizen")</f>
        <v>Child</v>
      </c>
      <c r="D163" t="s">
        <v>12</v>
      </c>
      <c r="E163" t="s">
        <v>24</v>
      </c>
      <c r="F163" t="s">
        <v>95</v>
      </c>
      <c r="G163" s="1">
        <v>45639</v>
      </c>
      <c r="H163" s="1">
        <v>45649</v>
      </c>
      <c r="I163" s="2">
        <f>Table3[[#This Row],[Discharge_Date]]-Table3[[#This Row],[Admission_Date]]</f>
        <v>10</v>
      </c>
      <c r="J163">
        <v>49</v>
      </c>
      <c r="K163" t="s">
        <v>46</v>
      </c>
      <c r="L163" t="s">
        <v>16</v>
      </c>
      <c r="M163">
        <f>IF(Table3[[#This Row],[Treatment_Success]]="Yes",1,0)</f>
        <v>1</v>
      </c>
      <c r="N163">
        <v>71059</v>
      </c>
    </row>
    <row r="164" spans="1:14" x14ac:dyDescent="0.35">
      <c r="A164" t="s">
        <v>211</v>
      </c>
      <c r="B164">
        <v>78</v>
      </c>
      <c r="C164" t="str">
        <f>_xlfn.IFS(Table3[[#This Row],[Age]]&lt;=10, "Child",Table3[[#This Row],[Age]]&lt;18, "Teenger", Table3[[#This Row],[Age]]&lt;30, "Middle Age", Table3[[#This Row],[Age]]&lt; 60,"Adult",Table3[[#This Row],[Age]],"Senior Citizen")</f>
        <v>Senior Citizen</v>
      </c>
      <c r="D164" t="s">
        <v>18</v>
      </c>
      <c r="E164" t="s">
        <v>38</v>
      </c>
      <c r="F164" t="s">
        <v>45</v>
      </c>
      <c r="G164" s="1">
        <v>45628</v>
      </c>
      <c r="H164" s="1">
        <v>45643</v>
      </c>
      <c r="I164" s="2">
        <f>Table3[[#This Row],[Discharge_Date]]-Table3[[#This Row],[Admission_Date]]</f>
        <v>15</v>
      </c>
      <c r="J164">
        <v>299</v>
      </c>
      <c r="K164" t="s">
        <v>36</v>
      </c>
      <c r="L164" t="s">
        <v>16</v>
      </c>
      <c r="M164">
        <f>IF(Table3[[#This Row],[Treatment_Success]]="Yes",1,0)</f>
        <v>1</v>
      </c>
      <c r="N164">
        <v>86325</v>
      </c>
    </row>
    <row r="165" spans="1:14" x14ac:dyDescent="0.35">
      <c r="A165" t="s">
        <v>212</v>
      </c>
      <c r="B165">
        <v>85</v>
      </c>
      <c r="C165" t="str">
        <f>_xlfn.IFS(Table3[[#This Row],[Age]]&lt;=10, "Child",Table3[[#This Row],[Age]]&lt;18, "Teenger", Table3[[#This Row],[Age]]&lt;30, "Middle Age", Table3[[#This Row],[Age]]&lt; 60,"Adult",Table3[[#This Row],[Age]],"Senior Citizen")</f>
        <v>Senior Citizen</v>
      </c>
      <c r="D165" t="s">
        <v>12</v>
      </c>
      <c r="E165" t="s">
        <v>13</v>
      </c>
      <c r="F165" t="s">
        <v>35</v>
      </c>
      <c r="G165" s="1">
        <v>45627</v>
      </c>
      <c r="H165" s="1">
        <v>45639</v>
      </c>
      <c r="I165" s="2">
        <f>Table3[[#This Row],[Discharge_Date]]-Table3[[#This Row],[Admission_Date]]</f>
        <v>12</v>
      </c>
      <c r="J165">
        <v>44</v>
      </c>
      <c r="K165" t="s">
        <v>33</v>
      </c>
      <c r="L165" t="s">
        <v>26</v>
      </c>
      <c r="M165">
        <f>IF(Table3[[#This Row],[Treatment_Success]]="Yes",1,0)</f>
        <v>0</v>
      </c>
      <c r="N165">
        <v>173687</v>
      </c>
    </row>
    <row r="166" spans="1:14" x14ac:dyDescent="0.35">
      <c r="A166" t="s">
        <v>213</v>
      </c>
      <c r="B166">
        <v>17</v>
      </c>
      <c r="C166" t="str">
        <f>_xlfn.IFS(Table3[[#This Row],[Age]]&lt;=10, "Child",Table3[[#This Row],[Age]]&lt;18, "Teenger", Table3[[#This Row],[Age]]&lt;30, "Middle Age", Table3[[#This Row],[Age]]&lt; 60,"Adult",Table3[[#This Row],[Age]],"Senior Citizen")</f>
        <v>Teenger</v>
      </c>
      <c r="D166" t="s">
        <v>18</v>
      </c>
      <c r="E166" t="s">
        <v>31</v>
      </c>
      <c r="F166" t="s">
        <v>49</v>
      </c>
      <c r="G166" s="1">
        <v>45460</v>
      </c>
      <c r="H166" s="1">
        <v>45474</v>
      </c>
      <c r="I166" s="2">
        <f>Table3[[#This Row],[Discharge_Date]]-Table3[[#This Row],[Admission_Date]]</f>
        <v>14</v>
      </c>
      <c r="J166">
        <v>186</v>
      </c>
      <c r="K166" t="s">
        <v>15</v>
      </c>
      <c r="L166" t="s">
        <v>16</v>
      </c>
      <c r="M166">
        <f>IF(Table3[[#This Row],[Treatment_Success]]="Yes",1,0)</f>
        <v>1</v>
      </c>
      <c r="N166">
        <v>85967</v>
      </c>
    </row>
    <row r="167" spans="1:14" x14ac:dyDescent="0.35">
      <c r="A167" t="s">
        <v>214</v>
      </c>
      <c r="B167">
        <v>44</v>
      </c>
      <c r="C167" t="str">
        <f>_xlfn.IFS(Table3[[#This Row],[Age]]&lt;=10, "Child",Table3[[#This Row],[Age]]&lt;18, "Teenger", Table3[[#This Row],[Age]]&lt;30, "Middle Age", Table3[[#This Row],[Age]]&lt; 60,"Adult",Table3[[#This Row],[Age]],"Senior Citizen")</f>
        <v>Adult</v>
      </c>
      <c r="D167" t="s">
        <v>12</v>
      </c>
      <c r="E167" t="s">
        <v>13</v>
      </c>
      <c r="F167" t="s">
        <v>14</v>
      </c>
      <c r="G167" s="1">
        <v>45384</v>
      </c>
      <c r="H167" s="1">
        <v>45388</v>
      </c>
      <c r="I167" s="2">
        <f>Table3[[#This Row],[Discharge_Date]]-Table3[[#This Row],[Admission_Date]]</f>
        <v>4</v>
      </c>
      <c r="J167">
        <v>71</v>
      </c>
      <c r="K167" t="s">
        <v>36</v>
      </c>
      <c r="L167" t="s">
        <v>16</v>
      </c>
      <c r="M167">
        <f>IF(Table3[[#This Row],[Treatment_Success]]="Yes",1,0)</f>
        <v>1</v>
      </c>
      <c r="N167">
        <v>82540</v>
      </c>
    </row>
    <row r="168" spans="1:14" x14ac:dyDescent="0.35">
      <c r="A168" t="s">
        <v>215</v>
      </c>
      <c r="B168">
        <v>70</v>
      </c>
      <c r="C168" t="str">
        <f>_xlfn.IFS(Table3[[#This Row],[Age]]&lt;=10, "Child",Table3[[#This Row],[Age]]&lt;18, "Teenger", Table3[[#This Row],[Age]]&lt;30, "Middle Age", Table3[[#This Row],[Age]]&lt; 60,"Adult",Table3[[#This Row],[Age]],"Senior Citizen")</f>
        <v>Senior Citizen</v>
      </c>
      <c r="D168" t="s">
        <v>18</v>
      </c>
      <c r="E168" t="s">
        <v>38</v>
      </c>
      <c r="F168" t="s">
        <v>22</v>
      </c>
      <c r="G168" s="1">
        <v>45343</v>
      </c>
      <c r="H168" s="1">
        <v>45352</v>
      </c>
      <c r="I168" s="2">
        <f>Table3[[#This Row],[Discharge_Date]]-Table3[[#This Row],[Admission_Date]]</f>
        <v>9</v>
      </c>
      <c r="J168">
        <v>68</v>
      </c>
      <c r="K168" t="s">
        <v>46</v>
      </c>
      <c r="L168" t="s">
        <v>16</v>
      </c>
      <c r="M168">
        <f>IF(Table3[[#This Row],[Treatment_Success]]="Yes",1,0)</f>
        <v>1</v>
      </c>
      <c r="N168">
        <v>47532</v>
      </c>
    </row>
    <row r="169" spans="1:14" x14ac:dyDescent="0.35">
      <c r="A169" t="s">
        <v>216</v>
      </c>
      <c r="B169">
        <v>89</v>
      </c>
      <c r="C169" t="str">
        <f>_xlfn.IFS(Table3[[#This Row],[Age]]&lt;=10, "Child",Table3[[#This Row],[Age]]&lt;18, "Teenger", Table3[[#This Row],[Age]]&lt;30, "Middle Age", Table3[[#This Row],[Age]]&lt; 60,"Adult",Table3[[#This Row],[Age]],"Senior Citizen")</f>
        <v>Senior Citizen</v>
      </c>
      <c r="D169" t="s">
        <v>18</v>
      </c>
      <c r="E169" t="s">
        <v>31</v>
      </c>
      <c r="F169" t="s">
        <v>52</v>
      </c>
      <c r="G169" s="1">
        <v>45384</v>
      </c>
      <c r="H169" s="1">
        <v>45398</v>
      </c>
      <c r="I169" s="2">
        <f>Table3[[#This Row],[Discharge_Date]]-Table3[[#This Row],[Admission_Date]]</f>
        <v>14</v>
      </c>
      <c r="J169">
        <v>211</v>
      </c>
      <c r="K169" t="s">
        <v>33</v>
      </c>
      <c r="L169" t="s">
        <v>16</v>
      </c>
      <c r="M169">
        <f>IF(Table3[[#This Row],[Treatment_Success]]="Yes",1,0)</f>
        <v>1</v>
      </c>
      <c r="N169">
        <v>121444</v>
      </c>
    </row>
    <row r="170" spans="1:14" x14ac:dyDescent="0.35">
      <c r="A170" t="s">
        <v>217</v>
      </c>
      <c r="B170">
        <v>58</v>
      </c>
      <c r="C170" t="str">
        <f>_xlfn.IFS(Table3[[#This Row],[Age]]&lt;=10, "Child",Table3[[#This Row],[Age]]&lt;18, "Teenger", Table3[[#This Row],[Age]]&lt;30, "Middle Age", Table3[[#This Row],[Age]]&lt; 60,"Adult",Table3[[#This Row],[Age]],"Senior Citizen")</f>
        <v>Adult</v>
      </c>
      <c r="D170" t="s">
        <v>18</v>
      </c>
      <c r="E170" t="s">
        <v>28</v>
      </c>
      <c r="F170" t="s">
        <v>14</v>
      </c>
      <c r="G170" s="1">
        <v>45604</v>
      </c>
      <c r="H170" s="1">
        <v>45609</v>
      </c>
      <c r="I170" s="2">
        <f>Table3[[#This Row],[Discharge_Date]]-Table3[[#This Row],[Admission_Date]]</f>
        <v>5</v>
      </c>
      <c r="J170">
        <v>159</v>
      </c>
      <c r="K170" t="s">
        <v>46</v>
      </c>
      <c r="L170" t="s">
        <v>16</v>
      </c>
      <c r="M170">
        <f>IF(Table3[[#This Row],[Treatment_Success]]="Yes",1,0)</f>
        <v>1</v>
      </c>
      <c r="N170">
        <v>101427</v>
      </c>
    </row>
    <row r="171" spans="1:14" x14ac:dyDescent="0.35">
      <c r="A171" t="s">
        <v>218</v>
      </c>
      <c r="B171">
        <v>57</v>
      </c>
      <c r="C171" t="str">
        <f>_xlfn.IFS(Table3[[#This Row],[Age]]&lt;=10, "Child",Table3[[#This Row],[Age]]&lt;18, "Teenger", Table3[[#This Row],[Age]]&lt;30, "Middle Age", Table3[[#This Row],[Age]]&lt; 60,"Adult",Table3[[#This Row],[Age]],"Senior Citizen")</f>
        <v>Adult</v>
      </c>
      <c r="D171" t="s">
        <v>12</v>
      </c>
      <c r="E171" t="s">
        <v>38</v>
      </c>
      <c r="F171" t="s">
        <v>22</v>
      </c>
      <c r="G171" s="1">
        <v>45639</v>
      </c>
      <c r="H171" s="1">
        <v>45649</v>
      </c>
      <c r="I171" s="2">
        <f>Table3[[#This Row],[Discharge_Date]]-Table3[[#This Row],[Admission_Date]]</f>
        <v>10</v>
      </c>
      <c r="J171">
        <v>196</v>
      </c>
      <c r="K171" t="s">
        <v>46</v>
      </c>
      <c r="L171" t="s">
        <v>16</v>
      </c>
      <c r="M171">
        <f>IF(Table3[[#This Row],[Treatment_Success]]="Yes",1,0)</f>
        <v>1</v>
      </c>
      <c r="N171">
        <v>57349</v>
      </c>
    </row>
    <row r="172" spans="1:14" x14ac:dyDescent="0.35">
      <c r="A172" t="s">
        <v>219</v>
      </c>
      <c r="B172">
        <v>33</v>
      </c>
      <c r="C172" t="str">
        <f>_xlfn.IFS(Table3[[#This Row],[Age]]&lt;=10, "Child",Table3[[#This Row],[Age]]&lt;18, "Teenger", Table3[[#This Row],[Age]]&lt;30, "Middle Age", Table3[[#This Row],[Age]]&lt; 60,"Adult",Table3[[#This Row],[Age]],"Senior Citizen")</f>
        <v>Adult</v>
      </c>
      <c r="D172" t="s">
        <v>18</v>
      </c>
      <c r="E172" t="s">
        <v>31</v>
      </c>
      <c r="F172" t="s">
        <v>63</v>
      </c>
      <c r="G172" s="1">
        <v>45601</v>
      </c>
      <c r="H172" s="1">
        <v>45604</v>
      </c>
      <c r="I172" s="2">
        <f>Table3[[#This Row],[Discharge_Date]]-Table3[[#This Row],[Admission_Date]]</f>
        <v>3</v>
      </c>
      <c r="J172">
        <v>284</v>
      </c>
      <c r="K172" t="s">
        <v>15</v>
      </c>
      <c r="L172" t="s">
        <v>16</v>
      </c>
      <c r="M172">
        <f>IF(Table3[[#This Row],[Treatment_Success]]="Yes",1,0)</f>
        <v>1</v>
      </c>
      <c r="N172">
        <v>79727</v>
      </c>
    </row>
    <row r="173" spans="1:14" x14ac:dyDescent="0.35">
      <c r="A173" t="s">
        <v>220</v>
      </c>
      <c r="B173">
        <v>21</v>
      </c>
      <c r="C173" t="str">
        <f>_xlfn.IFS(Table3[[#This Row],[Age]]&lt;=10, "Child",Table3[[#This Row],[Age]]&lt;18, "Teenger", Table3[[#This Row],[Age]]&lt;30, "Middle Age", Table3[[#This Row],[Age]]&lt; 60,"Adult",Table3[[#This Row],[Age]],"Senior Citizen")</f>
        <v>Middle Age</v>
      </c>
      <c r="D173" t="s">
        <v>12</v>
      </c>
      <c r="E173" t="s">
        <v>31</v>
      </c>
      <c r="F173" t="s">
        <v>49</v>
      </c>
      <c r="G173" s="1">
        <v>45334</v>
      </c>
      <c r="H173" s="1">
        <v>45347</v>
      </c>
      <c r="I173" s="2">
        <f>Table3[[#This Row],[Discharge_Date]]-Table3[[#This Row],[Admission_Date]]</f>
        <v>13</v>
      </c>
      <c r="J173">
        <v>76</v>
      </c>
      <c r="K173" t="s">
        <v>46</v>
      </c>
      <c r="L173" t="s">
        <v>16</v>
      </c>
      <c r="M173">
        <f>IF(Table3[[#This Row],[Treatment_Success]]="Yes",1,0)</f>
        <v>1</v>
      </c>
      <c r="N173">
        <v>63205</v>
      </c>
    </row>
    <row r="174" spans="1:14" x14ac:dyDescent="0.35">
      <c r="A174" t="s">
        <v>221</v>
      </c>
      <c r="B174">
        <v>45</v>
      </c>
      <c r="C174" t="str">
        <f>_xlfn.IFS(Table3[[#This Row],[Age]]&lt;=10, "Child",Table3[[#This Row],[Age]]&lt;18, "Teenger", Table3[[#This Row],[Age]]&lt;30, "Middle Age", Table3[[#This Row],[Age]]&lt; 60,"Adult",Table3[[#This Row],[Age]],"Senior Citizen")</f>
        <v>Adult</v>
      </c>
      <c r="D174" t="s">
        <v>18</v>
      </c>
      <c r="E174" t="s">
        <v>31</v>
      </c>
      <c r="F174" t="s">
        <v>52</v>
      </c>
      <c r="G174" s="1">
        <v>45522</v>
      </c>
      <c r="H174" s="1">
        <v>45537</v>
      </c>
      <c r="I174" s="2">
        <f>Table3[[#This Row],[Discharge_Date]]-Table3[[#This Row],[Admission_Date]]</f>
        <v>15</v>
      </c>
      <c r="J174">
        <v>203</v>
      </c>
      <c r="K174" t="s">
        <v>33</v>
      </c>
      <c r="L174" t="s">
        <v>16</v>
      </c>
      <c r="M174">
        <f>IF(Table3[[#This Row],[Treatment_Success]]="Yes",1,0)</f>
        <v>1</v>
      </c>
      <c r="N174">
        <v>106231</v>
      </c>
    </row>
    <row r="175" spans="1:14" x14ac:dyDescent="0.35">
      <c r="A175" t="s">
        <v>222</v>
      </c>
      <c r="B175">
        <v>29</v>
      </c>
      <c r="C175" t="str">
        <f>_xlfn.IFS(Table3[[#This Row],[Age]]&lt;=10, "Child",Table3[[#This Row],[Age]]&lt;18, "Teenger", Table3[[#This Row],[Age]]&lt;30, "Middle Age", Table3[[#This Row],[Age]]&lt; 60,"Adult",Table3[[#This Row],[Age]],"Senior Citizen")</f>
        <v>Middle Age</v>
      </c>
      <c r="D175" t="s">
        <v>18</v>
      </c>
      <c r="E175" t="s">
        <v>38</v>
      </c>
      <c r="F175" t="s">
        <v>90</v>
      </c>
      <c r="G175" s="1">
        <v>45333</v>
      </c>
      <c r="H175" s="1">
        <v>45339</v>
      </c>
      <c r="I175" s="2">
        <f>Table3[[#This Row],[Discharge_Date]]-Table3[[#This Row],[Admission_Date]]</f>
        <v>6</v>
      </c>
      <c r="J175">
        <v>172</v>
      </c>
      <c r="K175" t="s">
        <v>36</v>
      </c>
      <c r="L175" t="s">
        <v>16</v>
      </c>
      <c r="M175">
        <f>IF(Table3[[#This Row],[Treatment_Success]]="Yes",1,0)</f>
        <v>1</v>
      </c>
      <c r="N175">
        <v>15040</v>
      </c>
    </row>
    <row r="176" spans="1:14" x14ac:dyDescent="0.35">
      <c r="A176" t="s">
        <v>223</v>
      </c>
      <c r="B176">
        <v>61</v>
      </c>
      <c r="C176" t="str">
        <f>_xlfn.IFS(Table3[[#This Row],[Age]]&lt;=10, "Child",Table3[[#This Row],[Age]]&lt;18, "Teenger", Table3[[#This Row],[Age]]&lt;30, "Middle Age", Table3[[#This Row],[Age]]&lt; 60,"Adult",Table3[[#This Row],[Age]],"Senior Citizen")</f>
        <v>Senior Citizen</v>
      </c>
      <c r="D176" t="s">
        <v>18</v>
      </c>
      <c r="E176" t="s">
        <v>31</v>
      </c>
      <c r="F176" t="s">
        <v>20</v>
      </c>
      <c r="G176" s="1">
        <v>45438</v>
      </c>
      <c r="H176" s="1">
        <v>45453</v>
      </c>
      <c r="I176" s="2">
        <f>Table3[[#This Row],[Discharge_Date]]-Table3[[#This Row],[Admission_Date]]</f>
        <v>15</v>
      </c>
      <c r="J176">
        <v>3</v>
      </c>
      <c r="K176" t="s">
        <v>15</v>
      </c>
      <c r="L176" t="s">
        <v>16</v>
      </c>
      <c r="M176">
        <f>IF(Table3[[#This Row],[Treatment_Success]]="Yes",1,0)</f>
        <v>1</v>
      </c>
      <c r="N176">
        <v>72088</v>
      </c>
    </row>
    <row r="177" spans="1:14" x14ac:dyDescent="0.35">
      <c r="A177" t="s">
        <v>224</v>
      </c>
      <c r="B177">
        <v>20</v>
      </c>
      <c r="C177" t="str">
        <f>_xlfn.IFS(Table3[[#This Row],[Age]]&lt;=10, "Child",Table3[[#This Row],[Age]]&lt;18, "Teenger", Table3[[#This Row],[Age]]&lt;30, "Middle Age", Table3[[#This Row],[Age]]&lt; 60,"Adult",Table3[[#This Row],[Age]],"Senior Citizen")</f>
        <v>Middle Age</v>
      </c>
      <c r="D177" t="s">
        <v>12</v>
      </c>
      <c r="E177" t="s">
        <v>24</v>
      </c>
      <c r="F177" t="s">
        <v>22</v>
      </c>
      <c r="G177" s="1">
        <v>45402</v>
      </c>
      <c r="H177" s="1">
        <v>45416</v>
      </c>
      <c r="I177" s="2">
        <f>Table3[[#This Row],[Discharge_Date]]-Table3[[#This Row],[Admission_Date]]</f>
        <v>14</v>
      </c>
      <c r="J177">
        <v>148</v>
      </c>
      <c r="K177" t="s">
        <v>36</v>
      </c>
      <c r="L177" t="s">
        <v>16</v>
      </c>
      <c r="M177">
        <f>IF(Table3[[#This Row],[Treatment_Success]]="Yes",1,0)</f>
        <v>1</v>
      </c>
      <c r="N177">
        <v>36941</v>
      </c>
    </row>
    <row r="178" spans="1:14" x14ac:dyDescent="0.35">
      <c r="A178" t="s">
        <v>225</v>
      </c>
      <c r="B178">
        <v>54</v>
      </c>
      <c r="C178" t="str">
        <f>_xlfn.IFS(Table3[[#This Row],[Age]]&lt;=10, "Child",Table3[[#This Row],[Age]]&lt;18, "Teenger", Table3[[#This Row],[Age]]&lt;30, "Middle Age", Table3[[#This Row],[Age]]&lt; 60,"Adult",Table3[[#This Row],[Age]],"Senior Citizen")</f>
        <v>Adult</v>
      </c>
      <c r="D178" t="s">
        <v>12</v>
      </c>
      <c r="E178" t="s">
        <v>24</v>
      </c>
      <c r="F178" t="s">
        <v>90</v>
      </c>
      <c r="G178" s="1">
        <v>45316</v>
      </c>
      <c r="H178" s="1">
        <v>45320</v>
      </c>
      <c r="I178" s="2">
        <f>Table3[[#This Row],[Discharge_Date]]-Table3[[#This Row],[Admission_Date]]</f>
        <v>4</v>
      </c>
      <c r="J178">
        <v>256</v>
      </c>
      <c r="K178" t="s">
        <v>15</v>
      </c>
      <c r="L178" t="s">
        <v>16</v>
      </c>
      <c r="M178">
        <f>IF(Table3[[#This Row],[Treatment_Success]]="Yes",1,0)</f>
        <v>1</v>
      </c>
      <c r="N178">
        <v>193362</v>
      </c>
    </row>
    <row r="179" spans="1:14" x14ac:dyDescent="0.35">
      <c r="A179" t="s">
        <v>226</v>
      </c>
      <c r="B179">
        <v>55</v>
      </c>
      <c r="C179" t="str">
        <f>_xlfn.IFS(Table3[[#This Row],[Age]]&lt;=10, "Child",Table3[[#This Row],[Age]]&lt;18, "Teenger", Table3[[#This Row],[Age]]&lt;30, "Middle Age", Table3[[#This Row],[Age]]&lt; 60,"Adult",Table3[[#This Row],[Age]],"Senior Citizen")</f>
        <v>Adult</v>
      </c>
      <c r="D179" t="s">
        <v>18</v>
      </c>
      <c r="E179" t="s">
        <v>28</v>
      </c>
      <c r="F179" t="s">
        <v>63</v>
      </c>
      <c r="G179" s="1">
        <v>45365</v>
      </c>
      <c r="H179" s="1">
        <v>45370</v>
      </c>
      <c r="I179" s="2">
        <f>Table3[[#This Row],[Discharge_Date]]-Table3[[#This Row],[Admission_Date]]</f>
        <v>5</v>
      </c>
      <c r="J179">
        <v>124</v>
      </c>
      <c r="K179" t="s">
        <v>46</v>
      </c>
      <c r="L179" t="s">
        <v>16</v>
      </c>
      <c r="M179">
        <f>IF(Table3[[#This Row],[Treatment_Success]]="Yes",1,0)</f>
        <v>1</v>
      </c>
      <c r="N179">
        <v>179160</v>
      </c>
    </row>
    <row r="180" spans="1:14" x14ac:dyDescent="0.35">
      <c r="A180" t="s">
        <v>227</v>
      </c>
      <c r="B180">
        <v>68</v>
      </c>
      <c r="C180" t="str">
        <f>_xlfn.IFS(Table3[[#This Row],[Age]]&lt;=10, "Child",Table3[[#This Row],[Age]]&lt;18, "Teenger", Table3[[#This Row],[Age]]&lt;30, "Middle Age", Table3[[#This Row],[Age]]&lt; 60,"Adult",Table3[[#This Row],[Age]],"Senior Citizen")</f>
        <v>Senior Citizen</v>
      </c>
      <c r="D180" t="s">
        <v>12</v>
      </c>
      <c r="E180" t="s">
        <v>24</v>
      </c>
      <c r="F180" t="s">
        <v>49</v>
      </c>
      <c r="G180" s="1">
        <v>45634</v>
      </c>
      <c r="H180" s="1">
        <v>45636</v>
      </c>
      <c r="I180" s="2">
        <f>Table3[[#This Row],[Discharge_Date]]-Table3[[#This Row],[Admission_Date]]</f>
        <v>2</v>
      </c>
      <c r="J180">
        <v>279</v>
      </c>
      <c r="K180" t="s">
        <v>15</v>
      </c>
      <c r="L180" t="s">
        <v>26</v>
      </c>
      <c r="M180">
        <f>IF(Table3[[#This Row],[Treatment_Success]]="Yes",1,0)</f>
        <v>0</v>
      </c>
      <c r="N180">
        <v>128243</v>
      </c>
    </row>
    <row r="181" spans="1:14" x14ac:dyDescent="0.35">
      <c r="A181" t="s">
        <v>228</v>
      </c>
      <c r="B181">
        <v>50</v>
      </c>
      <c r="C181" t="str">
        <f>_xlfn.IFS(Table3[[#This Row],[Age]]&lt;=10, "Child",Table3[[#This Row],[Age]]&lt;18, "Teenger", Table3[[#This Row],[Age]]&lt;30, "Middle Age", Table3[[#This Row],[Age]]&lt; 60,"Adult",Table3[[#This Row],[Age]],"Senior Citizen")</f>
        <v>Adult</v>
      </c>
      <c r="D181" t="s">
        <v>12</v>
      </c>
      <c r="E181" t="s">
        <v>38</v>
      </c>
      <c r="F181" t="s">
        <v>25</v>
      </c>
      <c r="G181" s="1">
        <v>45314</v>
      </c>
      <c r="H181" s="1">
        <v>45325</v>
      </c>
      <c r="I181" s="2">
        <f>Table3[[#This Row],[Discharge_Date]]-Table3[[#This Row],[Admission_Date]]</f>
        <v>11</v>
      </c>
      <c r="J181">
        <v>9</v>
      </c>
      <c r="K181" t="s">
        <v>33</v>
      </c>
      <c r="L181" t="s">
        <v>16</v>
      </c>
      <c r="M181">
        <f>IF(Table3[[#This Row],[Treatment_Success]]="Yes",1,0)</f>
        <v>1</v>
      </c>
      <c r="N181">
        <v>95387</v>
      </c>
    </row>
    <row r="182" spans="1:14" x14ac:dyDescent="0.35">
      <c r="A182" t="s">
        <v>229</v>
      </c>
      <c r="B182">
        <v>85</v>
      </c>
      <c r="C182" t="str">
        <f>_xlfn.IFS(Table3[[#This Row],[Age]]&lt;=10, "Child",Table3[[#This Row],[Age]]&lt;18, "Teenger", Table3[[#This Row],[Age]]&lt;30, "Middle Age", Table3[[#This Row],[Age]]&lt; 60,"Adult",Table3[[#This Row],[Age]],"Senior Citizen")</f>
        <v>Senior Citizen</v>
      </c>
      <c r="D182" t="s">
        <v>18</v>
      </c>
      <c r="E182" t="s">
        <v>28</v>
      </c>
      <c r="F182" t="s">
        <v>25</v>
      </c>
      <c r="G182" s="1">
        <v>45415</v>
      </c>
      <c r="H182" s="1">
        <v>45427</v>
      </c>
      <c r="I182" s="2">
        <f>Table3[[#This Row],[Discharge_Date]]-Table3[[#This Row],[Admission_Date]]</f>
        <v>12</v>
      </c>
      <c r="J182">
        <v>171</v>
      </c>
      <c r="K182" t="s">
        <v>36</v>
      </c>
      <c r="L182" t="s">
        <v>16</v>
      </c>
      <c r="M182">
        <f>IF(Table3[[#This Row],[Treatment_Success]]="Yes",1,0)</f>
        <v>1</v>
      </c>
      <c r="N182">
        <v>97353</v>
      </c>
    </row>
    <row r="183" spans="1:14" x14ac:dyDescent="0.35">
      <c r="A183" t="s">
        <v>230</v>
      </c>
      <c r="B183">
        <v>83</v>
      </c>
      <c r="C183" t="str">
        <f>_xlfn.IFS(Table3[[#This Row],[Age]]&lt;=10, "Child",Table3[[#This Row],[Age]]&lt;18, "Teenger", Table3[[#This Row],[Age]]&lt;30, "Middle Age", Table3[[#This Row],[Age]]&lt; 60,"Adult",Table3[[#This Row],[Age]],"Senior Citizen")</f>
        <v>Senior Citizen</v>
      </c>
      <c r="D183" t="s">
        <v>18</v>
      </c>
      <c r="E183" t="s">
        <v>31</v>
      </c>
      <c r="F183" t="s">
        <v>40</v>
      </c>
      <c r="G183" s="1">
        <v>45571</v>
      </c>
      <c r="H183" s="1">
        <v>45577</v>
      </c>
      <c r="I183" s="2">
        <f>Table3[[#This Row],[Discharge_Date]]-Table3[[#This Row],[Admission_Date]]</f>
        <v>6</v>
      </c>
      <c r="J183">
        <v>246</v>
      </c>
      <c r="K183" t="s">
        <v>36</v>
      </c>
      <c r="L183" t="s">
        <v>16</v>
      </c>
      <c r="M183">
        <f>IF(Table3[[#This Row],[Treatment_Success]]="Yes",1,0)</f>
        <v>1</v>
      </c>
      <c r="N183">
        <v>21541</v>
      </c>
    </row>
    <row r="184" spans="1:14" x14ac:dyDescent="0.35">
      <c r="A184" t="s">
        <v>231</v>
      </c>
      <c r="B184">
        <v>38</v>
      </c>
      <c r="C184" t="str">
        <f>_xlfn.IFS(Table3[[#This Row],[Age]]&lt;=10, "Child",Table3[[#This Row],[Age]]&lt;18, "Teenger", Table3[[#This Row],[Age]]&lt;30, "Middle Age", Table3[[#This Row],[Age]]&lt; 60,"Adult",Table3[[#This Row],[Age]],"Senior Citizen")</f>
        <v>Adult</v>
      </c>
      <c r="D184" t="s">
        <v>18</v>
      </c>
      <c r="E184" t="s">
        <v>24</v>
      </c>
      <c r="F184" t="s">
        <v>29</v>
      </c>
      <c r="G184" s="1">
        <v>45526</v>
      </c>
      <c r="H184" s="1">
        <v>45527</v>
      </c>
      <c r="I184" s="2">
        <f>Table3[[#This Row],[Discharge_Date]]-Table3[[#This Row],[Admission_Date]]</f>
        <v>1</v>
      </c>
      <c r="J184">
        <v>22</v>
      </c>
      <c r="K184" t="s">
        <v>33</v>
      </c>
      <c r="L184" t="s">
        <v>16</v>
      </c>
      <c r="M184">
        <f>IF(Table3[[#This Row],[Treatment_Success]]="Yes",1,0)</f>
        <v>1</v>
      </c>
      <c r="N184">
        <v>140104</v>
      </c>
    </row>
    <row r="185" spans="1:14" x14ac:dyDescent="0.35">
      <c r="A185" t="s">
        <v>232</v>
      </c>
      <c r="B185">
        <v>70</v>
      </c>
      <c r="C185" t="str">
        <f>_xlfn.IFS(Table3[[#This Row],[Age]]&lt;=10, "Child",Table3[[#This Row],[Age]]&lt;18, "Teenger", Table3[[#This Row],[Age]]&lt;30, "Middle Age", Table3[[#This Row],[Age]]&lt; 60,"Adult",Table3[[#This Row],[Age]],"Senior Citizen")</f>
        <v>Senior Citizen</v>
      </c>
      <c r="D185" t="s">
        <v>12</v>
      </c>
      <c r="E185" t="s">
        <v>38</v>
      </c>
      <c r="F185" t="s">
        <v>52</v>
      </c>
      <c r="G185" s="1">
        <v>45495</v>
      </c>
      <c r="H185" s="1">
        <v>45509</v>
      </c>
      <c r="I185" s="2">
        <f>Table3[[#This Row],[Discharge_Date]]-Table3[[#This Row],[Admission_Date]]</f>
        <v>14</v>
      </c>
      <c r="J185">
        <v>98</v>
      </c>
      <c r="K185" t="s">
        <v>33</v>
      </c>
      <c r="L185" t="s">
        <v>16</v>
      </c>
      <c r="M185">
        <f>IF(Table3[[#This Row],[Treatment_Success]]="Yes",1,0)</f>
        <v>1</v>
      </c>
      <c r="N185">
        <v>17531</v>
      </c>
    </row>
    <row r="186" spans="1:14" x14ac:dyDescent="0.35">
      <c r="A186" t="s">
        <v>233</v>
      </c>
      <c r="B186">
        <v>35</v>
      </c>
      <c r="C186" t="str">
        <f>_xlfn.IFS(Table3[[#This Row],[Age]]&lt;=10, "Child",Table3[[#This Row],[Age]]&lt;18, "Teenger", Table3[[#This Row],[Age]]&lt;30, "Middle Age", Table3[[#This Row],[Age]]&lt; 60,"Adult",Table3[[#This Row],[Age]],"Senior Citizen")</f>
        <v>Adult</v>
      </c>
      <c r="D186" t="s">
        <v>18</v>
      </c>
      <c r="E186" t="s">
        <v>38</v>
      </c>
      <c r="F186" t="s">
        <v>93</v>
      </c>
      <c r="G186" s="1">
        <v>45627</v>
      </c>
      <c r="H186" s="1">
        <v>45633</v>
      </c>
      <c r="I186" s="2">
        <f>Table3[[#This Row],[Discharge_Date]]-Table3[[#This Row],[Admission_Date]]</f>
        <v>6</v>
      </c>
      <c r="J186">
        <v>205</v>
      </c>
      <c r="K186" t="s">
        <v>46</v>
      </c>
      <c r="L186" t="s">
        <v>26</v>
      </c>
      <c r="M186">
        <f>IF(Table3[[#This Row],[Treatment_Success]]="Yes",1,0)</f>
        <v>0</v>
      </c>
      <c r="N186">
        <v>93876</v>
      </c>
    </row>
    <row r="187" spans="1:14" x14ac:dyDescent="0.35">
      <c r="A187" t="s">
        <v>234</v>
      </c>
      <c r="B187">
        <v>89</v>
      </c>
      <c r="C187" t="str">
        <f>_xlfn.IFS(Table3[[#This Row],[Age]]&lt;=10, "Child",Table3[[#This Row],[Age]]&lt;18, "Teenger", Table3[[#This Row],[Age]]&lt;30, "Middle Age", Table3[[#This Row],[Age]]&lt; 60,"Adult",Table3[[#This Row],[Age]],"Senior Citizen")</f>
        <v>Senior Citizen</v>
      </c>
      <c r="D187" t="s">
        <v>12</v>
      </c>
      <c r="E187" t="s">
        <v>38</v>
      </c>
      <c r="F187" t="s">
        <v>49</v>
      </c>
      <c r="G187" s="1">
        <v>45387</v>
      </c>
      <c r="H187" s="1">
        <v>45395</v>
      </c>
      <c r="I187" s="2">
        <f>Table3[[#This Row],[Discharge_Date]]-Table3[[#This Row],[Admission_Date]]</f>
        <v>8</v>
      </c>
      <c r="J187">
        <v>137</v>
      </c>
      <c r="K187" t="s">
        <v>15</v>
      </c>
      <c r="L187" t="s">
        <v>26</v>
      </c>
      <c r="M187">
        <f>IF(Table3[[#This Row],[Treatment_Success]]="Yes",1,0)</f>
        <v>0</v>
      </c>
      <c r="N187">
        <v>25690</v>
      </c>
    </row>
    <row r="188" spans="1:14" x14ac:dyDescent="0.35">
      <c r="A188" t="s">
        <v>235</v>
      </c>
      <c r="B188">
        <v>24</v>
      </c>
      <c r="C188" t="str">
        <f>_xlfn.IFS(Table3[[#This Row],[Age]]&lt;=10, "Child",Table3[[#This Row],[Age]]&lt;18, "Teenger", Table3[[#This Row],[Age]]&lt;30, "Middle Age", Table3[[#This Row],[Age]]&lt; 60,"Adult",Table3[[#This Row],[Age]],"Senior Citizen")</f>
        <v>Middle Age</v>
      </c>
      <c r="D188" t="s">
        <v>12</v>
      </c>
      <c r="E188" t="s">
        <v>38</v>
      </c>
      <c r="F188" t="s">
        <v>90</v>
      </c>
      <c r="G188" s="1">
        <v>45512</v>
      </c>
      <c r="H188" s="1">
        <v>45522</v>
      </c>
      <c r="I188" s="2">
        <f>Table3[[#This Row],[Discharge_Date]]-Table3[[#This Row],[Admission_Date]]</f>
        <v>10</v>
      </c>
      <c r="J188">
        <v>41</v>
      </c>
      <c r="K188" t="s">
        <v>33</v>
      </c>
      <c r="L188" t="s">
        <v>16</v>
      </c>
      <c r="M188">
        <f>IF(Table3[[#This Row],[Treatment_Success]]="Yes",1,0)</f>
        <v>1</v>
      </c>
      <c r="N188">
        <v>85346</v>
      </c>
    </row>
    <row r="189" spans="1:14" x14ac:dyDescent="0.35">
      <c r="A189" t="s">
        <v>236</v>
      </c>
      <c r="B189">
        <v>55</v>
      </c>
      <c r="C189" t="str">
        <f>_xlfn.IFS(Table3[[#This Row],[Age]]&lt;=10, "Child",Table3[[#This Row],[Age]]&lt;18, "Teenger", Table3[[#This Row],[Age]]&lt;30, "Middle Age", Table3[[#This Row],[Age]]&lt; 60,"Adult",Table3[[#This Row],[Age]],"Senior Citizen")</f>
        <v>Adult</v>
      </c>
      <c r="D189" t="s">
        <v>18</v>
      </c>
      <c r="E189" t="s">
        <v>31</v>
      </c>
      <c r="F189" t="s">
        <v>63</v>
      </c>
      <c r="G189" s="1">
        <v>45520</v>
      </c>
      <c r="H189" s="1">
        <v>45530</v>
      </c>
      <c r="I189" s="2">
        <f>Table3[[#This Row],[Discharge_Date]]-Table3[[#This Row],[Admission_Date]]</f>
        <v>10</v>
      </c>
      <c r="J189">
        <v>229</v>
      </c>
      <c r="K189" t="s">
        <v>15</v>
      </c>
      <c r="L189" t="s">
        <v>16</v>
      </c>
      <c r="M189">
        <f>IF(Table3[[#This Row],[Treatment_Success]]="Yes",1,0)</f>
        <v>1</v>
      </c>
      <c r="N189">
        <v>166179</v>
      </c>
    </row>
    <row r="190" spans="1:14" x14ac:dyDescent="0.35">
      <c r="A190" t="s">
        <v>237</v>
      </c>
      <c r="B190">
        <v>82</v>
      </c>
      <c r="C190" t="str">
        <f>_xlfn.IFS(Table3[[#This Row],[Age]]&lt;=10, "Child",Table3[[#This Row],[Age]]&lt;18, "Teenger", Table3[[#This Row],[Age]]&lt;30, "Middle Age", Table3[[#This Row],[Age]]&lt; 60,"Adult",Table3[[#This Row],[Age]],"Senior Citizen")</f>
        <v>Senior Citizen</v>
      </c>
      <c r="D190" t="s">
        <v>18</v>
      </c>
      <c r="E190" t="s">
        <v>24</v>
      </c>
      <c r="F190" t="s">
        <v>54</v>
      </c>
      <c r="G190" s="1">
        <v>45514</v>
      </c>
      <c r="H190" s="1">
        <v>45519</v>
      </c>
      <c r="I190" s="2">
        <f>Table3[[#This Row],[Discharge_Date]]-Table3[[#This Row],[Admission_Date]]</f>
        <v>5</v>
      </c>
      <c r="J190">
        <v>208</v>
      </c>
      <c r="K190" t="s">
        <v>33</v>
      </c>
      <c r="L190" t="s">
        <v>16</v>
      </c>
      <c r="M190">
        <f>IF(Table3[[#This Row],[Treatment_Success]]="Yes",1,0)</f>
        <v>1</v>
      </c>
      <c r="N190">
        <v>13163</v>
      </c>
    </row>
    <row r="191" spans="1:14" x14ac:dyDescent="0.35">
      <c r="A191" t="s">
        <v>238</v>
      </c>
      <c r="B191">
        <v>78</v>
      </c>
      <c r="C191" t="str">
        <f>_xlfn.IFS(Table3[[#This Row],[Age]]&lt;=10, "Child",Table3[[#This Row],[Age]]&lt;18, "Teenger", Table3[[#This Row],[Age]]&lt;30, "Middle Age", Table3[[#This Row],[Age]]&lt; 60,"Adult",Table3[[#This Row],[Age]],"Senior Citizen")</f>
        <v>Senior Citizen</v>
      </c>
      <c r="D191" t="s">
        <v>12</v>
      </c>
      <c r="E191" t="s">
        <v>24</v>
      </c>
      <c r="F191" t="s">
        <v>106</v>
      </c>
      <c r="G191" s="1">
        <v>45365</v>
      </c>
      <c r="H191" s="1">
        <v>45379</v>
      </c>
      <c r="I191" s="2">
        <f>Table3[[#This Row],[Discharge_Date]]-Table3[[#This Row],[Admission_Date]]</f>
        <v>14</v>
      </c>
      <c r="J191">
        <v>35</v>
      </c>
      <c r="K191" t="s">
        <v>36</v>
      </c>
      <c r="L191" t="s">
        <v>16</v>
      </c>
      <c r="M191">
        <f>IF(Table3[[#This Row],[Treatment_Success]]="Yes",1,0)</f>
        <v>1</v>
      </c>
      <c r="N191">
        <v>99935</v>
      </c>
    </row>
    <row r="192" spans="1:14" x14ac:dyDescent="0.35">
      <c r="A192" t="s">
        <v>239</v>
      </c>
      <c r="B192">
        <v>5</v>
      </c>
      <c r="C192" t="str">
        <f>_xlfn.IFS(Table3[[#This Row],[Age]]&lt;=10, "Child",Table3[[#This Row],[Age]]&lt;18, "Teenger", Table3[[#This Row],[Age]]&lt;30, "Middle Age", Table3[[#This Row],[Age]]&lt; 60,"Adult",Table3[[#This Row],[Age]],"Senior Citizen")</f>
        <v>Child</v>
      </c>
      <c r="D192" t="s">
        <v>18</v>
      </c>
      <c r="E192" t="s">
        <v>31</v>
      </c>
      <c r="F192" t="s">
        <v>63</v>
      </c>
      <c r="G192" s="1">
        <v>45488</v>
      </c>
      <c r="H192" s="1">
        <v>45498</v>
      </c>
      <c r="I192" s="2">
        <f>Table3[[#This Row],[Discharge_Date]]-Table3[[#This Row],[Admission_Date]]</f>
        <v>10</v>
      </c>
      <c r="J192">
        <v>191</v>
      </c>
      <c r="K192" t="s">
        <v>46</v>
      </c>
      <c r="L192" t="s">
        <v>16</v>
      </c>
      <c r="M192">
        <f>IF(Table3[[#This Row],[Treatment_Success]]="Yes",1,0)</f>
        <v>1</v>
      </c>
      <c r="N192">
        <v>155450</v>
      </c>
    </row>
    <row r="193" spans="1:14" x14ac:dyDescent="0.35">
      <c r="A193" t="s">
        <v>240</v>
      </c>
      <c r="B193">
        <v>47</v>
      </c>
      <c r="C193" t="str">
        <f>_xlfn.IFS(Table3[[#This Row],[Age]]&lt;=10, "Child",Table3[[#This Row],[Age]]&lt;18, "Teenger", Table3[[#This Row],[Age]]&lt;30, "Middle Age", Table3[[#This Row],[Age]]&lt; 60,"Adult",Table3[[#This Row],[Age]],"Senior Citizen")</f>
        <v>Adult</v>
      </c>
      <c r="D193" t="s">
        <v>12</v>
      </c>
      <c r="E193" t="s">
        <v>38</v>
      </c>
      <c r="F193" t="s">
        <v>68</v>
      </c>
      <c r="G193" s="1">
        <v>45362</v>
      </c>
      <c r="H193" s="1">
        <v>45371</v>
      </c>
      <c r="I193" s="2">
        <f>Table3[[#This Row],[Discharge_Date]]-Table3[[#This Row],[Admission_Date]]</f>
        <v>9</v>
      </c>
      <c r="J193">
        <v>143</v>
      </c>
      <c r="K193" t="s">
        <v>36</v>
      </c>
      <c r="L193" t="s">
        <v>16</v>
      </c>
      <c r="M193">
        <f>IF(Table3[[#This Row],[Treatment_Success]]="Yes",1,0)</f>
        <v>1</v>
      </c>
      <c r="N193">
        <v>11793</v>
      </c>
    </row>
    <row r="194" spans="1:14" x14ac:dyDescent="0.35">
      <c r="A194" t="s">
        <v>241</v>
      </c>
      <c r="B194">
        <v>67</v>
      </c>
      <c r="C194" t="str">
        <f>_xlfn.IFS(Table3[[#This Row],[Age]]&lt;=10, "Child",Table3[[#This Row],[Age]]&lt;18, "Teenger", Table3[[#This Row],[Age]]&lt;30, "Middle Age", Table3[[#This Row],[Age]]&lt; 60,"Adult",Table3[[#This Row],[Age]],"Senior Citizen")</f>
        <v>Senior Citizen</v>
      </c>
      <c r="D194" t="s">
        <v>12</v>
      </c>
      <c r="E194" t="s">
        <v>28</v>
      </c>
      <c r="F194" t="s">
        <v>90</v>
      </c>
      <c r="G194" s="1">
        <v>45387</v>
      </c>
      <c r="H194" s="1">
        <v>45395</v>
      </c>
      <c r="I194" s="2">
        <f>Table3[[#This Row],[Discharge_Date]]-Table3[[#This Row],[Admission_Date]]</f>
        <v>8</v>
      </c>
      <c r="J194">
        <v>135</v>
      </c>
      <c r="K194" t="s">
        <v>33</v>
      </c>
      <c r="L194" t="s">
        <v>26</v>
      </c>
      <c r="M194">
        <f>IF(Table3[[#This Row],[Treatment_Success]]="Yes",1,0)</f>
        <v>0</v>
      </c>
      <c r="N194">
        <v>61248</v>
      </c>
    </row>
    <row r="195" spans="1:14" x14ac:dyDescent="0.35">
      <c r="A195" t="s">
        <v>242</v>
      </c>
      <c r="B195">
        <v>89</v>
      </c>
      <c r="C195" t="str">
        <f>_xlfn.IFS(Table3[[#This Row],[Age]]&lt;=10, "Child",Table3[[#This Row],[Age]]&lt;18, "Teenger", Table3[[#This Row],[Age]]&lt;30, "Middle Age", Table3[[#This Row],[Age]]&lt; 60,"Adult",Table3[[#This Row],[Age]],"Senior Citizen")</f>
        <v>Senior Citizen</v>
      </c>
      <c r="D195" t="s">
        <v>12</v>
      </c>
      <c r="E195" t="s">
        <v>13</v>
      </c>
      <c r="F195" t="s">
        <v>90</v>
      </c>
      <c r="G195" s="1">
        <v>45605</v>
      </c>
      <c r="H195" s="1">
        <v>45610</v>
      </c>
      <c r="I195" s="2">
        <f>Table3[[#This Row],[Discharge_Date]]-Table3[[#This Row],[Admission_Date]]</f>
        <v>5</v>
      </c>
      <c r="J195">
        <v>70</v>
      </c>
      <c r="K195" t="s">
        <v>15</v>
      </c>
      <c r="L195" t="s">
        <v>26</v>
      </c>
      <c r="M195">
        <f>IF(Table3[[#This Row],[Treatment_Success]]="Yes",1,0)</f>
        <v>0</v>
      </c>
      <c r="N195">
        <v>50260</v>
      </c>
    </row>
    <row r="196" spans="1:14" x14ac:dyDescent="0.35">
      <c r="A196" t="s">
        <v>243</v>
      </c>
      <c r="B196">
        <v>88</v>
      </c>
      <c r="C196" t="str">
        <f>_xlfn.IFS(Table3[[#This Row],[Age]]&lt;=10, "Child",Table3[[#This Row],[Age]]&lt;18, "Teenger", Table3[[#This Row],[Age]]&lt;30, "Middle Age", Table3[[#This Row],[Age]]&lt; 60,"Adult",Table3[[#This Row],[Age]],"Senior Citizen")</f>
        <v>Senior Citizen</v>
      </c>
      <c r="D196" t="s">
        <v>12</v>
      </c>
      <c r="E196" t="s">
        <v>38</v>
      </c>
      <c r="F196" t="s">
        <v>40</v>
      </c>
      <c r="G196" s="1">
        <v>45519</v>
      </c>
      <c r="H196" s="1">
        <v>45521</v>
      </c>
      <c r="I196" s="2">
        <f>Table3[[#This Row],[Discharge_Date]]-Table3[[#This Row],[Admission_Date]]</f>
        <v>2</v>
      </c>
      <c r="J196">
        <v>34</v>
      </c>
      <c r="K196" t="s">
        <v>33</v>
      </c>
      <c r="L196" t="s">
        <v>16</v>
      </c>
      <c r="M196">
        <f>IF(Table3[[#This Row],[Treatment_Success]]="Yes",1,0)</f>
        <v>1</v>
      </c>
      <c r="N196">
        <v>46289</v>
      </c>
    </row>
    <row r="197" spans="1:14" x14ac:dyDescent="0.35">
      <c r="A197" t="s">
        <v>244</v>
      </c>
      <c r="B197">
        <v>90</v>
      </c>
      <c r="C197" t="str">
        <f>_xlfn.IFS(Table3[[#This Row],[Age]]&lt;=10, "Child",Table3[[#This Row],[Age]]&lt;18, "Teenger", Table3[[#This Row],[Age]]&lt;30, "Middle Age", Table3[[#This Row],[Age]]&lt; 60,"Adult",Table3[[#This Row],[Age]],"Senior Citizen")</f>
        <v>Senior Citizen</v>
      </c>
      <c r="D197" t="s">
        <v>18</v>
      </c>
      <c r="E197" t="s">
        <v>38</v>
      </c>
      <c r="F197" t="s">
        <v>49</v>
      </c>
      <c r="G197" s="1">
        <v>45656</v>
      </c>
      <c r="H197" s="1">
        <v>45668</v>
      </c>
      <c r="I197" s="2">
        <f>Table3[[#This Row],[Discharge_Date]]-Table3[[#This Row],[Admission_Date]]</f>
        <v>12</v>
      </c>
      <c r="J197">
        <v>115</v>
      </c>
      <c r="K197" t="s">
        <v>15</v>
      </c>
      <c r="L197" t="s">
        <v>16</v>
      </c>
      <c r="M197">
        <f>IF(Table3[[#This Row],[Treatment_Success]]="Yes",1,0)</f>
        <v>1</v>
      </c>
      <c r="N197">
        <v>41405</v>
      </c>
    </row>
    <row r="198" spans="1:14" x14ac:dyDescent="0.35">
      <c r="A198" t="s">
        <v>245</v>
      </c>
      <c r="B198">
        <v>64</v>
      </c>
      <c r="C198" t="str">
        <f>_xlfn.IFS(Table3[[#This Row],[Age]]&lt;=10, "Child",Table3[[#This Row],[Age]]&lt;18, "Teenger", Table3[[#This Row],[Age]]&lt;30, "Middle Age", Table3[[#This Row],[Age]]&lt; 60,"Adult",Table3[[#This Row],[Age]],"Senior Citizen")</f>
        <v>Senior Citizen</v>
      </c>
      <c r="D198" t="s">
        <v>18</v>
      </c>
      <c r="E198" t="s">
        <v>38</v>
      </c>
      <c r="F198" t="s">
        <v>61</v>
      </c>
      <c r="G198" s="1">
        <v>45413</v>
      </c>
      <c r="H198" s="1">
        <v>45426</v>
      </c>
      <c r="I198" s="2">
        <f>Table3[[#This Row],[Discharge_Date]]-Table3[[#This Row],[Admission_Date]]</f>
        <v>13</v>
      </c>
      <c r="J198">
        <v>294</v>
      </c>
      <c r="K198" t="s">
        <v>33</v>
      </c>
      <c r="L198" t="s">
        <v>26</v>
      </c>
      <c r="M198">
        <f>IF(Table3[[#This Row],[Treatment_Success]]="Yes",1,0)</f>
        <v>0</v>
      </c>
      <c r="N198">
        <v>149610</v>
      </c>
    </row>
    <row r="199" spans="1:14" x14ac:dyDescent="0.35">
      <c r="A199" t="s">
        <v>246</v>
      </c>
      <c r="B199">
        <v>12</v>
      </c>
      <c r="C199" t="str">
        <f>_xlfn.IFS(Table3[[#This Row],[Age]]&lt;=10, "Child",Table3[[#This Row],[Age]]&lt;18, "Teenger", Table3[[#This Row],[Age]]&lt;30, "Middle Age", Table3[[#This Row],[Age]]&lt; 60,"Adult",Table3[[#This Row],[Age]],"Senior Citizen")</f>
        <v>Teenger</v>
      </c>
      <c r="D199" t="s">
        <v>18</v>
      </c>
      <c r="E199" t="s">
        <v>38</v>
      </c>
      <c r="F199" t="s">
        <v>56</v>
      </c>
      <c r="G199" s="1">
        <v>45358</v>
      </c>
      <c r="H199" s="1">
        <v>45368</v>
      </c>
      <c r="I199" s="2">
        <f>Table3[[#This Row],[Discharge_Date]]-Table3[[#This Row],[Admission_Date]]</f>
        <v>10</v>
      </c>
      <c r="J199">
        <v>246</v>
      </c>
      <c r="K199" t="s">
        <v>46</v>
      </c>
      <c r="L199" t="s">
        <v>26</v>
      </c>
      <c r="M199">
        <f>IF(Table3[[#This Row],[Treatment_Success]]="Yes",1,0)</f>
        <v>0</v>
      </c>
      <c r="N199">
        <v>155706</v>
      </c>
    </row>
    <row r="200" spans="1:14" x14ac:dyDescent="0.35">
      <c r="A200" t="s">
        <v>247</v>
      </c>
      <c r="B200">
        <v>41</v>
      </c>
      <c r="C200" t="str">
        <f>_xlfn.IFS(Table3[[#This Row],[Age]]&lt;=10, "Child",Table3[[#This Row],[Age]]&lt;18, "Teenger", Table3[[#This Row],[Age]]&lt;30, "Middle Age", Table3[[#This Row],[Age]]&lt; 60,"Adult",Table3[[#This Row],[Age]],"Senior Citizen")</f>
        <v>Adult</v>
      </c>
      <c r="D200" t="s">
        <v>18</v>
      </c>
      <c r="E200" t="s">
        <v>31</v>
      </c>
      <c r="F200" t="s">
        <v>20</v>
      </c>
      <c r="G200" s="1">
        <v>45329</v>
      </c>
      <c r="H200" s="1">
        <v>45332</v>
      </c>
      <c r="I200" s="2">
        <f>Table3[[#This Row],[Discharge_Date]]-Table3[[#This Row],[Admission_Date]]</f>
        <v>3</v>
      </c>
      <c r="J200">
        <v>265</v>
      </c>
      <c r="K200" t="s">
        <v>33</v>
      </c>
      <c r="L200" t="s">
        <v>16</v>
      </c>
      <c r="M200">
        <f>IF(Table3[[#This Row],[Treatment_Success]]="Yes",1,0)</f>
        <v>1</v>
      </c>
      <c r="N200">
        <v>149520</v>
      </c>
    </row>
    <row r="201" spans="1:14" x14ac:dyDescent="0.35">
      <c r="A201" t="s">
        <v>248</v>
      </c>
      <c r="B201">
        <v>24</v>
      </c>
      <c r="C201" t="str">
        <f>_xlfn.IFS(Table3[[#This Row],[Age]]&lt;=10, "Child",Table3[[#This Row],[Age]]&lt;18, "Teenger", Table3[[#This Row],[Age]]&lt;30, "Middle Age", Table3[[#This Row],[Age]]&lt; 60,"Adult",Table3[[#This Row],[Age]],"Senior Citizen")</f>
        <v>Middle Age</v>
      </c>
      <c r="D201" t="s">
        <v>18</v>
      </c>
      <c r="E201" t="s">
        <v>31</v>
      </c>
      <c r="F201" t="s">
        <v>49</v>
      </c>
      <c r="G201" s="1">
        <v>45619</v>
      </c>
      <c r="H201" s="1">
        <v>45629</v>
      </c>
      <c r="I201" s="2">
        <f>Table3[[#This Row],[Discharge_Date]]-Table3[[#This Row],[Admission_Date]]</f>
        <v>10</v>
      </c>
      <c r="J201">
        <v>29</v>
      </c>
      <c r="K201" t="s">
        <v>15</v>
      </c>
      <c r="L201" t="s">
        <v>16</v>
      </c>
      <c r="M201">
        <f>IF(Table3[[#This Row],[Treatment_Success]]="Yes",1,0)</f>
        <v>1</v>
      </c>
      <c r="N201">
        <v>84724</v>
      </c>
    </row>
    <row r="202" spans="1:14" x14ac:dyDescent="0.35">
      <c r="A202" t="s">
        <v>249</v>
      </c>
      <c r="B202">
        <v>42</v>
      </c>
      <c r="C202" t="str">
        <f>_xlfn.IFS(Table3[[#This Row],[Age]]&lt;=10, "Child",Table3[[#This Row],[Age]]&lt;18, "Teenger", Table3[[#This Row],[Age]]&lt;30, "Middle Age", Table3[[#This Row],[Age]]&lt; 60,"Adult",Table3[[#This Row],[Age]],"Senior Citizen")</f>
        <v>Adult</v>
      </c>
      <c r="D202" t="s">
        <v>18</v>
      </c>
      <c r="E202" t="s">
        <v>38</v>
      </c>
      <c r="F202" t="s">
        <v>49</v>
      </c>
      <c r="G202" s="1">
        <v>45376</v>
      </c>
      <c r="H202" s="1">
        <v>45379</v>
      </c>
      <c r="I202" s="2">
        <f>Table3[[#This Row],[Discharge_Date]]-Table3[[#This Row],[Admission_Date]]</f>
        <v>3</v>
      </c>
      <c r="J202">
        <v>146</v>
      </c>
      <c r="K202" t="s">
        <v>15</v>
      </c>
      <c r="L202" t="s">
        <v>16</v>
      </c>
      <c r="M202">
        <f>IF(Table3[[#This Row],[Treatment_Success]]="Yes",1,0)</f>
        <v>1</v>
      </c>
      <c r="N202">
        <v>56459</v>
      </c>
    </row>
    <row r="203" spans="1:14" x14ac:dyDescent="0.35">
      <c r="A203" t="s">
        <v>250</v>
      </c>
      <c r="B203">
        <v>36</v>
      </c>
      <c r="C203" t="str">
        <f>_xlfn.IFS(Table3[[#This Row],[Age]]&lt;=10, "Child",Table3[[#This Row],[Age]]&lt;18, "Teenger", Table3[[#This Row],[Age]]&lt;30, "Middle Age", Table3[[#This Row],[Age]]&lt; 60,"Adult",Table3[[#This Row],[Age]],"Senior Citizen")</f>
        <v>Adult</v>
      </c>
      <c r="D203" t="s">
        <v>18</v>
      </c>
      <c r="E203" t="s">
        <v>38</v>
      </c>
      <c r="F203" t="s">
        <v>35</v>
      </c>
      <c r="G203" s="1">
        <v>45617</v>
      </c>
      <c r="H203" s="1">
        <v>45626</v>
      </c>
      <c r="I203" s="2">
        <f>Table3[[#This Row],[Discharge_Date]]-Table3[[#This Row],[Admission_Date]]</f>
        <v>9</v>
      </c>
      <c r="J203">
        <v>274</v>
      </c>
      <c r="K203" t="s">
        <v>15</v>
      </c>
      <c r="L203" t="s">
        <v>16</v>
      </c>
      <c r="M203">
        <f>IF(Table3[[#This Row],[Treatment_Success]]="Yes",1,0)</f>
        <v>1</v>
      </c>
      <c r="N203">
        <v>160139</v>
      </c>
    </row>
    <row r="204" spans="1:14" x14ac:dyDescent="0.35">
      <c r="A204" t="s">
        <v>251</v>
      </c>
      <c r="B204">
        <v>22</v>
      </c>
      <c r="C204" t="str">
        <f>_xlfn.IFS(Table3[[#This Row],[Age]]&lt;=10, "Child",Table3[[#This Row],[Age]]&lt;18, "Teenger", Table3[[#This Row],[Age]]&lt;30, "Middle Age", Table3[[#This Row],[Age]]&lt; 60,"Adult",Table3[[#This Row],[Age]],"Senior Citizen")</f>
        <v>Middle Age</v>
      </c>
      <c r="D204" t="s">
        <v>12</v>
      </c>
      <c r="E204" t="s">
        <v>28</v>
      </c>
      <c r="F204" t="s">
        <v>52</v>
      </c>
      <c r="G204" s="1">
        <v>45589</v>
      </c>
      <c r="H204" s="1">
        <v>45592</v>
      </c>
      <c r="I204" s="2">
        <f>Table3[[#This Row],[Discharge_Date]]-Table3[[#This Row],[Admission_Date]]</f>
        <v>3</v>
      </c>
      <c r="J204">
        <v>15</v>
      </c>
      <c r="K204" t="s">
        <v>15</v>
      </c>
      <c r="L204" t="s">
        <v>16</v>
      </c>
      <c r="M204">
        <f>IF(Table3[[#This Row],[Treatment_Success]]="Yes",1,0)</f>
        <v>1</v>
      </c>
      <c r="N204">
        <v>173153</v>
      </c>
    </row>
    <row r="205" spans="1:14" x14ac:dyDescent="0.35">
      <c r="A205" t="s">
        <v>252</v>
      </c>
      <c r="B205">
        <v>84</v>
      </c>
      <c r="C205" t="str">
        <f>_xlfn.IFS(Table3[[#This Row],[Age]]&lt;=10, "Child",Table3[[#This Row],[Age]]&lt;18, "Teenger", Table3[[#This Row],[Age]]&lt;30, "Middle Age", Table3[[#This Row],[Age]]&lt; 60,"Adult",Table3[[#This Row],[Age]],"Senior Citizen")</f>
        <v>Senior Citizen</v>
      </c>
      <c r="D205" t="s">
        <v>18</v>
      </c>
      <c r="E205" t="s">
        <v>28</v>
      </c>
      <c r="F205" t="s">
        <v>93</v>
      </c>
      <c r="G205" s="1">
        <v>45587</v>
      </c>
      <c r="H205" s="1">
        <v>45592</v>
      </c>
      <c r="I205" s="2">
        <f>Table3[[#This Row],[Discharge_Date]]-Table3[[#This Row],[Admission_Date]]</f>
        <v>5</v>
      </c>
      <c r="J205">
        <v>16</v>
      </c>
      <c r="K205" t="s">
        <v>46</v>
      </c>
      <c r="L205" t="s">
        <v>16</v>
      </c>
      <c r="M205">
        <f>IF(Table3[[#This Row],[Treatment_Success]]="Yes",1,0)</f>
        <v>1</v>
      </c>
      <c r="N205">
        <v>173272</v>
      </c>
    </row>
    <row r="206" spans="1:14" x14ac:dyDescent="0.35">
      <c r="A206" t="s">
        <v>253</v>
      </c>
      <c r="B206">
        <v>32</v>
      </c>
      <c r="C206" t="str">
        <f>_xlfn.IFS(Table3[[#This Row],[Age]]&lt;=10, "Child",Table3[[#This Row],[Age]]&lt;18, "Teenger", Table3[[#This Row],[Age]]&lt;30, "Middle Age", Table3[[#This Row],[Age]]&lt; 60,"Adult",Table3[[#This Row],[Age]],"Senior Citizen")</f>
        <v>Adult</v>
      </c>
      <c r="D206" t="s">
        <v>12</v>
      </c>
      <c r="E206" t="s">
        <v>38</v>
      </c>
      <c r="F206" t="s">
        <v>20</v>
      </c>
      <c r="G206" s="1">
        <v>45446</v>
      </c>
      <c r="H206" s="1">
        <v>45454</v>
      </c>
      <c r="I206" s="2">
        <f>Table3[[#This Row],[Discharge_Date]]-Table3[[#This Row],[Admission_Date]]</f>
        <v>8</v>
      </c>
      <c r="J206">
        <v>38</v>
      </c>
      <c r="K206" t="s">
        <v>15</v>
      </c>
      <c r="L206" t="s">
        <v>16</v>
      </c>
      <c r="M206">
        <f>IF(Table3[[#This Row],[Treatment_Success]]="Yes",1,0)</f>
        <v>1</v>
      </c>
      <c r="N206">
        <v>120239</v>
      </c>
    </row>
    <row r="207" spans="1:14" x14ac:dyDescent="0.35">
      <c r="A207" t="s">
        <v>254</v>
      </c>
      <c r="B207">
        <v>60</v>
      </c>
      <c r="C207" t="str">
        <f>_xlfn.IFS(Table3[[#This Row],[Age]]&lt;=10, "Child",Table3[[#This Row],[Age]]&lt;18, "Teenger", Table3[[#This Row],[Age]]&lt;30, "Middle Age", Table3[[#This Row],[Age]]&lt; 60,"Adult",Table3[[#This Row],[Age]],"Senior Citizen")</f>
        <v>Senior Citizen</v>
      </c>
      <c r="D207" t="s">
        <v>18</v>
      </c>
      <c r="E207" t="s">
        <v>38</v>
      </c>
      <c r="F207" t="s">
        <v>35</v>
      </c>
      <c r="G207" s="1">
        <v>45504</v>
      </c>
      <c r="H207" s="1">
        <v>45512</v>
      </c>
      <c r="I207" s="2">
        <f>Table3[[#This Row],[Discharge_Date]]-Table3[[#This Row],[Admission_Date]]</f>
        <v>8</v>
      </c>
      <c r="J207">
        <v>74</v>
      </c>
      <c r="K207" t="s">
        <v>33</v>
      </c>
      <c r="L207" t="s">
        <v>16</v>
      </c>
      <c r="M207">
        <f>IF(Table3[[#This Row],[Treatment_Success]]="Yes",1,0)</f>
        <v>1</v>
      </c>
      <c r="N207">
        <v>197466</v>
      </c>
    </row>
    <row r="208" spans="1:14" x14ac:dyDescent="0.35">
      <c r="A208" t="s">
        <v>255</v>
      </c>
      <c r="B208">
        <v>17</v>
      </c>
      <c r="C208" t="str">
        <f>_xlfn.IFS(Table3[[#This Row],[Age]]&lt;=10, "Child",Table3[[#This Row],[Age]]&lt;18, "Teenger", Table3[[#This Row],[Age]]&lt;30, "Middle Age", Table3[[#This Row],[Age]]&lt; 60,"Adult",Table3[[#This Row],[Age]],"Senior Citizen")</f>
        <v>Teenger</v>
      </c>
      <c r="D208" t="s">
        <v>12</v>
      </c>
      <c r="E208" t="s">
        <v>28</v>
      </c>
      <c r="F208" t="s">
        <v>61</v>
      </c>
      <c r="G208" s="1">
        <v>45468</v>
      </c>
      <c r="H208" s="1">
        <v>45475</v>
      </c>
      <c r="I208" s="2">
        <f>Table3[[#This Row],[Discharge_Date]]-Table3[[#This Row],[Admission_Date]]</f>
        <v>7</v>
      </c>
      <c r="J208">
        <v>55</v>
      </c>
      <c r="K208" t="s">
        <v>33</v>
      </c>
      <c r="L208" t="s">
        <v>16</v>
      </c>
      <c r="M208">
        <f>IF(Table3[[#This Row],[Treatment_Success]]="Yes",1,0)</f>
        <v>1</v>
      </c>
      <c r="N208">
        <v>127282</v>
      </c>
    </row>
    <row r="209" spans="1:14" x14ac:dyDescent="0.35">
      <c r="A209" t="s">
        <v>256</v>
      </c>
      <c r="B209">
        <v>58</v>
      </c>
      <c r="C209" t="str">
        <f>_xlfn.IFS(Table3[[#This Row],[Age]]&lt;=10, "Child",Table3[[#This Row],[Age]]&lt;18, "Teenger", Table3[[#This Row],[Age]]&lt;30, "Middle Age", Table3[[#This Row],[Age]]&lt; 60,"Adult",Table3[[#This Row],[Age]],"Senior Citizen")</f>
        <v>Adult</v>
      </c>
      <c r="D209" t="s">
        <v>18</v>
      </c>
      <c r="E209" t="s">
        <v>13</v>
      </c>
      <c r="F209" t="s">
        <v>90</v>
      </c>
      <c r="G209" s="1">
        <v>45354</v>
      </c>
      <c r="H209" s="1">
        <v>45359</v>
      </c>
      <c r="I209" s="2">
        <f>Table3[[#This Row],[Discharge_Date]]-Table3[[#This Row],[Admission_Date]]</f>
        <v>5</v>
      </c>
      <c r="J209">
        <v>26</v>
      </c>
      <c r="K209" t="s">
        <v>33</v>
      </c>
      <c r="L209" t="s">
        <v>26</v>
      </c>
      <c r="M209">
        <f>IF(Table3[[#This Row],[Treatment_Success]]="Yes",1,0)</f>
        <v>0</v>
      </c>
      <c r="N209">
        <v>166317</v>
      </c>
    </row>
    <row r="210" spans="1:14" x14ac:dyDescent="0.35">
      <c r="A210" t="s">
        <v>257</v>
      </c>
      <c r="B210">
        <v>21</v>
      </c>
      <c r="C210" t="str">
        <f>_xlfn.IFS(Table3[[#This Row],[Age]]&lt;=10, "Child",Table3[[#This Row],[Age]]&lt;18, "Teenger", Table3[[#This Row],[Age]]&lt;30, "Middle Age", Table3[[#This Row],[Age]]&lt; 60,"Adult",Table3[[#This Row],[Age]],"Senior Citizen")</f>
        <v>Middle Age</v>
      </c>
      <c r="D210" t="s">
        <v>12</v>
      </c>
      <c r="E210" t="s">
        <v>28</v>
      </c>
      <c r="F210" t="s">
        <v>25</v>
      </c>
      <c r="G210" s="1">
        <v>45506</v>
      </c>
      <c r="H210" s="1">
        <v>45510</v>
      </c>
      <c r="I210" s="2">
        <f>Table3[[#This Row],[Discharge_Date]]-Table3[[#This Row],[Admission_Date]]</f>
        <v>4</v>
      </c>
      <c r="J210">
        <v>161</v>
      </c>
      <c r="K210" t="s">
        <v>36</v>
      </c>
      <c r="L210" t="s">
        <v>16</v>
      </c>
      <c r="M210">
        <f>IF(Table3[[#This Row],[Treatment_Success]]="Yes",1,0)</f>
        <v>1</v>
      </c>
      <c r="N210">
        <v>135617</v>
      </c>
    </row>
    <row r="211" spans="1:14" x14ac:dyDescent="0.35">
      <c r="A211" t="s">
        <v>258</v>
      </c>
      <c r="B211">
        <v>64</v>
      </c>
      <c r="C211" t="str">
        <f>_xlfn.IFS(Table3[[#This Row],[Age]]&lt;=10, "Child",Table3[[#This Row],[Age]]&lt;18, "Teenger", Table3[[#This Row],[Age]]&lt;30, "Middle Age", Table3[[#This Row],[Age]]&lt; 60,"Adult",Table3[[#This Row],[Age]],"Senior Citizen")</f>
        <v>Senior Citizen</v>
      </c>
      <c r="D211" t="s">
        <v>12</v>
      </c>
      <c r="E211" t="s">
        <v>31</v>
      </c>
      <c r="F211" t="s">
        <v>80</v>
      </c>
      <c r="G211" s="1">
        <v>45555</v>
      </c>
      <c r="H211" s="1">
        <v>45563</v>
      </c>
      <c r="I211" s="2">
        <f>Table3[[#This Row],[Discharge_Date]]-Table3[[#This Row],[Admission_Date]]</f>
        <v>8</v>
      </c>
      <c r="J211">
        <v>47</v>
      </c>
      <c r="K211" t="s">
        <v>46</v>
      </c>
      <c r="L211" t="s">
        <v>26</v>
      </c>
      <c r="M211">
        <f>IF(Table3[[#This Row],[Treatment_Success]]="Yes",1,0)</f>
        <v>0</v>
      </c>
      <c r="N211">
        <v>68105</v>
      </c>
    </row>
    <row r="212" spans="1:14" x14ac:dyDescent="0.35">
      <c r="A212" t="s">
        <v>259</v>
      </c>
      <c r="B212">
        <v>46</v>
      </c>
      <c r="C212" t="str">
        <f>_xlfn.IFS(Table3[[#This Row],[Age]]&lt;=10, "Child",Table3[[#This Row],[Age]]&lt;18, "Teenger", Table3[[#This Row],[Age]]&lt;30, "Middle Age", Table3[[#This Row],[Age]]&lt; 60,"Adult",Table3[[#This Row],[Age]],"Senior Citizen")</f>
        <v>Adult</v>
      </c>
      <c r="D212" t="s">
        <v>18</v>
      </c>
      <c r="E212" t="s">
        <v>24</v>
      </c>
      <c r="F212" t="s">
        <v>83</v>
      </c>
      <c r="G212" s="1">
        <v>45402</v>
      </c>
      <c r="H212" s="1">
        <v>45412</v>
      </c>
      <c r="I212" s="2">
        <f>Table3[[#This Row],[Discharge_Date]]-Table3[[#This Row],[Admission_Date]]</f>
        <v>10</v>
      </c>
      <c r="J212">
        <v>254</v>
      </c>
      <c r="K212" t="s">
        <v>46</v>
      </c>
      <c r="L212" t="s">
        <v>16</v>
      </c>
      <c r="M212">
        <f>IF(Table3[[#This Row],[Treatment_Success]]="Yes",1,0)</f>
        <v>1</v>
      </c>
      <c r="N212">
        <v>145690</v>
      </c>
    </row>
    <row r="213" spans="1:14" x14ac:dyDescent="0.35">
      <c r="A213" t="s">
        <v>260</v>
      </c>
      <c r="B213">
        <v>14</v>
      </c>
      <c r="C213" t="str">
        <f>_xlfn.IFS(Table3[[#This Row],[Age]]&lt;=10, "Child",Table3[[#This Row],[Age]]&lt;18, "Teenger", Table3[[#This Row],[Age]]&lt;30, "Middle Age", Table3[[#This Row],[Age]]&lt; 60,"Adult",Table3[[#This Row],[Age]],"Senior Citizen")</f>
        <v>Teenger</v>
      </c>
      <c r="D213" t="s">
        <v>12</v>
      </c>
      <c r="E213" t="s">
        <v>13</v>
      </c>
      <c r="F213" t="s">
        <v>32</v>
      </c>
      <c r="G213" s="1">
        <v>45296</v>
      </c>
      <c r="H213" s="1">
        <v>45310</v>
      </c>
      <c r="I213" s="2">
        <f>Table3[[#This Row],[Discharge_Date]]-Table3[[#This Row],[Admission_Date]]</f>
        <v>14</v>
      </c>
      <c r="J213">
        <v>188</v>
      </c>
      <c r="K213" t="s">
        <v>46</v>
      </c>
      <c r="L213" t="s">
        <v>16</v>
      </c>
      <c r="M213">
        <f>IF(Table3[[#This Row],[Treatment_Success]]="Yes",1,0)</f>
        <v>1</v>
      </c>
      <c r="N213">
        <v>16860</v>
      </c>
    </row>
    <row r="214" spans="1:14" x14ac:dyDescent="0.35">
      <c r="A214" t="s">
        <v>261</v>
      </c>
      <c r="B214">
        <v>73</v>
      </c>
      <c r="C214" t="str">
        <f>_xlfn.IFS(Table3[[#This Row],[Age]]&lt;=10, "Child",Table3[[#This Row],[Age]]&lt;18, "Teenger", Table3[[#This Row],[Age]]&lt;30, "Middle Age", Table3[[#This Row],[Age]]&lt; 60,"Adult",Table3[[#This Row],[Age]],"Senior Citizen")</f>
        <v>Senior Citizen</v>
      </c>
      <c r="D214" t="s">
        <v>18</v>
      </c>
      <c r="E214" t="s">
        <v>38</v>
      </c>
      <c r="F214" t="s">
        <v>61</v>
      </c>
      <c r="G214" s="1">
        <v>45497</v>
      </c>
      <c r="H214" s="1">
        <v>45498</v>
      </c>
      <c r="I214" s="2">
        <f>Table3[[#This Row],[Discharge_Date]]-Table3[[#This Row],[Admission_Date]]</f>
        <v>1</v>
      </c>
      <c r="J214">
        <v>148</v>
      </c>
      <c r="K214" t="s">
        <v>15</v>
      </c>
      <c r="L214" t="s">
        <v>26</v>
      </c>
      <c r="M214">
        <f>IF(Table3[[#This Row],[Treatment_Success]]="Yes",1,0)</f>
        <v>0</v>
      </c>
      <c r="N214">
        <v>137187</v>
      </c>
    </row>
    <row r="215" spans="1:14" x14ac:dyDescent="0.35">
      <c r="A215" t="s">
        <v>262</v>
      </c>
      <c r="B215">
        <v>71</v>
      </c>
      <c r="C215" t="str">
        <f>_xlfn.IFS(Table3[[#This Row],[Age]]&lt;=10, "Child",Table3[[#This Row],[Age]]&lt;18, "Teenger", Table3[[#This Row],[Age]]&lt;30, "Middle Age", Table3[[#This Row],[Age]]&lt; 60,"Adult",Table3[[#This Row],[Age]],"Senior Citizen")</f>
        <v>Senior Citizen</v>
      </c>
      <c r="D215" t="s">
        <v>12</v>
      </c>
      <c r="E215" t="s">
        <v>28</v>
      </c>
      <c r="F215" t="s">
        <v>54</v>
      </c>
      <c r="G215" s="1">
        <v>45522</v>
      </c>
      <c r="H215" s="1">
        <v>45535</v>
      </c>
      <c r="I215" s="2">
        <f>Table3[[#This Row],[Discharge_Date]]-Table3[[#This Row],[Admission_Date]]</f>
        <v>13</v>
      </c>
      <c r="J215">
        <v>61</v>
      </c>
      <c r="K215" t="s">
        <v>36</v>
      </c>
      <c r="L215" t="s">
        <v>16</v>
      </c>
      <c r="M215">
        <f>IF(Table3[[#This Row],[Treatment_Success]]="Yes",1,0)</f>
        <v>1</v>
      </c>
      <c r="N215">
        <v>108259</v>
      </c>
    </row>
    <row r="216" spans="1:14" x14ac:dyDescent="0.35">
      <c r="A216" t="s">
        <v>263</v>
      </c>
      <c r="B216">
        <v>44</v>
      </c>
      <c r="C216" t="str">
        <f>_xlfn.IFS(Table3[[#This Row],[Age]]&lt;=10, "Child",Table3[[#This Row],[Age]]&lt;18, "Teenger", Table3[[#This Row],[Age]]&lt;30, "Middle Age", Table3[[#This Row],[Age]]&lt; 60,"Adult",Table3[[#This Row],[Age]],"Senior Citizen")</f>
        <v>Adult</v>
      </c>
      <c r="D216" t="s">
        <v>12</v>
      </c>
      <c r="E216" t="s">
        <v>13</v>
      </c>
      <c r="F216" t="s">
        <v>29</v>
      </c>
      <c r="G216" s="1">
        <v>45483</v>
      </c>
      <c r="H216" s="1">
        <v>45496</v>
      </c>
      <c r="I216" s="2">
        <f>Table3[[#This Row],[Discharge_Date]]-Table3[[#This Row],[Admission_Date]]</f>
        <v>13</v>
      </c>
      <c r="J216">
        <v>261</v>
      </c>
      <c r="K216" t="s">
        <v>46</v>
      </c>
      <c r="L216" t="s">
        <v>16</v>
      </c>
      <c r="M216">
        <f>IF(Table3[[#This Row],[Treatment_Success]]="Yes",1,0)</f>
        <v>1</v>
      </c>
      <c r="N216">
        <v>16876</v>
      </c>
    </row>
    <row r="217" spans="1:14" x14ac:dyDescent="0.35">
      <c r="A217" t="s">
        <v>264</v>
      </c>
      <c r="B217">
        <v>43</v>
      </c>
      <c r="C217" t="str">
        <f>_xlfn.IFS(Table3[[#This Row],[Age]]&lt;=10, "Child",Table3[[#This Row],[Age]]&lt;18, "Teenger", Table3[[#This Row],[Age]]&lt;30, "Middle Age", Table3[[#This Row],[Age]]&lt; 60,"Adult",Table3[[#This Row],[Age]],"Senior Citizen")</f>
        <v>Adult</v>
      </c>
      <c r="D217" t="s">
        <v>12</v>
      </c>
      <c r="E217" t="s">
        <v>28</v>
      </c>
      <c r="F217" t="s">
        <v>20</v>
      </c>
      <c r="G217" s="1">
        <v>45311</v>
      </c>
      <c r="H217" s="1">
        <v>45314</v>
      </c>
      <c r="I217" s="2">
        <f>Table3[[#This Row],[Discharge_Date]]-Table3[[#This Row],[Admission_Date]]</f>
        <v>3</v>
      </c>
      <c r="J217">
        <v>77</v>
      </c>
      <c r="K217" t="s">
        <v>36</v>
      </c>
      <c r="L217" t="s">
        <v>16</v>
      </c>
      <c r="M217">
        <f>IF(Table3[[#This Row],[Treatment_Success]]="Yes",1,0)</f>
        <v>1</v>
      </c>
      <c r="N217">
        <v>165712</v>
      </c>
    </row>
    <row r="218" spans="1:14" x14ac:dyDescent="0.35">
      <c r="A218" t="s">
        <v>265</v>
      </c>
      <c r="B218">
        <v>51</v>
      </c>
      <c r="C218" t="str">
        <f>_xlfn.IFS(Table3[[#This Row],[Age]]&lt;=10, "Child",Table3[[#This Row],[Age]]&lt;18, "Teenger", Table3[[#This Row],[Age]]&lt;30, "Middle Age", Table3[[#This Row],[Age]]&lt; 60,"Adult",Table3[[#This Row],[Age]],"Senior Citizen")</f>
        <v>Adult</v>
      </c>
      <c r="D218" t="s">
        <v>12</v>
      </c>
      <c r="E218" t="s">
        <v>28</v>
      </c>
      <c r="F218" t="s">
        <v>95</v>
      </c>
      <c r="G218" s="1">
        <v>45455</v>
      </c>
      <c r="H218" s="1">
        <v>45458</v>
      </c>
      <c r="I218" s="2">
        <f>Table3[[#This Row],[Discharge_Date]]-Table3[[#This Row],[Admission_Date]]</f>
        <v>3</v>
      </c>
      <c r="J218">
        <v>260</v>
      </c>
      <c r="K218" t="s">
        <v>46</v>
      </c>
      <c r="L218" t="s">
        <v>16</v>
      </c>
      <c r="M218">
        <f>IF(Table3[[#This Row],[Treatment_Success]]="Yes",1,0)</f>
        <v>1</v>
      </c>
      <c r="N218">
        <v>129490</v>
      </c>
    </row>
    <row r="219" spans="1:14" x14ac:dyDescent="0.35">
      <c r="A219" t="s">
        <v>266</v>
      </c>
      <c r="B219">
        <v>43</v>
      </c>
      <c r="C219" t="str">
        <f>_xlfn.IFS(Table3[[#This Row],[Age]]&lt;=10, "Child",Table3[[#This Row],[Age]]&lt;18, "Teenger", Table3[[#This Row],[Age]]&lt;30, "Middle Age", Table3[[#This Row],[Age]]&lt; 60,"Adult",Table3[[#This Row],[Age]],"Senior Citizen")</f>
        <v>Adult</v>
      </c>
      <c r="D219" t="s">
        <v>18</v>
      </c>
      <c r="E219" t="s">
        <v>31</v>
      </c>
      <c r="F219" t="s">
        <v>58</v>
      </c>
      <c r="G219" s="1">
        <v>45300</v>
      </c>
      <c r="H219" s="1">
        <v>45306</v>
      </c>
      <c r="I219" s="2">
        <f>Table3[[#This Row],[Discharge_Date]]-Table3[[#This Row],[Admission_Date]]</f>
        <v>6</v>
      </c>
      <c r="J219">
        <v>158</v>
      </c>
      <c r="K219" t="s">
        <v>15</v>
      </c>
      <c r="L219" t="s">
        <v>26</v>
      </c>
      <c r="M219">
        <f>IF(Table3[[#This Row],[Treatment_Success]]="Yes",1,0)</f>
        <v>0</v>
      </c>
      <c r="N219">
        <v>74607</v>
      </c>
    </row>
    <row r="220" spans="1:14" x14ac:dyDescent="0.35">
      <c r="A220" t="s">
        <v>267</v>
      </c>
      <c r="B220">
        <v>75</v>
      </c>
      <c r="C220" t="str">
        <f>_xlfn.IFS(Table3[[#This Row],[Age]]&lt;=10, "Child",Table3[[#This Row],[Age]]&lt;18, "Teenger", Table3[[#This Row],[Age]]&lt;30, "Middle Age", Table3[[#This Row],[Age]]&lt; 60,"Adult",Table3[[#This Row],[Age]],"Senior Citizen")</f>
        <v>Senior Citizen</v>
      </c>
      <c r="D220" t="s">
        <v>18</v>
      </c>
      <c r="E220" t="s">
        <v>24</v>
      </c>
      <c r="F220" t="s">
        <v>58</v>
      </c>
      <c r="G220" s="1">
        <v>45627</v>
      </c>
      <c r="H220" s="1">
        <v>45640</v>
      </c>
      <c r="I220" s="2">
        <f>Table3[[#This Row],[Discharge_Date]]-Table3[[#This Row],[Admission_Date]]</f>
        <v>13</v>
      </c>
      <c r="J220">
        <v>246</v>
      </c>
      <c r="K220" t="s">
        <v>36</v>
      </c>
      <c r="L220" t="s">
        <v>26</v>
      </c>
      <c r="M220">
        <f>IF(Table3[[#This Row],[Treatment_Success]]="Yes",1,0)</f>
        <v>0</v>
      </c>
      <c r="N220">
        <v>43738</v>
      </c>
    </row>
    <row r="221" spans="1:14" x14ac:dyDescent="0.35">
      <c r="A221" t="s">
        <v>268</v>
      </c>
      <c r="B221">
        <v>5</v>
      </c>
      <c r="C221" t="str">
        <f>_xlfn.IFS(Table3[[#This Row],[Age]]&lt;=10, "Child",Table3[[#This Row],[Age]]&lt;18, "Teenger", Table3[[#This Row],[Age]]&lt;30, "Middle Age", Table3[[#This Row],[Age]]&lt; 60,"Adult",Table3[[#This Row],[Age]],"Senior Citizen")</f>
        <v>Child</v>
      </c>
      <c r="D221" t="s">
        <v>18</v>
      </c>
      <c r="E221" t="s">
        <v>13</v>
      </c>
      <c r="F221" t="s">
        <v>80</v>
      </c>
      <c r="G221" s="1">
        <v>45640</v>
      </c>
      <c r="H221" s="1">
        <v>45644</v>
      </c>
      <c r="I221" s="2">
        <f>Table3[[#This Row],[Discharge_Date]]-Table3[[#This Row],[Admission_Date]]</f>
        <v>4</v>
      </c>
      <c r="J221">
        <v>226</v>
      </c>
      <c r="K221" t="s">
        <v>33</v>
      </c>
      <c r="L221" t="s">
        <v>26</v>
      </c>
      <c r="M221">
        <f>IF(Table3[[#This Row],[Treatment_Success]]="Yes",1,0)</f>
        <v>0</v>
      </c>
      <c r="N221">
        <v>44696</v>
      </c>
    </row>
    <row r="222" spans="1:14" x14ac:dyDescent="0.35">
      <c r="A222" t="s">
        <v>269</v>
      </c>
      <c r="B222">
        <v>27</v>
      </c>
      <c r="C222" t="str">
        <f>_xlfn.IFS(Table3[[#This Row],[Age]]&lt;=10, "Child",Table3[[#This Row],[Age]]&lt;18, "Teenger", Table3[[#This Row],[Age]]&lt;30, "Middle Age", Table3[[#This Row],[Age]]&lt; 60,"Adult",Table3[[#This Row],[Age]],"Senior Citizen")</f>
        <v>Middle Age</v>
      </c>
      <c r="D222" t="s">
        <v>12</v>
      </c>
      <c r="E222" t="s">
        <v>28</v>
      </c>
      <c r="F222" t="s">
        <v>22</v>
      </c>
      <c r="G222" s="1">
        <v>45503</v>
      </c>
      <c r="H222" s="1">
        <v>45515</v>
      </c>
      <c r="I222" s="2">
        <f>Table3[[#This Row],[Discharge_Date]]-Table3[[#This Row],[Admission_Date]]</f>
        <v>12</v>
      </c>
      <c r="J222">
        <v>242</v>
      </c>
      <c r="K222" t="s">
        <v>15</v>
      </c>
      <c r="L222" t="s">
        <v>16</v>
      </c>
      <c r="M222">
        <f>IF(Table3[[#This Row],[Treatment_Success]]="Yes",1,0)</f>
        <v>1</v>
      </c>
      <c r="N222">
        <v>140969</v>
      </c>
    </row>
    <row r="223" spans="1:14" x14ac:dyDescent="0.35">
      <c r="A223" t="s">
        <v>270</v>
      </c>
      <c r="B223">
        <v>42</v>
      </c>
      <c r="C223" t="str">
        <f>_xlfn.IFS(Table3[[#This Row],[Age]]&lt;=10, "Child",Table3[[#This Row],[Age]]&lt;18, "Teenger", Table3[[#This Row],[Age]]&lt;30, "Middle Age", Table3[[#This Row],[Age]]&lt; 60,"Adult",Table3[[#This Row],[Age]],"Senior Citizen")</f>
        <v>Adult</v>
      </c>
      <c r="D223" t="s">
        <v>12</v>
      </c>
      <c r="E223" t="s">
        <v>28</v>
      </c>
      <c r="F223" t="s">
        <v>56</v>
      </c>
      <c r="G223" s="1">
        <v>45398</v>
      </c>
      <c r="H223" s="1">
        <v>45407</v>
      </c>
      <c r="I223" s="2">
        <f>Table3[[#This Row],[Discharge_Date]]-Table3[[#This Row],[Admission_Date]]</f>
        <v>9</v>
      </c>
      <c r="J223">
        <v>161</v>
      </c>
      <c r="K223" t="s">
        <v>36</v>
      </c>
      <c r="L223" t="s">
        <v>26</v>
      </c>
      <c r="M223">
        <f>IF(Table3[[#This Row],[Treatment_Success]]="Yes",1,0)</f>
        <v>0</v>
      </c>
      <c r="N223">
        <v>144756</v>
      </c>
    </row>
    <row r="224" spans="1:14" x14ac:dyDescent="0.35">
      <c r="A224" t="s">
        <v>271</v>
      </c>
      <c r="B224">
        <v>46</v>
      </c>
      <c r="C224" t="str">
        <f>_xlfn.IFS(Table3[[#This Row],[Age]]&lt;=10, "Child",Table3[[#This Row],[Age]]&lt;18, "Teenger", Table3[[#This Row],[Age]]&lt;30, "Middle Age", Table3[[#This Row],[Age]]&lt; 60,"Adult",Table3[[#This Row],[Age]],"Senior Citizen")</f>
        <v>Adult</v>
      </c>
      <c r="D224" t="s">
        <v>12</v>
      </c>
      <c r="E224" t="s">
        <v>28</v>
      </c>
      <c r="F224" t="s">
        <v>43</v>
      </c>
      <c r="G224" s="1">
        <v>45467</v>
      </c>
      <c r="H224" s="1">
        <v>45476</v>
      </c>
      <c r="I224" s="2">
        <f>Table3[[#This Row],[Discharge_Date]]-Table3[[#This Row],[Admission_Date]]</f>
        <v>9</v>
      </c>
      <c r="J224">
        <v>99</v>
      </c>
      <c r="K224" t="s">
        <v>36</v>
      </c>
      <c r="L224" t="s">
        <v>16</v>
      </c>
      <c r="M224">
        <f>IF(Table3[[#This Row],[Treatment_Success]]="Yes",1,0)</f>
        <v>1</v>
      </c>
      <c r="N224">
        <v>151299</v>
      </c>
    </row>
    <row r="225" spans="1:14" x14ac:dyDescent="0.35">
      <c r="A225" t="s">
        <v>272</v>
      </c>
      <c r="B225">
        <v>39</v>
      </c>
      <c r="C225" t="str">
        <f>_xlfn.IFS(Table3[[#This Row],[Age]]&lt;=10, "Child",Table3[[#This Row],[Age]]&lt;18, "Teenger", Table3[[#This Row],[Age]]&lt;30, "Middle Age", Table3[[#This Row],[Age]]&lt; 60,"Adult",Table3[[#This Row],[Age]],"Senior Citizen")</f>
        <v>Adult</v>
      </c>
      <c r="D225" t="s">
        <v>12</v>
      </c>
      <c r="E225" t="s">
        <v>13</v>
      </c>
      <c r="F225" t="s">
        <v>40</v>
      </c>
      <c r="G225" s="1">
        <v>45444</v>
      </c>
      <c r="H225" s="1">
        <v>45448</v>
      </c>
      <c r="I225" s="2">
        <f>Table3[[#This Row],[Discharge_Date]]-Table3[[#This Row],[Admission_Date]]</f>
        <v>4</v>
      </c>
      <c r="J225">
        <v>251</v>
      </c>
      <c r="K225" t="s">
        <v>33</v>
      </c>
      <c r="L225" t="s">
        <v>26</v>
      </c>
      <c r="M225">
        <f>IF(Table3[[#This Row],[Treatment_Success]]="Yes",1,0)</f>
        <v>0</v>
      </c>
      <c r="N225">
        <v>96436</v>
      </c>
    </row>
    <row r="226" spans="1:14" x14ac:dyDescent="0.35">
      <c r="A226" t="s">
        <v>273</v>
      </c>
      <c r="B226">
        <v>36</v>
      </c>
      <c r="C226" t="str">
        <f>_xlfn.IFS(Table3[[#This Row],[Age]]&lt;=10, "Child",Table3[[#This Row],[Age]]&lt;18, "Teenger", Table3[[#This Row],[Age]]&lt;30, "Middle Age", Table3[[#This Row],[Age]]&lt; 60,"Adult",Table3[[#This Row],[Age]],"Senior Citizen")</f>
        <v>Adult</v>
      </c>
      <c r="D226" t="s">
        <v>12</v>
      </c>
      <c r="E226" t="s">
        <v>24</v>
      </c>
      <c r="F226" t="s">
        <v>58</v>
      </c>
      <c r="G226" s="1">
        <v>45578</v>
      </c>
      <c r="H226" s="1">
        <v>45593</v>
      </c>
      <c r="I226" s="2">
        <f>Table3[[#This Row],[Discharge_Date]]-Table3[[#This Row],[Admission_Date]]</f>
        <v>15</v>
      </c>
      <c r="J226">
        <v>279</v>
      </c>
      <c r="K226" t="s">
        <v>46</v>
      </c>
      <c r="L226" t="s">
        <v>26</v>
      </c>
      <c r="M226">
        <f>IF(Table3[[#This Row],[Treatment_Success]]="Yes",1,0)</f>
        <v>0</v>
      </c>
      <c r="N226">
        <v>95474</v>
      </c>
    </row>
    <row r="227" spans="1:14" x14ac:dyDescent="0.35">
      <c r="A227" t="s">
        <v>274</v>
      </c>
      <c r="B227">
        <v>6</v>
      </c>
      <c r="C227" t="str">
        <f>_xlfn.IFS(Table3[[#This Row],[Age]]&lt;=10, "Child",Table3[[#This Row],[Age]]&lt;18, "Teenger", Table3[[#This Row],[Age]]&lt;30, "Middle Age", Table3[[#This Row],[Age]]&lt; 60,"Adult",Table3[[#This Row],[Age]],"Senior Citizen")</f>
        <v>Child</v>
      </c>
      <c r="D227" t="s">
        <v>12</v>
      </c>
      <c r="E227" t="s">
        <v>24</v>
      </c>
      <c r="F227" t="s">
        <v>63</v>
      </c>
      <c r="G227" s="1">
        <v>45366</v>
      </c>
      <c r="H227" s="1">
        <v>45371</v>
      </c>
      <c r="I227" s="2">
        <f>Table3[[#This Row],[Discharge_Date]]-Table3[[#This Row],[Admission_Date]]</f>
        <v>5</v>
      </c>
      <c r="J227">
        <v>227</v>
      </c>
      <c r="K227" t="s">
        <v>33</v>
      </c>
      <c r="L227" t="s">
        <v>26</v>
      </c>
      <c r="M227">
        <f>IF(Table3[[#This Row],[Treatment_Success]]="Yes",1,0)</f>
        <v>0</v>
      </c>
      <c r="N227">
        <v>61095</v>
      </c>
    </row>
    <row r="228" spans="1:14" x14ac:dyDescent="0.35">
      <c r="A228" t="s">
        <v>275</v>
      </c>
      <c r="B228">
        <v>69</v>
      </c>
      <c r="C228" t="str">
        <f>_xlfn.IFS(Table3[[#This Row],[Age]]&lt;=10, "Child",Table3[[#This Row],[Age]]&lt;18, "Teenger", Table3[[#This Row],[Age]]&lt;30, "Middle Age", Table3[[#This Row],[Age]]&lt; 60,"Adult",Table3[[#This Row],[Age]],"Senior Citizen")</f>
        <v>Senior Citizen</v>
      </c>
      <c r="D228" t="s">
        <v>12</v>
      </c>
      <c r="E228" t="s">
        <v>28</v>
      </c>
      <c r="F228" t="s">
        <v>40</v>
      </c>
      <c r="G228" s="1">
        <v>45395</v>
      </c>
      <c r="H228" s="1">
        <v>45409</v>
      </c>
      <c r="I228" s="2">
        <f>Table3[[#This Row],[Discharge_Date]]-Table3[[#This Row],[Admission_Date]]</f>
        <v>14</v>
      </c>
      <c r="J228">
        <v>140</v>
      </c>
      <c r="K228" t="s">
        <v>36</v>
      </c>
      <c r="L228" t="s">
        <v>16</v>
      </c>
      <c r="M228">
        <f>IF(Table3[[#This Row],[Treatment_Success]]="Yes",1,0)</f>
        <v>1</v>
      </c>
      <c r="N228">
        <v>166396</v>
      </c>
    </row>
    <row r="229" spans="1:14" x14ac:dyDescent="0.35">
      <c r="A229" t="s">
        <v>276</v>
      </c>
      <c r="B229">
        <v>32</v>
      </c>
      <c r="C229" t="str">
        <f>_xlfn.IFS(Table3[[#This Row],[Age]]&lt;=10, "Child",Table3[[#This Row],[Age]]&lt;18, "Teenger", Table3[[#This Row],[Age]]&lt;30, "Middle Age", Table3[[#This Row],[Age]]&lt; 60,"Adult",Table3[[#This Row],[Age]],"Senior Citizen")</f>
        <v>Adult</v>
      </c>
      <c r="D229" t="s">
        <v>18</v>
      </c>
      <c r="E229" t="s">
        <v>28</v>
      </c>
      <c r="F229" t="s">
        <v>14</v>
      </c>
      <c r="G229" s="1">
        <v>45592</v>
      </c>
      <c r="H229" s="1">
        <v>45596</v>
      </c>
      <c r="I229" s="2">
        <f>Table3[[#This Row],[Discharge_Date]]-Table3[[#This Row],[Admission_Date]]</f>
        <v>4</v>
      </c>
      <c r="J229">
        <v>120</v>
      </c>
      <c r="K229" t="s">
        <v>15</v>
      </c>
      <c r="L229" t="s">
        <v>16</v>
      </c>
      <c r="M229">
        <f>IF(Table3[[#This Row],[Treatment_Success]]="Yes",1,0)</f>
        <v>1</v>
      </c>
      <c r="N229">
        <v>113344</v>
      </c>
    </row>
    <row r="230" spans="1:14" x14ac:dyDescent="0.35">
      <c r="A230" t="s">
        <v>277</v>
      </c>
      <c r="B230">
        <v>61</v>
      </c>
      <c r="C230" t="str">
        <f>_xlfn.IFS(Table3[[#This Row],[Age]]&lt;=10, "Child",Table3[[#This Row],[Age]]&lt;18, "Teenger", Table3[[#This Row],[Age]]&lt;30, "Middle Age", Table3[[#This Row],[Age]]&lt; 60,"Adult",Table3[[#This Row],[Age]],"Senior Citizen")</f>
        <v>Senior Citizen</v>
      </c>
      <c r="D230" t="s">
        <v>18</v>
      </c>
      <c r="E230" t="s">
        <v>13</v>
      </c>
      <c r="F230" t="s">
        <v>80</v>
      </c>
      <c r="G230" s="1">
        <v>45461</v>
      </c>
      <c r="H230" s="1">
        <v>45473</v>
      </c>
      <c r="I230" s="2">
        <f>Table3[[#This Row],[Discharge_Date]]-Table3[[#This Row],[Admission_Date]]</f>
        <v>12</v>
      </c>
      <c r="J230">
        <v>282</v>
      </c>
      <c r="K230" t="s">
        <v>36</v>
      </c>
      <c r="L230" t="s">
        <v>26</v>
      </c>
      <c r="M230">
        <f>IF(Table3[[#This Row],[Treatment_Success]]="Yes",1,0)</f>
        <v>0</v>
      </c>
      <c r="N230">
        <v>176151</v>
      </c>
    </row>
    <row r="231" spans="1:14" x14ac:dyDescent="0.35">
      <c r="A231" t="s">
        <v>278</v>
      </c>
      <c r="B231">
        <v>84</v>
      </c>
      <c r="C231" t="str">
        <f>_xlfn.IFS(Table3[[#This Row],[Age]]&lt;=10, "Child",Table3[[#This Row],[Age]]&lt;18, "Teenger", Table3[[#This Row],[Age]]&lt;30, "Middle Age", Table3[[#This Row],[Age]]&lt; 60,"Adult",Table3[[#This Row],[Age]],"Senior Citizen")</f>
        <v>Senior Citizen</v>
      </c>
      <c r="D231" t="s">
        <v>18</v>
      </c>
      <c r="E231" t="s">
        <v>38</v>
      </c>
      <c r="F231" t="s">
        <v>95</v>
      </c>
      <c r="G231" s="1">
        <v>45535</v>
      </c>
      <c r="H231" s="1">
        <v>45543</v>
      </c>
      <c r="I231" s="2">
        <f>Table3[[#This Row],[Discharge_Date]]-Table3[[#This Row],[Admission_Date]]</f>
        <v>8</v>
      </c>
      <c r="J231">
        <v>147</v>
      </c>
      <c r="K231" t="s">
        <v>15</v>
      </c>
      <c r="L231" t="s">
        <v>16</v>
      </c>
      <c r="M231">
        <f>IF(Table3[[#This Row],[Treatment_Success]]="Yes",1,0)</f>
        <v>1</v>
      </c>
      <c r="N231">
        <v>175996</v>
      </c>
    </row>
    <row r="232" spans="1:14" x14ac:dyDescent="0.35">
      <c r="A232" t="s">
        <v>279</v>
      </c>
      <c r="B232">
        <v>69</v>
      </c>
      <c r="C232" t="str">
        <f>_xlfn.IFS(Table3[[#This Row],[Age]]&lt;=10, "Child",Table3[[#This Row],[Age]]&lt;18, "Teenger", Table3[[#This Row],[Age]]&lt;30, "Middle Age", Table3[[#This Row],[Age]]&lt; 60,"Adult",Table3[[#This Row],[Age]],"Senior Citizen")</f>
        <v>Senior Citizen</v>
      </c>
      <c r="D232" t="s">
        <v>18</v>
      </c>
      <c r="E232" t="s">
        <v>13</v>
      </c>
      <c r="F232" t="s">
        <v>93</v>
      </c>
      <c r="G232" s="1">
        <v>45585</v>
      </c>
      <c r="H232" s="1">
        <v>45589</v>
      </c>
      <c r="I232" s="2">
        <f>Table3[[#This Row],[Discharge_Date]]-Table3[[#This Row],[Admission_Date]]</f>
        <v>4</v>
      </c>
      <c r="J232">
        <v>91</v>
      </c>
      <c r="K232" t="s">
        <v>15</v>
      </c>
      <c r="L232" t="s">
        <v>26</v>
      </c>
      <c r="M232">
        <f>IF(Table3[[#This Row],[Treatment_Success]]="Yes",1,0)</f>
        <v>0</v>
      </c>
      <c r="N232">
        <v>134861</v>
      </c>
    </row>
    <row r="233" spans="1:14" x14ac:dyDescent="0.35">
      <c r="A233" t="s">
        <v>280</v>
      </c>
      <c r="B233">
        <v>38</v>
      </c>
      <c r="C233" t="str">
        <f>_xlfn.IFS(Table3[[#This Row],[Age]]&lt;=10, "Child",Table3[[#This Row],[Age]]&lt;18, "Teenger", Table3[[#This Row],[Age]]&lt;30, "Middle Age", Table3[[#This Row],[Age]]&lt; 60,"Adult",Table3[[#This Row],[Age]],"Senior Citizen")</f>
        <v>Adult</v>
      </c>
      <c r="D233" t="s">
        <v>18</v>
      </c>
      <c r="E233" t="s">
        <v>24</v>
      </c>
      <c r="F233" t="s">
        <v>83</v>
      </c>
      <c r="G233" s="1">
        <v>45387</v>
      </c>
      <c r="H233" s="1">
        <v>45402</v>
      </c>
      <c r="I233" s="2">
        <f>Table3[[#This Row],[Discharge_Date]]-Table3[[#This Row],[Admission_Date]]</f>
        <v>15</v>
      </c>
      <c r="J233">
        <v>291</v>
      </c>
      <c r="K233" t="s">
        <v>15</v>
      </c>
      <c r="L233" t="s">
        <v>16</v>
      </c>
      <c r="M233">
        <f>IF(Table3[[#This Row],[Treatment_Success]]="Yes",1,0)</f>
        <v>1</v>
      </c>
      <c r="N233">
        <v>79596</v>
      </c>
    </row>
    <row r="234" spans="1:14" x14ac:dyDescent="0.35">
      <c r="A234" t="s">
        <v>281</v>
      </c>
      <c r="B234">
        <v>70</v>
      </c>
      <c r="C234" t="str">
        <f>_xlfn.IFS(Table3[[#This Row],[Age]]&lt;=10, "Child",Table3[[#This Row],[Age]]&lt;18, "Teenger", Table3[[#This Row],[Age]]&lt;30, "Middle Age", Table3[[#This Row],[Age]]&lt; 60,"Adult",Table3[[#This Row],[Age]],"Senior Citizen")</f>
        <v>Senior Citizen</v>
      </c>
      <c r="D234" t="s">
        <v>12</v>
      </c>
      <c r="E234" t="s">
        <v>13</v>
      </c>
      <c r="F234" t="s">
        <v>49</v>
      </c>
      <c r="G234" s="1">
        <v>45524</v>
      </c>
      <c r="H234" s="1">
        <v>45535</v>
      </c>
      <c r="I234" s="2">
        <f>Table3[[#This Row],[Discharge_Date]]-Table3[[#This Row],[Admission_Date]]</f>
        <v>11</v>
      </c>
      <c r="J234">
        <v>240</v>
      </c>
      <c r="K234" t="s">
        <v>33</v>
      </c>
      <c r="L234" t="s">
        <v>16</v>
      </c>
      <c r="M234">
        <f>IF(Table3[[#This Row],[Treatment_Success]]="Yes",1,0)</f>
        <v>1</v>
      </c>
      <c r="N234">
        <v>34529</v>
      </c>
    </row>
    <row r="235" spans="1:14" x14ac:dyDescent="0.35">
      <c r="A235" t="s">
        <v>282</v>
      </c>
      <c r="B235">
        <v>59</v>
      </c>
      <c r="C235" t="str">
        <f>_xlfn.IFS(Table3[[#This Row],[Age]]&lt;=10, "Child",Table3[[#This Row],[Age]]&lt;18, "Teenger", Table3[[#This Row],[Age]]&lt;30, "Middle Age", Table3[[#This Row],[Age]]&lt; 60,"Adult",Table3[[#This Row],[Age]],"Senior Citizen")</f>
        <v>Adult</v>
      </c>
      <c r="D235" t="s">
        <v>12</v>
      </c>
      <c r="E235" t="s">
        <v>13</v>
      </c>
      <c r="F235" t="s">
        <v>80</v>
      </c>
      <c r="G235" s="1">
        <v>45461</v>
      </c>
      <c r="H235" s="1">
        <v>45464</v>
      </c>
      <c r="I235" s="2">
        <f>Table3[[#This Row],[Discharge_Date]]-Table3[[#This Row],[Admission_Date]]</f>
        <v>3</v>
      </c>
      <c r="J235">
        <v>173</v>
      </c>
      <c r="K235" t="s">
        <v>33</v>
      </c>
      <c r="L235" t="s">
        <v>16</v>
      </c>
      <c r="M235">
        <f>IF(Table3[[#This Row],[Treatment_Success]]="Yes",1,0)</f>
        <v>1</v>
      </c>
      <c r="N235">
        <v>51004</v>
      </c>
    </row>
    <row r="236" spans="1:14" x14ac:dyDescent="0.35">
      <c r="A236" t="s">
        <v>283</v>
      </c>
      <c r="B236">
        <v>82</v>
      </c>
      <c r="C236" t="str">
        <f>_xlfn.IFS(Table3[[#This Row],[Age]]&lt;=10, "Child",Table3[[#This Row],[Age]]&lt;18, "Teenger", Table3[[#This Row],[Age]]&lt;30, "Middle Age", Table3[[#This Row],[Age]]&lt; 60,"Adult",Table3[[#This Row],[Age]],"Senior Citizen")</f>
        <v>Senior Citizen</v>
      </c>
      <c r="D236" t="s">
        <v>12</v>
      </c>
      <c r="E236" t="s">
        <v>31</v>
      </c>
      <c r="F236" t="s">
        <v>49</v>
      </c>
      <c r="G236" s="1">
        <v>45604</v>
      </c>
      <c r="H236" s="1">
        <v>45618</v>
      </c>
      <c r="I236" s="2">
        <f>Table3[[#This Row],[Discharge_Date]]-Table3[[#This Row],[Admission_Date]]</f>
        <v>14</v>
      </c>
      <c r="J236">
        <v>168</v>
      </c>
      <c r="K236" t="s">
        <v>15</v>
      </c>
      <c r="L236" t="s">
        <v>26</v>
      </c>
      <c r="M236">
        <f>IF(Table3[[#This Row],[Treatment_Success]]="Yes",1,0)</f>
        <v>0</v>
      </c>
      <c r="N236">
        <v>180441</v>
      </c>
    </row>
    <row r="237" spans="1:14" x14ac:dyDescent="0.35">
      <c r="A237" t="s">
        <v>284</v>
      </c>
      <c r="B237">
        <v>18</v>
      </c>
      <c r="C237" t="str">
        <f>_xlfn.IFS(Table3[[#This Row],[Age]]&lt;=10, "Child",Table3[[#This Row],[Age]]&lt;18, "Teenger", Table3[[#This Row],[Age]]&lt;30, "Middle Age", Table3[[#This Row],[Age]]&lt; 60,"Adult",Table3[[#This Row],[Age]],"Senior Citizen")</f>
        <v>Middle Age</v>
      </c>
      <c r="D237" t="s">
        <v>12</v>
      </c>
      <c r="E237" t="s">
        <v>38</v>
      </c>
      <c r="F237" t="s">
        <v>14</v>
      </c>
      <c r="G237" s="1">
        <v>45340</v>
      </c>
      <c r="H237" s="1">
        <v>45343</v>
      </c>
      <c r="I237" s="2">
        <f>Table3[[#This Row],[Discharge_Date]]-Table3[[#This Row],[Admission_Date]]</f>
        <v>3</v>
      </c>
      <c r="J237">
        <v>4</v>
      </c>
      <c r="K237" t="s">
        <v>33</v>
      </c>
      <c r="L237" t="s">
        <v>26</v>
      </c>
      <c r="M237">
        <f>IF(Table3[[#This Row],[Treatment_Success]]="Yes",1,0)</f>
        <v>0</v>
      </c>
      <c r="N237">
        <v>66740</v>
      </c>
    </row>
    <row r="238" spans="1:14" x14ac:dyDescent="0.35">
      <c r="A238" t="s">
        <v>285</v>
      </c>
      <c r="B238">
        <v>35</v>
      </c>
      <c r="C238" t="str">
        <f>_xlfn.IFS(Table3[[#This Row],[Age]]&lt;=10, "Child",Table3[[#This Row],[Age]]&lt;18, "Teenger", Table3[[#This Row],[Age]]&lt;30, "Middle Age", Table3[[#This Row],[Age]]&lt; 60,"Adult",Table3[[#This Row],[Age]],"Senior Citizen")</f>
        <v>Adult</v>
      </c>
      <c r="D238" t="s">
        <v>12</v>
      </c>
      <c r="E238" t="s">
        <v>38</v>
      </c>
      <c r="F238" t="s">
        <v>58</v>
      </c>
      <c r="G238" s="1">
        <v>45520</v>
      </c>
      <c r="H238" s="1">
        <v>45533</v>
      </c>
      <c r="I238" s="2">
        <f>Table3[[#This Row],[Discharge_Date]]-Table3[[#This Row],[Admission_Date]]</f>
        <v>13</v>
      </c>
      <c r="J238">
        <v>294</v>
      </c>
      <c r="K238" t="s">
        <v>15</v>
      </c>
      <c r="L238" t="s">
        <v>16</v>
      </c>
      <c r="M238">
        <f>IF(Table3[[#This Row],[Treatment_Success]]="Yes",1,0)</f>
        <v>1</v>
      </c>
      <c r="N238">
        <v>176359</v>
      </c>
    </row>
    <row r="239" spans="1:14" x14ac:dyDescent="0.35">
      <c r="A239" t="s">
        <v>286</v>
      </c>
      <c r="B239">
        <v>31</v>
      </c>
      <c r="C239" t="str">
        <f>_xlfn.IFS(Table3[[#This Row],[Age]]&lt;=10, "Child",Table3[[#This Row],[Age]]&lt;18, "Teenger", Table3[[#This Row],[Age]]&lt;30, "Middle Age", Table3[[#This Row],[Age]]&lt; 60,"Adult",Table3[[#This Row],[Age]],"Senior Citizen")</f>
        <v>Adult</v>
      </c>
      <c r="D239" t="s">
        <v>18</v>
      </c>
      <c r="E239" t="s">
        <v>24</v>
      </c>
      <c r="F239" t="s">
        <v>20</v>
      </c>
      <c r="G239" s="1">
        <v>45476</v>
      </c>
      <c r="H239" s="1">
        <v>45488</v>
      </c>
      <c r="I239" s="2">
        <f>Table3[[#This Row],[Discharge_Date]]-Table3[[#This Row],[Admission_Date]]</f>
        <v>12</v>
      </c>
      <c r="J239">
        <v>158</v>
      </c>
      <c r="K239" t="s">
        <v>36</v>
      </c>
      <c r="L239" t="s">
        <v>26</v>
      </c>
      <c r="M239">
        <f>IF(Table3[[#This Row],[Treatment_Success]]="Yes",1,0)</f>
        <v>0</v>
      </c>
      <c r="N239">
        <v>184850</v>
      </c>
    </row>
    <row r="240" spans="1:14" x14ac:dyDescent="0.35">
      <c r="A240" t="s">
        <v>287</v>
      </c>
      <c r="B240">
        <v>40</v>
      </c>
      <c r="C240" t="str">
        <f>_xlfn.IFS(Table3[[#This Row],[Age]]&lt;=10, "Child",Table3[[#This Row],[Age]]&lt;18, "Teenger", Table3[[#This Row],[Age]]&lt;30, "Middle Age", Table3[[#This Row],[Age]]&lt; 60,"Adult",Table3[[#This Row],[Age]],"Senior Citizen")</f>
        <v>Adult</v>
      </c>
      <c r="D240" t="s">
        <v>18</v>
      </c>
      <c r="E240" t="s">
        <v>38</v>
      </c>
      <c r="F240" t="s">
        <v>63</v>
      </c>
      <c r="G240" s="1">
        <v>45549</v>
      </c>
      <c r="H240" s="1">
        <v>45564</v>
      </c>
      <c r="I240" s="2">
        <f>Table3[[#This Row],[Discharge_Date]]-Table3[[#This Row],[Admission_Date]]</f>
        <v>15</v>
      </c>
      <c r="J240">
        <v>114</v>
      </c>
      <c r="K240" t="s">
        <v>36</v>
      </c>
      <c r="L240" t="s">
        <v>16</v>
      </c>
      <c r="M240">
        <f>IF(Table3[[#This Row],[Treatment_Success]]="Yes",1,0)</f>
        <v>1</v>
      </c>
      <c r="N240">
        <v>130352</v>
      </c>
    </row>
    <row r="241" spans="1:14" x14ac:dyDescent="0.35">
      <c r="A241" t="s">
        <v>288</v>
      </c>
      <c r="B241">
        <v>78</v>
      </c>
      <c r="C241" t="str">
        <f>_xlfn.IFS(Table3[[#This Row],[Age]]&lt;=10, "Child",Table3[[#This Row],[Age]]&lt;18, "Teenger", Table3[[#This Row],[Age]]&lt;30, "Middle Age", Table3[[#This Row],[Age]]&lt; 60,"Adult",Table3[[#This Row],[Age]],"Senior Citizen")</f>
        <v>Senior Citizen</v>
      </c>
      <c r="D241" t="s">
        <v>12</v>
      </c>
      <c r="E241" t="s">
        <v>31</v>
      </c>
      <c r="F241" t="s">
        <v>40</v>
      </c>
      <c r="G241" s="1">
        <v>45370</v>
      </c>
      <c r="H241" s="1">
        <v>45378</v>
      </c>
      <c r="I241" s="2">
        <f>Table3[[#This Row],[Discharge_Date]]-Table3[[#This Row],[Admission_Date]]</f>
        <v>8</v>
      </c>
      <c r="J241">
        <v>282</v>
      </c>
      <c r="K241" t="s">
        <v>46</v>
      </c>
      <c r="L241" t="s">
        <v>16</v>
      </c>
      <c r="M241">
        <f>IF(Table3[[#This Row],[Treatment_Success]]="Yes",1,0)</f>
        <v>1</v>
      </c>
      <c r="N241">
        <v>69871</v>
      </c>
    </row>
    <row r="242" spans="1:14" x14ac:dyDescent="0.35">
      <c r="A242" t="s">
        <v>289</v>
      </c>
      <c r="B242">
        <v>77</v>
      </c>
      <c r="C242" t="str">
        <f>_xlfn.IFS(Table3[[#This Row],[Age]]&lt;=10, "Child",Table3[[#This Row],[Age]]&lt;18, "Teenger", Table3[[#This Row],[Age]]&lt;30, "Middle Age", Table3[[#This Row],[Age]]&lt; 60,"Adult",Table3[[#This Row],[Age]],"Senior Citizen")</f>
        <v>Senior Citizen</v>
      </c>
      <c r="D242" t="s">
        <v>18</v>
      </c>
      <c r="E242" t="s">
        <v>28</v>
      </c>
      <c r="F242" t="s">
        <v>20</v>
      </c>
      <c r="G242" s="1">
        <v>45640</v>
      </c>
      <c r="H242" s="1">
        <v>45653</v>
      </c>
      <c r="I242" s="2">
        <f>Table3[[#This Row],[Discharge_Date]]-Table3[[#This Row],[Admission_Date]]</f>
        <v>13</v>
      </c>
      <c r="J242">
        <v>271</v>
      </c>
      <c r="K242" t="s">
        <v>33</v>
      </c>
      <c r="L242" t="s">
        <v>16</v>
      </c>
      <c r="M242">
        <f>IF(Table3[[#This Row],[Treatment_Success]]="Yes",1,0)</f>
        <v>1</v>
      </c>
      <c r="N242">
        <v>152893</v>
      </c>
    </row>
    <row r="243" spans="1:14" x14ac:dyDescent="0.35">
      <c r="A243" t="s">
        <v>290</v>
      </c>
      <c r="B243">
        <v>71</v>
      </c>
      <c r="C243" t="str">
        <f>_xlfn.IFS(Table3[[#This Row],[Age]]&lt;=10, "Child",Table3[[#This Row],[Age]]&lt;18, "Teenger", Table3[[#This Row],[Age]]&lt;30, "Middle Age", Table3[[#This Row],[Age]]&lt; 60,"Adult",Table3[[#This Row],[Age]],"Senior Citizen")</f>
        <v>Senior Citizen</v>
      </c>
      <c r="D243" t="s">
        <v>18</v>
      </c>
      <c r="E243" t="s">
        <v>28</v>
      </c>
      <c r="F243" t="s">
        <v>61</v>
      </c>
      <c r="G243" s="1">
        <v>45349</v>
      </c>
      <c r="H243" s="1">
        <v>45350</v>
      </c>
      <c r="I243" s="2">
        <f>Table3[[#This Row],[Discharge_Date]]-Table3[[#This Row],[Admission_Date]]</f>
        <v>1</v>
      </c>
      <c r="J243">
        <v>77</v>
      </c>
      <c r="K243" t="s">
        <v>36</v>
      </c>
      <c r="L243" t="s">
        <v>16</v>
      </c>
      <c r="M243">
        <f>IF(Table3[[#This Row],[Treatment_Success]]="Yes",1,0)</f>
        <v>1</v>
      </c>
      <c r="N243">
        <v>141404</v>
      </c>
    </row>
    <row r="244" spans="1:14" x14ac:dyDescent="0.35">
      <c r="A244" t="s">
        <v>291</v>
      </c>
      <c r="B244">
        <v>88</v>
      </c>
      <c r="C244" t="str">
        <f>_xlfn.IFS(Table3[[#This Row],[Age]]&lt;=10, "Child",Table3[[#This Row],[Age]]&lt;18, "Teenger", Table3[[#This Row],[Age]]&lt;30, "Middle Age", Table3[[#This Row],[Age]]&lt; 60,"Adult",Table3[[#This Row],[Age]],"Senior Citizen")</f>
        <v>Senior Citizen</v>
      </c>
      <c r="D244" t="s">
        <v>18</v>
      </c>
      <c r="E244" t="s">
        <v>28</v>
      </c>
      <c r="F244" t="s">
        <v>43</v>
      </c>
      <c r="G244" s="1">
        <v>45518</v>
      </c>
      <c r="H244" s="1">
        <v>45520</v>
      </c>
      <c r="I244" s="2">
        <f>Table3[[#This Row],[Discharge_Date]]-Table3[[#This Row],[Admission_Date]]</f>
        <v>2</v>
      </c>
      <c r="J244">
        <v>47</v>
      </c>
      <c r="K244" t="s">
        <v>46</v>
      </c>
      <c r="L244" t="s">
        <v>16</v>
      </c>
      <c r="M244">
        <f>IF(Table3[[#This Row],[Treatment_Success]]="Yes",1,0)</f>
        <v>1</v>
      </c>
      <c r="N244">
        <v>123864</v>
      </c>
    </row>
    <row r="245" spans="1:14" x14ac:dyDescent="0.35">
      <c r="A245" t="s">
        <v>292</v>
      </c>
      <c r="B245">
        <v>54</v>
      </c>
      <c r="C245" t="str">
        <f>_xlfn.IFS(Table3[[#This Row],[Age]]&lt;=10, "Child",Table3[[#This Row],[Age]]&lt;18, "Teenger", Table3[[#This Row],[Age]]&lt;30, "Middle Age", Table3[[#This Row],[Age]]&lt; 60,"Adult",Table3[[#This Row],[Age]],"Senior Citizen")</f>
        <v>Adult</v>
      </c>
      <c r="D245" t="s">
        <v>12</v>
      </c>
      <c r="E245" t="s">
        <v>28</v>
      </c>
      <c r="F245" t="s">
        <v>52</v>
      </c>
      <c r="G245" s="1">
        <v>45359</v>
      </c>
      <c r="H245" s="1">
        <v>45368</v>
      </c>
      <c r="I245" s="2">
        <f>Table3[[#This Row],[Discharge_Date]]-Table3[[#This Row],[Admission_Date]]</f>
        <v>9</v>
      </c>
      <c r="J245">
        <v>287</v>
      </c>
      <c r="K245" t="s">
        <v>46</v>
      </c>
      <c r="L245" t="s">
        <v>16</v>
      </c>
      <c r="M245">
        <f>IF(Table3[[#This Row],[Treatment_Success]]="Yes",1,0)</f>
        <v>1</v>
      </c>
      <c r="N245">
        <v>194603</v>
      </c>
    </row>
    <row r="246" spans="1:14" x14ac:dyDescent="0.35">
      <c r="A246" t="s">
        <v>293</v>
      </c>
      <c r="B246">
        <v>33</v>
      </c>
      <c r="C246" t="str">
        <f>_xlfn.IFS(Table3[[#This Row],[Age]]&lt;=10, "Child",Table3[[#This Row],[Age]]&lt;18, "Teenger", Table3[[#This Row],[Age]]&lt;30, "Middle Age", Table3[[#This Row],[Age]]&lt; 60,"Adult",Table3[[#This Row],[Age]],"Senior Citizen")</f>
        <v>Adult</v>
      </c>
      <c r="D246" t="s">
        <v>18</v>
      </c>
      <c r="E246" t="s">
        <v>13</v>
      </c>
      <c r="F246" t="s">
        <v>58</v>
      </c>
      <c r="G246" s="1">
        <v>45303</v>
      </c>
      <c r="H246" s="1">
        <v>45310</v>
      </c>
      <c r="I246" s="2">
        <f>Table3[[#This Row],[Discharge_Date]]-Table3[[#This Row],[Admission_Date]]</f>
        <v>7</v>
      </c>
      <c r="J246">
        <v>38</v>
      </c>
      <c r="K246" t="s">
        <v>15</v>
      </c>
      <c r="L246" t="s">
        <v>26</v>
      </c>
      <c r="M246">
        <f>IF(Table3[[#This Row],[Treatment_Success]]="Yes",1,0)</f>
        <v>0</v>
      </c>
      <c r="N246">
        <v>95316</v>
      </c>
    </row>
    <row r="247" spans="1:14" x14ac:dyDescent="0.35">
      <c r="A247" t="s">
        <v>294</v>
      </c>
      <c r="B247">
        <v>70</v>
      </c>
      <c r="C247" t="str">
        <f>_xlfn.IFS(Table3[[#This Row],[Age]]&lt;=10, "Child",Table3[[#This Row],[Age]]&lt;18, "Teenger", Table3[[#This Row],[Age]]&lt;30, "Middle Age", Table3[[#This Row],[Age]]&lt; 60,"Adult",Table3[[#This Row],[Age]],"Senior Citizen")</f>
        <v>Senior Citizen</v>
      </c>
      <c r="D247" t="s">
        <v>18</v>
      </c>
      <c r="E247" t="s">
        <v>24</v>
      </c>
      <c r="F247" t="s">
        <v>43</v>
      </c>
      <c r="G247" s="1">
        <v>45650</v>
      </c>
      <c r="H247" s="1">
        <v>45652</v>
      </c>
      <c r="I247" s="2">
        <f>Table3[[#This Row],[Discharge_Date]]-Table3[[#This Row],[Admission_Date]]</f>
        <v>2</v>
      </c>
      <c r="J247">
        <v>17</v>
      </c>
      <c r="K247" t="s">
        <v>33</v>
      </c>
      <c r="L247" t="s">
        <v>26</v>
      </c>
      <c r="M247">
        <f>IF(Table3[[#This Row],[Treatment_Success]]="Yes",1,0)</f>
        <v>0</v>
      </c>
      <c r="N247">
        <v>52181</v>
      </c>
    </row>
    <row r="248" spans="1:14" x14ac:dyDescent="0.35">
      <c r="A248" t="s">
        <v>295</v>
      </c>
      <c r="B248">
        <v>83</v>
      </c>
      <c r="C248" t="str">
        <f>_xlfn.IFS(Table3[[#This Row],[Age]]&lt;=10, "Child",Table3[[#This Row],[Age]]&lt;18, "Teenger", Table3[[#This Row],[Age]]&lt;30, "Middle Age", Table3[[#This Row],[Age]]&lt; 60,"Adult",Table3[[#This Row],[Age]],"Senior Citizen")</f>
        <v>Senior Citizen</v>
      </c>
      <c r="D248" t="s">
        <v>12</v>
      </c>
      <c r="E248" t="s">
        <v>38</v>
      </c>
      <c r="F248" t="s">
        <v>56</v>
      </c>
      <c r="G248" s="1">
        <v>45361</v>
      </c>
      <c r="H248" s="1">
        <v>45374</v>
      </c>
      <c r="I248" s="2">
        <f>Table3[[#This Row],[Discharge_Date]]-Table3[[#This Row],[Admission_Date]]</f>
        <v>13</v>
      </c>
      <c r="J248">
        <v>230</v>
      </c>
      <c r="K248" t="s">
        <v>46</v>
      </c>
      <c r="L248" t="s">
        <v>26</v>
      </c>
      <c r="M248">
        <f>IF(Table3[[#This Row],[Treatment_Success]]="Yes",1,0)</f>
        <v>0</v>
      </c>
      <c r="N248">
        <v>26037</v>
      </c>
    </row>
    <row r="249" spans="1:14" x14ac:dyDescent="0.35">
      <c r="A249" t="s">
        <v>296</v>
      </c>
      <c r="B249">
        <v>70</v>
      </c>
      <c r="C249" t="str">
        <f>_xlfn.IFS(Table3[[#This Row],[Age]]&lt;=10, "Child",Table3[[#This Row],[Age]]&lt;18, "Teenger", Table3[[#This Row],[Age]]&lt;30, "Middle Age", Table3[[#This Row],[Age]]&lt; 60,"Adult",Table3[[#This Row],[Age]],"Senior Citizen")</f>
        <v>Senior Citizen</v>
      </c>
      <c r="D249" t="s">
        <v>18</v>
      </c>
      <c r="E249" t="s">
        <v>38</v>
      </c>
      <c r="F249" t="s">
        <v>90</v>
      </c>
      <c r="G249" s="1">
        <v>45641</v>
      </c>
      <c r="H249" s="1">
        <v>45652</v>
      </c>
      <c r="I249" s="2">
        <f>Table3[[#This Row],[Discharge_Date]]-Table3[[#This Row],[Admission_Date]]</f>
        <v>11</v>
      </c>
      <c r="J249">
        <v>92</v>
      </c>
      <c r="K249" t="s">
        <v>46</v>
      </c>
      <c r="L249" t="s">
        <v>16</v>
      </c>
      <c r="M249">
        <f>IF(Table3[[#This Row],[Treatment_Success]]="Yes",1,0)</f>
        <v>1</v>
      </c>
      <c r="N249">
        <v>195803</v>
      </c>
    </row>
    <row r="250" spans="1:14" x14ac:dyDescent="0.35">
      <c r="A250" t="s">
        <v>297</v>
      </c>
      <c r="B250">
        <v>1</v>
      </c>
      <c r="C250" t="str">
        <f>_xlfn.IFS(Table3[[#This Row],[Age]]&lt;=10, "Child",Table3[[#This Row],[Age]]&lt;18, "Teenger", Table3[[#This Row],[Age]]&lt;30, "Middle Age", Table3[[#This Row],[Age]]&lt; 60,"Adult",Table3[[#This Row],[Age]],"Senior Citizen")</f>
        <v>Child</v>
      </c>
      <c r="D250" t="s">
        <v>18</v>
      </c>
      <c r="E250" t="s">
        <v>38</v>
      </c>
      <c r="F250" t="s">
        <v>20</v>
      </c>
      <c r="G250" s="1">
        <v>45406</v>
      </c>
      <c r="H250" s="1">
        <v>45420</v>
      </c>
      <c r="I250" s="2">
        <f>Table3[[#This Row],[Discharge_Date]]-Table3[[#This Row],[Admission_Date]]</f>
        <v>14</v>
      </c>
      <c r="J250">
        <v>279</v>
      </c>
      <c r="K250" t="s">
        <v>46</v>
      </c>
      <c r="L250" t="s">
        <v>26</v>
      </c>
      <c r="M250">
        <f>IF(Table3[[#This Row],[Treatment_Success]]="Yes",1,0)</f>
        <v>0</v>
      </c>
      <c r="N250">
        <v>65205</v>
      </c>
    </row>
    <row r="251" spans="1:14" x14ac:dyDescent="0.35">
      <c r="A251" t="s">
        <v>298</v>
      </c>
      <c r="B251">
        <v>45</v>
      </c>
      <c r="C251" t="str">
        <f>_xlfn.IFS(Table3[[#This Row],[Age]]&lt;=10, "Child",Table3[[#This Row],[Age]]&lt;18, "Teenger", Table3[[#This Row],[Age]]&lt;30, "Middle Age", Table3[[#This Row],[Age]]&lt; 60,"Adult",Table3[[#This Row],[Age]],"Senior Citizen")</f>
        <v>Adult</v>
      </c>
      <c r="D251" t="s">
        <v>18</v>
      </c>
      <c r="E251" t="s">
        <v>38</v>
      </c>
      <c r="F251" t="s">
        <v>29</v>
      </c>
      <c r="G251" s="1">
        <v>45418</v>
      </c>
      <c r="H251" s="1">
        <v>45426</v>
      </c>
      <c r="I251" s="2">
        <f>Table3[[#This Row],[Discharge_Date]]-Table3[[#This Row],[Admission_Date]]</f>
        <v>8</v>
      </c>
      <c r="J251">
        <v>58</v>
      </c>
      <c r="K251" t="s">
        <v>15</v>
      </c>
      <c r="L251" t="s">
        <v>26</v>
      </c>
      <c r="M251">
        <f>IF(Table3[[#This Row],[Treatment_Success]]="Yes",1,0)</f>
        <v>0</v>
      </c>
      <c r="N251">
        <v>166198</v>
      </c>
    </row>
    <row r="252" spans="1:14" x14ac:dyDescent="0.35">
      <c r="A252" t="s">
        <v>299</v>
      </c>
      <c r="B252">
        <v>27</v>
      </c>
      <c r="C252" t="str">
        <f>_xlfn.IFS(Table3[[#This Row],[Age]]&lt;=10, "Child",Table3[[#This Row],[Age]]&lt;18, "Teenger", Table3[[#This Row],[Age]]&lt;30, "Middle Age", Table3[[#This Row],[Age]]&lt; 60,"Adult",Table3[[#This Row],[Age]],"Senior Citizen")</f>
        <v>Middle Age</v>
      </c>
      <c r="D252" t="s">
        <v>18</v>
      </c>
      <c r="E252" t="s">
        <v>24</v>
      </c>
      <c r="F252" t="s">
        <v>35</v>
      </c>
      <c r="G252" s="1">
        <v>45300</v>
      </c>
      <c r="H252" s="1">
        <v>45304</v>
      </c>
      <c r="I252" s="2">
        <f>Table3[[#This Row],[Discharge_Date]]-Table3[[#This Row],[Admission_Date]]</f>
        <v>4</v>
      </c>
      <c r="J252">
        <v>18</v>
      </c>
      <c r="K252" t="s">
        <v>46</v>
      </c>
      <c r="L252" t="s">
        <v>16</v>
      </c>
      <c r="M252">
        <f>IF(Table3[[#This Row],[Treatment_Success]]="Yes",1,0)</f>
        <v>1</v>
      </c>
      <c r="N252">
        <v>69155</v>
      </c>
    </row>
    <row r="253" spans="1:14" x14ac:dyDescent="0.35">
      <c r="A253" t="s">
        <v>300</v>
      </c>
      <c r="B253">
        <v>57</v>
      </c>
      <c r="C253" t="str">
        <f>_xlfn.IFS(Table3[[#This Row],[Age]]&lt;=10, "Child",Table3[[#This Row],[Age]]&lt;18, "Teenger", Table3[[#This Row],[Age]]&lt;30, "Middle Age", Table3[[#This Row],[Age]]&lt; 60,"Adult",Table3[[#This Row],[Age]],"Senior Citizen")</f>
        <v>Adult</v>
      </c>
      <c r="D253" t="s">
        <v>18</v>
      </c>
      <c r="E253" t="s">
        <v>28</v>
      </c>
      <c r="F253" t="s">
        <v>29</v>
      </c>
      <c r="G253" s="1">
        <v>45314</v>
      </c>
      <c r="H253" s="1">
        <v>45321</v>
      </c>
      <c r="I253" s="2">
        <f>Table3[[#This Row],[Discharge_Date]]-Table3[[#This Row],[Admission_Date]]</f>
        <v>7</v>
      </c>
      <c r="J253">
        <v>29</v>
      </c>
      <c r="K253" t="s">
        <v>36</v>
      </c>
      <c r="L253" t="s">
        <v>16</v>
      </c>
      <c r="M253">
        <f>IF(Table3[[#This Row],[Treatment_Success]]="Yes",1,0)</f>
        <v>1</v>
      </c>
      <c r="N253">
        <v>66384</v>
      </c>
    </row>
    <row r="254" spans="1:14" x14ac:dyDescent="0.35">
      <c r="A254" t="s">
        <v>301</v>
      </c>
      <c r="B254">
        <v>74</v>
      </c>
      <c r="C254" t="str">
        <f>_xlfn.IFS(Table3[[#This Row],[Age]]&lt;=10, "Child",Table3[[#This Row],[Age]]&lt;18, "Teenger", Table3[[#This Row],[Age]]&lt;30, "Middle Age", Table3[[#This Row],[Age]]&lt; 60,"Adult",Table3[[#This Row],[Age]],"Senior Citizen")</f>
        <v>Senior Citizen</v>
      </c>
      <c r="D254" t="s">
        <v>12</v>
      </c>
      <c r="E254" t="s">
        <v>13</v>
      </c>
      <c r="F254" t="s">
        <v>83</v>
      </c>
      <c r="G254" s="1">
        <v>45586</v>
      </c>
      <c r="H254" s="1">
        <v>45592</v>
      </c>
      <c r="I254" s="2">
        <f>Table3[[#This Row],[Discharge_Date]]-Table3[[#This Row],[Admission_Date]]</f>
        <v>6</v>
      </c>
      <c r="J254">
        <v>74</v>
      </c>
      <c r="K254" t="s">
        <v>36</v>
      </c>
      <c r="L254" t="s">
        <v>26</v>
      </c>
      <c r="M254">
        <f>IF(Table3[[#This Row],[Treatment_Success]]="Yes",1,0)</f>
        <v>0</v>
      </c>
      <c r="N254">
        <v>83774</v>
      </c>
    </row>
    <row r="255" spans="1:14" x14ac:dyDescent="0.35">
      <c r="A255" t="s">
        <v>302</v>
      </c>
      <c r="B255">
        <v>72</v>
      </c>
      <c r="C255" t="str">
        <f>_xlfn.IFS(Table3[[#This Row],[Age]]&lt;=10, "Child",Table3[[#This Row],[Age]]&lt;18, "Teenger", Table3[[#This Row],[Age]]&lt;30, "Middle Age", Table3[[#This Row],[Age]]&lt; 60,"Adult",Table3[[#This Row],[Age]],"Senior Citizen")</f>
        <v>Senior Citizen</v>
      </c>
      <c r="D255" t="s">
        <v>18</v>
      </c>
      <c r="E255" t="s">
        <v>31</v>
      </c>
      <c r="F255" t="s">
        <v>61</v>
      </c>
      <c r="G255" s="1">
        <v>45432</v>
      </c>
      <c r="H255" s="1">
        <v>45433</v>
      </c>
      <c r="I255" s="2">
        <f>Table3[[#This Row],[Discharge_Date]]-Table3[[#This Row],[Admission_Date]]</f>
        <v>1</v>
      </c>
      <c r="J255">
        <v>254</v>
      </c>
      <c r="K255" t="s">
        <v>15</v>
      </c>
      <c r="L255" t="s">
        <v>16</v>
      </c>
      <c r="M255">
        <f>IF(Table3[[#This Row],[Treatment_Success]]="Yes",1,0)</f>
        <v>1</v>
      </c>
      <c r="N255">
        <v>173641</v>
      </c>
    </row>
    <row r="256" spans="1:14" x14ac:dyDescent="0.35">
      <c r="A256" t="s">
        <v>303</v>
      </c>
      <c r="B256">
        <v>68</v>
      </c>
      <c r="C256" t="str">
        <f>_xlfn.IFS(Table3[[#This Row],[Age]]&lt;=10, "Child",Table3[[#This Row],[Age]]&lt;18, "Teenger", Table3[[#This Row],[Age]]&lt;30, "Middle Age", Table3[[#This Row],[Age]]&lt; 60,"Adult",Table3[[#This Row],[Age]],"Senior Citizen")</f>
        <v>Senior Citizen</v>
      </c>
      <c r="D256" t="s">
        <v>12</v>
      </c>
      <c r="E256" t="s">
        <v>31</v>
      </c>
      <c r="F256" t="s">
        <v>93</v>
      </c>
      <c r="G256" s="1">
        <v>45635</v>
      </c>
      <c r="H256" s="1">
        <v>45642</v>
      </c>
      <c r="I256" s="2">
        <f>Table3[[#This Row],[Discharge_Date]]-Table3[[#This Row],[Admission_Date]]</f>
        <v>7</v>
      </c>
      <c r="J256">
        <v>77</v>
      </c>
      <c r="K256" t="s">
        <v>33</v>
      </c>
      <c r="L256" t="s">
        <v>26</v>
      </c>
      <c r="M256">
        <f>IF(Table3[[#This Row],[Treatment_Success]]="Yes",1,0)</f>
        <v>0</v>
      </c>
      <c r="N256">
        <v>53202</v>
      </c>
    </row>
    <row r="257" spans="1:14" x14ac:dyDescent="0.35">
      <c r="A257" t="s">
        <v>304</v>
      </c>
      <c r="B257">
        <v>31</v>
      </c>
      <c r="C257" t="str">
        <f>_xlfn.IFS(Table3[[#This Row],[Age]]&lt;=10, "Child",Table3[[#This Row],[Age]]&lt;18, "Teenger", Table3[[#This Row],[Age]]&lt;30, "Middle Age", Table3[[#This Row],[Age]]&lt; 60,"Adult",Table3[[#This Row],[Age]],"Senior Citizen")</f>
        <v>Adult</v>
      </c>
      <c r="D257" t="s">
        <v>18</v>
      </c>
      <c r="E257" t="s">
        <v>38</v>
      </c>
      <c r="F257" t="s">
        <v>40</v>
      </c>
      <c r="G257" s="1">
        <v>45567</v>
      </c>
      <c r="H257" s="1">
        <v>45575</v>
      </c>
      <c r="I257" s="2">
        <f>Table3[[#This Row],[Discharge_Date]]-Table3[[#This Row],[Admission_Date]]</f>
        <v>8</v>
      </c>
      <c r="J257">
        <v>74</v>
      </c>
      <c r="K257" t="s">
        <v>46</v>
      </c>
      <c r="L257" t="s">
        <v>16</v>
      </c>
      <c r="M257">
        <f>IF(Table3[[#This Row],[Treatment_Success]]="Yes",1,0)</f>
        <v>1</v>
      </c>
      <c r="N257">
        <v>152426</v>
      </c>
    </row>
    <row r="258" spans="1:14" x14ac:dyDescent="0.35">
      <c r="A258" t="s">
        <v>305</v>
      </c>
      <c r="B258">
        <v>72</v>
      </c>
      <c r="C258" t="str">
        <f>_xlfn.IFS(Table3[[#This Row],[Age]]&lt;=10, "Child",Table3[[#This Row],[Age]]&lt;18, "Teenger", Table3[[#This Row],[Age]]&lt;30, "Middle Age", Table3[[#This Row],[Age]]&lt; 60,"Adult",Table3[[#This Row],[Age]],"Senior Citizen")</f>
        <v>Senior Citizen</v>
      </c>
      <c r="D258" t="s">
        <v>18</v>
      </c>
      <c r="E258" t="s">
        <v>31</v>
      </c>
      <c r="F258" t="s">
        <v>14</v>
      </c>
      <c r="G258" s="1">
        <v>45503</v>
      </c>
      <c r="H258" s="1">
        <v>45510</v>
      </c>
      <c r="I258" s="2">
        <f>Table3[[#This Row],[Discharge_Date]]-Table3[[#This Row],[Admission_Date]]</f>
        <v>7</v>
      </c>
      <c r="J258">
        <v>131</v>
      </c>
      <c r="K258" t="s">
        <v>36</v>
      </c>
      <c r="L258" t="s">
        <v>16</v>
      </c>
      <c r="M258">
        <f>IF(Table3[[#This Row],[Treatment_Success]]="Yes",1,0)</f>
        <v>1</v>
      </c>
      <c r="N258">
        <v>174530</v>
      </c>
    </row>
    <row r="259" spans="1:14" x14ac:dyDescent="0.35">
      <c r="A259" t="s">
        <v>306</v>
      </c>
      <c r="B259">
        <v>58</v>
      </c>
      <c r="C259" t="str">
        <f>_xlfn.IFS(Table3[[#This Row],[Age]]&lt;=10, "Child",Table3[[#This Row],[Age]]&lt;18, "Teenger", Table3[[#This Row],[Age]]&lt;30, "Middle Age", Table3[[#This Row],[Age]]&lt; 60,"Adult",Table3[[#This Row],[Age]],"Senior Citizen")</f>
        <v>Adult</v>
      </c>
      <c r="D259" t="s">
        <v>12</v>
      </c>
      <c r="E259" t="s">
        <v>24</v>
      </c>
      <c r="F259" t="s">
        <v>61</v>
      </c>
      <c r="G259" s="1">
        <v>45332</v>
      </c>
      <c r="H259" s="1">
        <v>45347</v>
      </c>
      <c r="I259" s="2">
        <f>Table3[[#This Row],[Discharge_Date]]-Table3[[#This Row],[Admission_Date]]</f>
        <v>15</v>
      </c>
      <c r="J259">
        <v>98</v>
      </c>
      <c r="K259" t="s">
        <v>15</v>
      </c>
      <c r="L259" t="s">
        <v>16</v>
      </c>
      <c r="M259">
        <f>IF(Table3[[#This Row],[Treatment_Success]]="Yes",1,0)</f>
        <v>1</v>
      </c>
      <c r="N259">
        <v>103872</v>
      </c>
    </row>
    <row r="260" spans="1:14" x14ac:dyDescent="0.35">
      <c r="A260" t="s">
        <v>307</v>
      </c>
      <c r="B260">
        <v>78</v>
      </c>
      <c r="C260" t="str">
        <f>_xlfn.IFS(Table3[[#This Row],[Age]]&lt;=10, "Child",Table3[[#This Row],[Age]]&lt;18, "Teenger", Table3[[#This Row],[Age]]&lt;30, "Middle Age", Table3[[#This Row],[Age]]&lt; 60,"Adult",Table3[[#This Row],[Age]],"Senior Citizen")</f>
        <v>Senior Citizen</v>
      </c>
      <c r="D260" t="s">
        <v>18</v>
      </c>
      <c r="E260" t="s">
        <v>24</v>
      </c>
      <c r="F260" t="s">
        <v>29</v>
      </c>
      <c r="G260" s="1">
        <v>45636</v>
      </c>
      <c r="H260" s="1">
        <v>45646</v>
      </c>
      <c r="I260" s="2">
        <f>Table3[[#This Row],[Discharge_Date]]-Table3[[#This Row],[Admission_Date]]</f>
        <v>10</v>
      </c>
      <c r="J260">
        <v>287</v>
      </c>
      <c r="K260" t="s">
        <v>36</v>
      </c>
      <c r="L260" t="s">
        <v>26</v>
      </c>
      <c r="M260">
        <f>IF(Table3[[#This Row],[Treatment_Success]]="Yes",1,0)</f>
        <v>0</v>
      </c>
      <c r="N260">
        <v>59759</v>
      </c>
    </row>
    <row r="261" spans="1:14" x14ac:dyDescent="0.35">
      <c r="A261" t="s">
        <v>308</v>
      </c>
      <c r="B261">
        <v>2</v>
      </c>
      <c r="C261" t="str">
        <f>_xlfn.IFS(Table3[[#This Row],[Age]]&lt;=10, "Child",Table3[[#This Row],[Age]]&lt;18, "Teenger", Table3[[#This Row],[Age]]&lt;30, "Middle Age", Table3[[#This Row],[Age]]&lt; 60,"Adult",Table3[[#This Row],[Age]],"Senior Citizen")</f>
        <v>Child</v>
      </c>
      <c r="D261" t="s">
        <v>18</v>
      </c>
      <c r="E261" t="s">
        <v>13</v>
      </c>
      <c r="F261" t="s">
        <v>25</v>
      </c>
      <c r="G261" s="1">
        <v>45462</v>
      </c>
      <c r="H261" s="1">
        <v>45467</v>
      </c>
      <c r="I261" s="2">
        <f>Table3[[#This Row],[Discharge_Date]]-Table3[[#This Row],[Admission_Date]]</f>
        <v>5</v>
      </c>
      <c r="J261">
        <v>61</v>
      </c>
      <c r="K261" t="s">
        <v>46</v>
      </c>
      <c r="L261" t="s">
        <v>16</v>
      </c>
      <c r="M261">
        <f>IF(Table3[[#This Row],[Treatment_Success]]="Yes",1,0)</f>
        <v>1</v>
      </c>
      <c r="N261">
        <v>187354</v>
      </c>
    </row>
    <row r="262" spans="1:14" x14ac:dyDescent="0.35">
      <c r="A262" t="s">
        <v>309</v>
      </c>
      <c r="B262">
        <v>27</v>
      </c>
      <c r="C262" t="str">
        <f>_xlfn.IFS(Table3[[#This Row],[Age]]&lt;=10, "Child",Table3[[#This Row],[Age]]&lt;18, "Teenger", Table3[[#This Row],[Age]]&lt;30, "Middle Age", Table3[[#This Row],[Age]]&lt; 60,"Adult",Table3[[#This Row],[Age]],"Senior Citizen")</f>
        <v>Middle Age</v>
      </c>
      <c r="D262" t="s">
        <v>12</v>
      </c>
      <c r="E262" t="s">
        <v>13</v>
      </c>
      <c r="F262" t="s">
        <v>61</v>
      </c>
      <c r="G262" s="1">
        <v>45601</v>
      </c>
      <c r="H262" s="1">
        <v>45613</v>
      </c>
      <c r="I262" s="2">
        <f>Table3[[#This Row],[Discharge_Date]]-Table3[[#This Row],[Admission_Date]]</f>
        <v>12</v>
      </c>
      <c r="J262">
        <v>165</v>
      </c>
      <c r="K262" t="s">
        <v>33</v>
      </c>
      <c r="L262" t="s">
        <v>26</v>
      </c>
      <c r="M262">
        <f>IF(Table3[[#This Row],[Treatment_Success]]="Yes",1,0)</f>
        <v>0</v>
      </c>
      <c r="N262">
        <v>127224</v>
      </c>
    </row>
    <row r="263" spans="1:14" x14ac:dyDescent="0.35">
      <c r="A263" t="s">
        <v>310</v>
      </c>
      <c r="B263">
        <v>46</v>
      </c>
      <c r="C263" t="str">
        <f>_xlfn.IFS(Table3[[#This Row],[Age]]&lt;=10, "Child",Table3[[#This Row],[Age]]&lt;18, "Teenger", Table3[[#This Row],[Age]]&lt;30, "Middle Age", Table3[[#This Row],[Age]]&lt; 60,"Adult",Table3[[#This Row],[Age]],"Senior Citizen")</f>
        <v>Adult</v>
      </c>
      <c r="D263" t="s">
        <v>12</v>
      </c>
      <c r="E263" t="s">
        <v>38</v>
      </c>
      <c r="F263" t="s">
        <v>63</v>
      </c>
      <c r="G263" s="1">
        <v>45565</v>
      </c>
      <c r="H263" s="1">
        <v>45576</v>
      </c>
      <c r="I263" s="2">
        <f>Table3[[#This Row],[Discharge_Date]]-Table3[[#This Row],[Admission_Date]]</f>
        <v>11</v>
      </c>
      <c r="J263">
        <v>263</v>
      </c>
      <c r="K263" t="s">
        <v>46</v>
      </c>
      <c r="L263" t="s">
        <v>26</v>
      </c>
      <c r="M263">
        <f>IF(Table3[[#This Row],[Treatment_Success]]="Yes",1,0)</f>
        <v>0</v>
      </c>
      <c r="N263">
        <v>30849</v>
      </c>
    </row>
    <row r="264" spans="1:14" x14ac:dyDescent="0.35">
      <c r="A264" t="s">
        <v>311</v>
      </c>
      <c r="B264">
        <v>41</v>
      </c>
      <c r="C264" t="str">
        <f>_xlfn.IFS(Table3[[#This Row],[Age]]&lt;=10, "Child",Table3[[#This Row],[Age]]&lt;18, "Teenger", Table3[[#This Row],[Age]]&lt;30, "Middle Age", Table3[[#This Row],[Age]]&lt; 60,"Adult",Table3[[#This Row],[Age]],"Senior Citizen")</f>
        <v>Adult</v>
      </c>
      <c r="D264" t="s">
        <v>18</v>
      </c>
      <c r="E264" t="s">
        <v>38</v>
      </c>
      <c r="F264" t="s">
        <v>95</v>
      </c>
      <c r="G264" s="1">
        <v>45532</v>
      </c>
      <c r="H264" s="1">
        <v>45545</v>
      </c>
      <c r="I264" s="2">
        <f>Table3[[#This Row],[Discharge_Date]]-Table3[[#This Row],[Admission_Date]]</f>
        <v>13</v>
      </c>
      <c r="J264">
        <v>212</v>
      </c>
      <c r="K264" t="s">
        <v>15</v>
      </c>
      <c r="L264" t="s">
        <v>16</v>
      </c>
      <c r="M264">
        <f>IF(Table3[[#This Row],[Treatment_Success]]="Yes",1,0)</f>
        <v>1</v>
      </c>
      <c r="N264">
        <v>199314</v>
      </c>
    </row>
    <row r="265" spans="1:14" x14ac:dyDescent="0.35">
      <c r="A265" t="s">
        <v>312</v>
      </c>
      <c r="B265">
        <v>34</v>
      </c>
      <c r="C265" t="str">
        <f>_xlfn.IFS(Table3[[#This Row],[Age]]&lt;=10, "Child",Table3[[#This Row],[Age]]&lt;18, "Teenger", Table3[[#This Row],[Age]]&lt;30, "Middle Age", Table3[[#This Row],[Age]]&lt; 60,"Adult",Table3[[#This Row],[Age]],"Senior Citizen")</f>
        <v>Adult</v>
      </c>
      <c r="D265" t="s">
        <v>12</v>
      </c>
      <c r="E265" t="s">
        <v>38</v>
      </c>
      <c r="F265" t="s">
        <v>106</v>
      </c>
      <c r="G265" s="1">
        <v>45366</v>
      </c>
      <c r="H265" s="1">
        <v>45367</v>
      </c>
      <c r="I265" s="2">
        <f>Table3[[#This Row],[Discharge_Date]]-Table3[[#This Row],[Admission_Date]]</f>
        <v>1</v>
      </c>
      <c r="J265">
        <v>101</v>
      </c>
      <c r="K265" t="s">
        <v>33</v>
      </c>
      <c r="L265" t="s">
        <v>16</v>
      </c>
      <c r="M265">
        <f>IF(Table3[[#This Row],[Treatment_Success]]="Yes",1,0)</f>
        <v>1</v>
      </c>
      <c r="N265">
        <v>104572</v>
      </c>
    </row>
    <row r="266" spans="1:14" x14ac:dyDescent="0.35">
      <c r="A266" t="s">
        <v>313</v>
      </c>
      <c r="B266">
        <v>32</v>
      </c>
      <c r="C266" t="str">
        <f>_xlfn.IFS(Table3[[#This Row],[Age]]&lt;=10, "Child",Table3[[#This Row],[Age]]&lt;18, "Teenger", Table3[[#This Row],[Age]]&lt;30, "Middle Age", Table3[[#This Row],[Age]]&lt; 60,"Adult",Table3[[#This Row],[Age]],"Senior Citizen")</f>
        <v>Adult</v>
      </c>
      <c r="D266" t="s">
        <v>12</v>
      </c>
      <c r="E266" t="s">
        <v>28</v>
      </c>
      <c r="F266" t="s">
        <v>68</v>
      </c>
      <c r="G266" s="1">
        <v>45583</v>
      </c>
      <c r="H266" s="1">
        <v>45597</v>
      </c>
      <c r="I266" s="2">
        <f>Table3[[#This Row],[Discharge_Date]]-Table3[[#This Row],[Admission_Date]]</f>
        <v>14</v>
      </c>
      <c r="J266">
        <v>173</v>
      </c>
      <c r="K266" t="s">
        <v>33</v>
      </c>
      <c r="L266" t="s">
        <v>26</v>
      </c>
      <c r="M266">
        <f>IF(Table3[[#This Row],[Treatment_Success]]="Yes",1,0)</f>
        <v>0</v>
      </c>
      <c r="N266">
        <v>194676</v>
      </c>
    </row>
    <row r="267" spans="1:14" x14ac:dyDescent="0.35">
      <c r="A267" t="s">
        <v>314</v>
      </c>
      <c r="B267">
        <v>63</v>
      </c>
      <c r="C267" t="str">
        <f>_xlfn.IFS(Table3[[#This Row],[Age]]&lt;=10, "Child",Table3[[#This Row],[Age]]&lt;18, "Teenger", Table3[[#This Row],[Age]]&lt;30, "Middle Age", Table3[[#This Row],[Age]]&lt; 60,"Adult",Table3[[#This Row],[Age]],"Senior Citizen")</f>
        <v>Senior Citizen</v>
      </c>
      <c r="D267" t="s">
        <v>12</v>
      </c>
      <c r="E267" t="s">
        <v>13</v>
      </c>
      <c r="F267" t="s">
        <v>25</v>
      </c>
      <c r="G267" s="1">
        <v>45620</v>
      </c>
      <c r="H267" s="1">
        <v>45632</v>
      </c>
      <c r="I267" s="2">
        <f>Table3[[#This Row],[Discharge_Date]]-Table3[[#This Row],[Admission_Date]]</f>
        <v>12</v>
      </c>
      <c r="J267">
        <v>181</v>
      </c>
      <c r="K267" t="s">
        <v>36</v>
      </c>
      <c r="L267" t="s">
        <v>16</v>
      </c>
      <c r="M267">
        <f>IF(Table3[[#This Row],[Treatment_Success]]="Yes",1,0)</f>
        <v>1</v>
      </c>
      <c r="N267">
        <v>193825</v>
      </c>
    </row>
    <row r="268" spans="1:14" x14ac:dyDescent="0.35">
      <c r="A268" t="s">
        <v>315</v>
      </c>
      <c r="B268">
        <v>24</v>
      </c>
      <c r="C268" t="str">
        <f>_xlfn.IFS(Table3[[#This Row],[Age]]&lt;=10, "Child",Table3[[#This Row],[Age]]&lt;18, "Teenger", Table3[[#This Row],[Age]]&lt;30, "Middle Age", Table3[[#This Row],[Age]]&lt; 60,"Adult",Table3[[#This Row],[Age]],"Senior Citizen")</f>
        <v>Middle Age</v>
      </c>
      <c r="D268" t="s">
        <v>18</v>
      </c>
      <c r="E268" t="s">
        <v>28</v>
      </c>
      <c r="F268" t="s">
        <v>52</v>
      </c>
      <c r="G268" s="1">
        <v>45571</v>
      </c>
      <c r="H268" s="1">
        <v>45579</v>
      </c>
      <c r="I268" s="2">
        <f>Table3[[#This Row],[Discharge_Date]]-Table3[[#This Row],[Admission_Date]]</f>
        <v>8</v>
      </c>
      <c r="J268">
        <v>39</v>
      </c>
      <c r="K268" t="s">
        <v>15</v>
      </c>
      <c r="L268" t="s">
        <v>16</v>
      </c>
      <c r="M268">
        <f>IF(Table3[[#This Row],[Treatment_Success]]="Yes",1,0)</f>
        <v>1</v>
      </c>
      <c r="N268">
        <v>113106</v>
      </c>
    </row>
    <row r="269" spans="1:14" x14ac:dyDescent="0.35">
      <c r="A269" t="s">
        <v>316</v>
      </c>
      <c r="B269">
        <v>81</v>
      </c>
      <c r="C269" t="str">
        <f>_xlfn.IFS(Table3[[#This Row],[Age]]&lt;=10, "Child",Table3[[#This Row],[Age]]&lt;18, "Teenger", Table3[[#This Row],[Age]]&lt;30, "Middle Age", Table3[[#This Row],[Age]]&lt; 60,"Adult",Table3[[#This Row],[Age]],"Senior Citizen")</f>
        <v>Senior Citizen</v>
      </c>
      <c r="D269" t="s">
        <v>18</v>
      </c>
      <c r="E269" t="s">
        <v>24</v>
      </c>
      <c r="F269" t="s">
        <v>40</v>
      </c>
      <c r="G269" s="1">
        <v>45362</v>
      </c>
      <c r="H269" s="1">
        <v>45376</v>
      </c>
      <c r="I269" s="2">
        <f>Table3[[#This Row],[Discharge_Date]]-Table3[[#This Row],[Admission_Date]]</f>
        <v>14</v>
      </c>
      <c r="J269">
        <v>78</v>
      </c>
      <c r="K269" t="s">
        <v>15</v>
      </c>
      <c r="L269" t="s">
        <v>16</v>
      </c>
      <c r="M269">
        <f>IF(Table3[[#This Row],[Treatment_Success]]="Yes",1,0)</f>
        <v>1</v>
      </c>
      <c r="N269">
        <v>137574</v>
      </c>
    </row>
    <row r="270" spans="1:14" x14ac:dyDescent="0.35">
      <c r="A270" t="s">
        <v>317</v>
      </c>
      <c r="B270">
        <v>8</v>
      </c>
      <c r="C270" t="str">
        <f>_xlfn.IFS(Table3[[#This Row],[Age]]&lt;=10, "Child",Table3[[#This Row],[Age]]&lt;18, "Teenger", Table3[[#This Row],[Age]]&lt;30, "Middle Age", Table3[[#This Row],[Age]]&lt; 60,"Adult",Table3[[#This Row],[Age]],"Senior Citizen")</f>
        <v>Child</v>
      </c>
      <c r="D270" t="s">
        <v>12</v>
      </c>
      <c r="E270" t="s">
        <v>31</v>
      </c>
      <c r="F270" t="s">
        <v>80</v>
      </c>
      <c r="G270" s="1">
        <v>45525</v>
      </c>
      <c r="H270" s="1">
        <v>45531</v>
      </c>
      <c r="I270" s="2">
        <f>Table3[[#This Row],[Discharge_Date]]-Table3[[#This Row],[Admission_Date]]</f>
        <v>6</v>
      </c>
      <c r="J270">
        <v>4</v>
      </c>
      <c r="K270" t="s">
        <v>46</v>
      </c>
      <c r="L270" t="s">
        <v>16</v>
      </c>
      <c r="M270">
        <f>IF(Table3[[#This Row],[Treatment_Success]]="Yes",1,0)</f>
        <v>1</v>
      </c>
      <c r="N270">
        <v>9384</v>
      </c>
    </row>
    <row r="271" spans="1:14" x14ac:dyDescent="0.35">
      <c r="A271" t="s">
        <v>318</v>
      </c>
      <c r="B271">
        <v>36</v>
      </c>
      <c r="C271" t="str">
        <f>_xlfn.IFS(Table3[[#This Row],[Age]]&lt;=10, "Child",Table3[[#This Row],[Age]]&lt;18, "Teenger", Table3[[#This Row],[Age]]&lt;30, "Middle Age", Table3[[#This Row],[Age]]&lt; 60,"Adult",Table3[[#This Row],[Age]],"Senior Citizen")</f>
        <v>Adult</v>
      </c>
      <c r="D271" t="s">
        <v>12</v>
      </c>
      <c r="E271" t="s">
        <v>24</v>
      </c>
      <c r="F271" t="s">
        <v>49</v>
      </c>
      <c r="G271" s="1">
        <v>45563</v>
      </c>
      <c r="H271" s="1">
        <v>45575</v>
      </c>
      <c r="I271" s="2">
        <f>Table3[[#This Row],[Discharge_Date]]-Table3[[#This Row],[Admission_Date]]</f>
        <v>12</v>
      </c>
      <c r="J271">
        <v>221</v>
      </c>
      <c r="K271" t="s">
        <v>36</v>
      </c>
      <c r="L271" t="s">
        <v>16</v>
      </c>
      <c r="M271">
        <f>IF(Table3[[#This Row],[Treatment_Success]]="Yes",1,0)</f>
        <v>1</v>
      </c>
      <c r="N271">
        <v>30248</v>
      </c>
    </row>
    <row r="272" spans="1:14" x14ac:dyDescent="0.35">
      <c r="A272" t="s">
        <v>319</v>
      </c>
      <c r="B272">
        <v>31</v>
      </c>
      <c r="C272" t="str">
        <f>_xlfn.IFS(Table3[[#This Row],[Age]]&lt;=10, "Child",Table3[[#This Row],[Age]]&lt;18, "Teenger", Table3[[#This Row],[Age]]&lt;30, "Middle Age", Table3[[#This Row],[Age]]&lt; 60,"Adult",Table3[[#This Row],[Age]],"Senior Citizen")</f>
        <v>Adult</v>
      </c>
      <c r="D272" t="s">
        <v>18</v>
      </c>
      <c r="E272" t="s">
        <v>28</v>
      </c>
      <c r="F272" t="s">
        <v>49</v>
      </c>
      <c r="G272" s="1">
        <v>45560</v>
      </c>
      <c r="H272" s="1">
        <v>45563</v>
      </c>
      <c r="I272" s="2">
        <f>Table3[[#This Row],[Discharge_Date]]-Table3[[#This Row],[Admission_Date]]</f>
        <v>3</v>
      </c>
      <c r="J272">
        <v>130</v>
      </c>
      <c r="K272" t="s">
        <v>33</v>
      </c>
      <c r="L272" t="s">
        <v>16</v>
      </c>
      <c r="M272">
        <f>IF(Table3[[#This Row],[Treatment_Success]]="Yes",1,0)</f>
        <v>1</v>
      </c>
      <c r="N272">
        <v>109044</v>
      </c>
    </row>
    <row r="273" spans="1:14" x14ac:dyDescent="0.35">
      <c r="A273" t="s">
        <v>320</v>
      </c>
      <c r="B273">
        <v>52</v>
      </c>
      <c r="C273" t="str">
        <f>_xlfn.IFS(Table3[[#This Row],[Age]]&lt;=10, "Child",Table3[[#This Row],[Age]]&lt;18, "Teenger", Table3[[#This Row],[Age]]&lt;30, "Middle Age", Table3[[#This Row],[Age]]&lt; 60,"Adult",Table3[[#This Row],[Age]],"Senior Citizen")</f>
        <v>Adult</v>
      </c>
      <c r="D273" t="s">
        <v>12</v>
      </c>
      <c r="E273" t="s">
        <v>28</v>
      </c>
      <c r="F273" t="s">
        <v>14</v>
      </c>
      <c r="G273" s="1">
        <v>45332</v>
      </c>
      <c r="H273" s="1">
        <v>45338</v>
      </c>
      <c r="I273" s="2">
        <f>Table3[[#This Row],[Discharge_Date]]-Table3[[#This Row],[Admission_Date]]</f>
        <v>6</v>
      </c>
      <c r="J273">
        <v>116</v>
      </c>
      <c r="K273" t="s">
        <v>33</v>
      </c>
      <c r="L273" t="s">
        <v>16</v>
      </c>
      <c r="M273">
        <f>IF(Table3[[#This Row],[Treatment_Success]]="Yes",1,0)</f>
        <v>1</v>
      </c>
      <c r="N273">
        <v>176372</v>
      </c>
    </row>
    <row r="274" spans="1:14" x14ac:dyDescent="0.35">
      <c r="A274" t="s">
        <v>321</v>
      </c>
      <c r="B274">
        <v>5</v>
      </c>
      <c r="C274" t="str">
        <f>_xlfn.IFS(Table3[[#This Row],[Age]]&lt;=10, "Child",Table3[[#This Row],[Age]]&lt;18, "Teenger", Table3[[#This Row],[Age]]&lt;30, "Middle Age", Table3[[#This Row],[Age]]&lt; 60,"Adult",Table3[[#This Row],[Age]],"Senior Citizen")</f>
        <v>Child</v>
      </c>
      <c r="D274" t="s">
        <v>18</v>
      </c>
      <c r="E274" t="s">
        <v>31</v>
      </c>
      <c r="F274" t="s">
        <v>56</v>
      </c>
      <c r="G274" s="1">
        <v>45624</v>
      </c>
      <c r="H274" s="1">
        <v>45637</v>
      </c>
      <c r="I274" s="2">
        <f>Table3[[#This Row],[Discharge_Date]]-Table3[[#This Row],[Admission_Date]]</f>
        <v>13</v>
      </c>
      <c r="J274">
        <v>194</v>
      </c>
      <c r="K274" t="s">
        <v>46</v>
      </c>
      <c r="L274" t="s">
        <v>16</v>
      </c>
      <c r="M274">
        <f>IF(Table3[[#This Row],[Treatment_Success]]="Yes",1,0)</f>
        <v>1</v>
      </c>
      <c r="N274">
        <v>171919</v>
      </c>
    </row>
    <row r="275" spans="1:14" x14ac:dyDescent="0.35">
      <c r="A275" t="s">
        <v>322</v>
      </c>
      <c r="B275">
        <v>22</v>
      </c>
      <c r="C275" t="str">
        <f>_xlfn.IFS(Table3[[#This Row],[Age]]&lt;=10, "Child",Table3[[#This Row],[Age]]&lt;18, "Teenger", Table3[[#This Row],[Age]]&lt;30, "Middle Age", Table3[[#This Row],[Age]]&lt; 60,"Adult",Table3[[#This Row],[Age]],"Senior Citizen")</f>
        <v>Middle Age</v>
      </c>
      <c r="D275" t="s">
        <v>18</v>
      </c>
      <c r="E275" t="s">
        <v>31</v>
      </c>
      <c r="F275" t="s">
        <v>93</v>
      </c>
      <c r="G275" s="1">
        <v>45296</v>
      </c>
      <c r="H275" s="1">
        <v>45308</v>
      </c>
      <c r="I275" s="2">
        <f>Table3[[#This Row],[Discharge_Date]]-Table3[[#This Row],[Admission_Date]]</f>
        <v>12</v>
      </c>
      <c r="J275">
        <v>170</v>
      </c>
      <c r="K275" t="s">
        <v>15</v>
      </c>
      <c r="L275" t="s">
        <v>16</v>
      </c>
      <c r="M275">
        <f>IF(Table3[[#This Row],[Treatment_Success]]="Yes",1,0)</f>
        <v>1</v>
      </c>
      <c r="N275">
        <v>65231</v>
      </c>
    </row>
    <row r="276" spans="1:14" x14ac:dyDescent="0.35">
      <c r="A276" t="s">
        <v>323</v>
      </c>
      <c r="B276">
        <v>89</v>
      </c>
      <c r="C276" t="str">
        <f>_xlfn.IFS(Table3[[#This Row],[Age]]&lt;=10, "Child",Table3[[#This Row],[Age]]&lt;18, "Teenger", Table3[[#This Row],[Age]]&lt;30, "Middle Age", Table3[[#This Row],[Age]]&lt; 60,"Adult",Table3[[#This Row],[Age]],"Senior Citizen")</f>
        <v>Senior Citizen</v>
      </c>
      <c r="D276" t="s">
        <v>12</v>
      </c>
      <c r="E276" t="s">
        <v>38</v>
      </c>
      <c r="F276" t="s">
        <v>52</v>
      </c>
      <c r="G276" s="1">
        <v>45400</v>
      </c>
      <c r="H276" s="1">
        <v>45415</v>
      </c>
      <c r="I276" s="2">
        <f>Table3[[#This Row],[Discharge_Date]]-Table3[[#This Row],[Admission_Date]]</f>
        <v>15</v>
      </c>
      <c r="J276">
        <v>39</v>
      </c>
      <c r="K276" t="s">
        <v>33</v>
      </c>
      <c r="L276" t="s">
        <v>16</v>
      </c>
      <c r="M276">
        <f>IF(Table3[[#This Row],[Treatment_Success]]="Yes",1,0)</f>
        <v>1</v>
      </c>
      <c r="N276">
        <v>52016</v>
      </c>
    </row>
    <row r="277" spans="1:14" x14ac:dyDescent="0.35">
      <c r="A277" t="s">
        <v>324</v>
      </c>
      <c r="B277">
        <v>27</v>
      </c>
      <c r="C277" t="str">
        <f>_xlfn.IFS(Table3[[#This Row],[Age]]&lt;=10, "Child",Table3[[#This Row],[Age]]&lt;18, "Teenger", Table3[[#This Row],[Age]]&lt;30, "Middle Age", Table3[[#This Row],[Age]]&lt; 60,"Adult",Table3[[#This Row],[Age]],"Senior Citizen")</f>
        <v>Middle Age</v>
      </c>
      <c r="D277" t="s">
        <v>18</v>
      </c>
      <c r="E277" t="s">
        <v>31</v>
      </c>
      <c r="F277" t="s">
        <v>45</v>
      </c>
      <c r="G277" s="1">
        <v>45453</v>
      </c>
      <c r="H277" s="1">
        <v>45454</v>
      </c>
      <c r="I277" s="2">
        <f>Table3[[#This Row],[Discharge_Date]]-Table3[[#This Row],[Admission_Date]]</f>
        <v>1</v>
      </c>
      <c r="J277">
        <v>154</v>
      </c>
      <c r="K277" t="s">
        <v>36</v>
      </c>
      <c r="L277" t="s">
        <v>16</v>
      </c>
      <c r="M277">
        <f>IF(Table3[[#This Row],[Treatment_Success]]="Yes",1,0)</f>
        <v>1</v>
      </c>
      <c r="N277">
        <v>153555</v>
      </c>
    </row>
    <row r="278" spans="1:14" x14ac:dyDescent="0.35">
      <c r="A278" t="s">
        <v>325</v>
      </c>
      <c r="B278">
        <v>70</v>
      </c>
      <c r="C278" t="str">
        <f>_xlfn.IFS(Table3[[#This Row],[Age]]&lt;=10, "Child",Table3[[#This Row],[Age]]&lt;18, "Teenger", Table3[[#This Row],[Age]]&lt;30, "Middle Age", Table3[[#This Row],[Age]]&lt; 60,"Adult",Table3[[#This Row],[Age]],"Senior Citizen")</f>
        <v>Senior Citizen</v>
      </c>
      <c r="D278" t="s">
        <v>12</v>
      </c>
      <c r="E278" t="s">
        <v>31</v>
      </c>
      <c r="F278" t="s">
        <v>22</v>
      </c>
      <c r="G278" s="1">
        <v>45491</v>
      </c>
      <c r="H278" s="1">
        <v>45502</v>
      </c>
      <c r="I278" s="2">
        <f>Table3[[#This Row],[Discharge_Date]]-Table3[[#This Row],[Admission_Date]]</f>
        <v>11</v>
      </c>
      <c r="J278">
        <v>72</v>
      </c>
      <c r="K278" t="s">
        <v>15</v>
      </c>
      <c r="L278" t="s">
        <v>16</v>
      </c>
      <c r="M278">
        <f>IF(Table3[[#This Row],[Treatment_Success]]="Yes",1,0)</f>
        <v>1</v>
      </c>
      <c r="N278">
        <v>19076</v>
      </c>
    </row>
    <row r="279" spans="1:14" x14ac:dyDescent="0.35">
      <c r="A279" t="s">
        <v>326</v>
      </c>
      <c r="B279">
        <v>30</v>
      </c>
      <c r="C279" t="str">
        <f>_xlfn.IFS(Table3[[#This Row],[Age]]&lt;=10, "Child",Table3[[#This Row],[Age]]&lt;18, "Teenger", Table3[[#This Row],[Age]]&lt;30, "Middle Age", Table3[[#This Row],[Age]]&lt; 60,"Adult",Table3[[#This Row],[Age]],"Senior Citizen")</f>
        <v>Adult</v>
      </c>
      <c r="D279" t="s">
        <v>18</v>
      </c>
      <c r="E279" t="s">
        <v>38</v>
      </c>
      <c r="F279" t="s">
        <v>35</v>
      </c>
      <c r="G279" s="1">
        <v>45342</v>
      </c>
      <c r="H279" s="1">
        <v>45349</v>
      </c>
      <c r="I279" s="2">
        <f>Table3[[#This Row],[Discharge_Date]]-Table3[[#This Row],[Admission_Date]]</f>
        <v>7</v>
      </c>
      <c r="J279">
        <v>204</v>
      </c>
      <c r="K279" t="s">
        <v>33</v>
      </c>
      <c r="L279" t="s">
        <v>16</v>
      </c>
      <c r="M279">
        <f>IF(Table3[[#This Row],[Treatment_Success]]="Yes",1,0)</f>
        <v>1</v>
      </c>
      <c r="N279">
        <v>171231</v>
      </c>
    </row>
    <row r="280" spans="1:14" x14ac:dyDescent="0.35">
      <c r="A280" t="s">
        <v>327</v>
      </c>
      <c r="B280">
        <v>58</v>
      </c>
      <c r="C280" t="str">
        <f>_xlfn.IFS(Table3[[#This Row],[Age]]&lt;=10, "Child",Table3[[#This Row],[Age]]&lt;18, "Teenger", Table3[[#This Row],[Age]]&lt;30, "Middle Age", Table3[[#This Row],[Age]]&lt; 60,"Adult",Table3[[#This Row],[Age]],"Senior Citizen")</f>
        <v>Adult</v>
      </c>
      <c r="D280" t="s">
        <v>12</v>
      </c>
      <c r="E280" t="s">
        <v>13</v>
      </c>
      <c r="F280" t="s">
        <v>63</v>
      </c>
      <c r="G280" s="1">
        <v>45431</v>
      </c>
      <c r="H280" s="1">
        <v>45444</v>
      </c>
      <c r="I280" s="2">
        <f>Table3[[#This Row],[Discharge_Date]]-Table3[[#This Row],[Admission_Date]]</f>
        <v>13</v>
      </c>
      <c r="J280">
        <v>284</v>
      </c>
      <c r="K280" t="s">
        <v>46</v>
      </c>
      <c r="L280" t="s">
        <v>26</v>
      </c>
      <c r="M280">
        <f>IF(Table3[[#This Row],[Treatment_Success]]="Yes",1,0)</f>
        <v>0</v>
      </c>
      <c r="N280">
        <v>53690</v>
      </c>
    </row>
    <row r="281" spans="1:14" x14ac:dyDescent="0.35">
      <c r="A281" t="s">
        <v>328</v>
      </c>
      <c r="B281">
        <v>85</v>
      </c>
      <c r="C281" t="str">
        <f>_xlfn.IFS(Table3[[#This Row],[Age]]&lt;=10, "Child",Table3[[#This Row],[Age]]&lt;18, "Teenger", Table3[[#This Row],[Age]]&lt;30, "Middle Age", Table3[[#This Row],[Age]]&lt; 60,"Adult",Table3[[#This Row],[Age]],"Senior Citizen")</f>
        <v>Senior Citizen</v>
      </c>
      <c r="D281" t="s">
        <v>12</v>
      </c>
      <c r="E281" t="s">
        <v>24</v>
      </c>
      <c r="F281" t="s">
        <v>22</v>
      </c>
      <c r="G281" s="1">
        <v>45640</v>
      </c>
      <c r="H281" s="1">
        <v>45650</v>
      </c>
      <c r="I281" s="2">
        <f>Table3[[#This Row],[Discharge_Date]]-Table3[[#This Row],[Admission_Date]]</f>
        <v>10</v>
      </c>
      <c r="J281">
        <v>152</v>
      </c>
      <c r="K281" t="s">
        <v>36</v>
      </c>
      <c r="L281" t="s">
        <v>16</v>
      </c>
      <c r="M281">
        <f>IF(Table3[[#This Row],[Treatment_Success]]="Yes",1,0)</f>
        <v>1</v>
      </c>
      <c r="N281">
        <v>26505</v>
      </c>
    </row>
    <row r="282" spans="1:14" x14ac:dyDescent="0.35">
      <c r="A282" t="s">
        <v>329</v>
      </c>
      <c r="B282">
        <v>49</v>
      </c>
      <c r="C282" t="str">
        <f>_xlfn.IFS(Table3[[#This Row],[Age]]&lt;=10, "Child",Table3[[#This Row],[Age]]&lt;18, "Teenger", Table3[[#This Row],[Age]]&lt;30, "Middle Age", Table3[[#This Row],[Age]]&lt; 60,"Adult",Table3[[#This Row],[Age]],"Senior Citizen")</f>
        <v>Adult</v>
      </c>
      <c r="D282" t="s">
        <v>18</v>
      </c>
      <c r="E282" t="s">
        <v>31</v>
      </c>
      <c r="F282" t="s">
        <v>95</v>
      </c>
      <c r="G282" s="1">
        <v>45429</v>
      </c>
      <c r="H282" s="1">
        <v>45432</v>
      </c>
      <c r="I282" s="2">
        <f>Table3[[#This Row],[Discharge_Date]]-Table3[[#This Row],[Admission_Date]]</f>
        <v>3</v>
      </c>
      <c r="J282">
        <v>185</v>
      </c>
      <c r="K282" t="s">
        <v>15</v>
      </c>
      <c r="L282" t="s">
        <v>16</v>
      </c>
      <c r="M282">
        <f>IF(Table3[[#This Row],[Treatment_Success]]="Yes",1,0)</f>
        <v>1</v>
      </c>
      <c r="N282">
        <v>6361</v>
      </c>
    </row>
    <row r="283" spans="1:14" x14ac:dyDescent="0.35">
      <c r="A283" t="s">
        <v>330</v>
      </c>
      <c r="B283">
        <v>47</v>
      </c>
      <c r="C283" t="str">
        <f>_xlfn.IFS(Table3[[#This Row],[Age]]&lt;=10, "Child",Table3[[#This Row],[Age]]&lt;18, "Teenger", Table3[[#This Row],[Age]]&lt;30, "Middle Age", Table3[[#This Row],[Age]]&lt; 60,"Adult",Table3[[#This Row],[Age]],"Senior Citizen")</f>
        <v>Adult</v>
      </c>
      <c r="D283" t="s">
        <v>12</v>
      </c>
      <c r="E283" t="s">
        <v>24</v>
      </c>
      <c r="F283" t="s">
        <v>106</v>
      </c>
      <c r="G283" s="1">
        <v>45449</v>
      </c>
      <c r="H283" s="1">
        <v>45457</v>
      </c>
      <c r="I283" s="2">
        <f>Table3[[#This Row],[Discharge_Date]]-Table3[[#This Row],[Admission_Date]]</f>
        <v>8</v>
      </c>
      <c r="J283">
        <v>45</v>
      </c>
      <c r="K283" t="s">
        <v>36</v>
      </c>
      <c r="L283" t="s">
        <v>26</v>
      </c>
      <c r="M283">
        <f>IF(Table3[[#This Row],[Treatment_Success]]="Yes",1,0)</f>
        <v>0</v>
      </c>
      <c r="N283">
        <v>122661</v>
      </c>
    </row>
    <row r="284" spans="1:14" x14ac:dyDescent="0.35">
      <c r="A284" t="s">
        <v>331</v>
      </c>
      <c r="B284">
        <v>66</v>
      </c>
      <c r="C284" t="str">
        <f>_xlfn.IFS(Table3[[#This Row],[Age]]&lt;=10, "Child",Table3[[#This Row],[Age]]&lt;18, "Teenger", Table3[[#This Row],[Age]]&lt;30, "Middle Age", Table3[[#This Row],[Age]]&lt; 60,"Adult",Table3[[#This Row],[Age]],"Senior Citizen")</f>
        <v>Senior Citizen</v>
      </c>
      <c r="D284" t="s">
        <v>12</v>
      </c>
      <c r="E284" t="s">
        <v>24</v>
      </c>
      <c r="F284" t="s">
        <v>80</v>
      </c>
      <c r="G284" s="1">
        <v>45577</v>
      </c>
      <c r="H284" s="1">
        <v>45586</v>
      </c>
      <c r="I284" s="2">
        <f>Table3[[#This Row],[Discharge_Date]]-Table3[[#This Row],[Admission_Date]]</f>
        <v>9</v>
      </c>
      <c r="J284">
        <v>46</v>
      </c>
      <c r="K284" t="s">
        <v>33</v>
      </c>
      <c r="L284" t="s">
        <v>16</v>
      </c>
      <c r="M284">
        <f>IF(Table3[[#This Row],[Treatment_Success]]="Yes",1,0)</f>
        <v>1</v>
      </c>
      <c r="N284">
        <v>161480</v>
      </c>
    </row>
    <row r="285" spans="1:14" x14ac:dyDescent="0.35">
      <c r="A285" t="s">
        <v>332</v>
      </c>
      <c r="B285">
        <v>42</v>
      </c>
      <c r="C285" t="str">
        <f>_xlfn.IFS(Table3[[#This Row],[Age]]&lt;=10, "Child",Table3[[#This Row],[Age]]&lt;18, "Teenger", Table3[[#This Row],[Age]]&lt;30, "Middle Age", Table3[[#This Row],[Age]]&lt; 60,"Adult",Table3[[#This Row],[Age]],"Senior Citizen")</f>
        <v>Adult</v>
      </c>
      <c r="D285" t="s">
        <v>12</v>
      </c>
      <c r="E285" t="s">
        <v>24</v>
      </c>
      <c r="F285" t="s">
        <v>83</v>
      </c>
      <c r="G285" s="1">
        <v>45598</v>
      </c>
      <c r="H285" s="1">
        <v>45611</v>
      </c>
      <c r="I285" s="2">
        <f>Table3[[#This Row],[Discharge_Date]]-Table3[[#This Row],[Admission_Date]]</f>
        <v>13</v>
      </c>
      <c r="J285">
        <v>212</v>
      </c>
      <c r="K285" t="s">
        <v>46</v>
      </c>
      <c r="L285" t="s">
        <v>16</v>
      </c>
      <c r="M285">
        <f>IF(Table3[[#This Row],[Treatment_Success]]="Yes",1,0)</f>
        <v>1</v>
      </c>
      <c r="N285">
        <v>195013</v>
      </c>
    </row>
    <row r="286" spans="1:14" x14ac:dyDescent="0.35">
      <c r="A286" t="s">
        <v>333</v>
      </c>
      <c r="B286">
        <v>32</v>
      </c>
      <c r="C286" t="str">
        <f>_xlfn.IFS(Table3[[#This Row],[Age]]&lt;=10, "Child",Table3[[#This Row],[Age]]&lt;18, "Teenger", Table3[[#This Row],[Age]]&lt;30, "Middle Age", Table3[[#This Row],[Age]]&lt; 60,"Adult",Table3[[#This Row],[Age]],"Senior Citizen")</f>
        <v>Adult</v>
      </c>
      <c r="D286" t="s">
        <v>18</v>
      </c>
      <c r="E286" t="s">
        <v>31</v>
      </c>
      <c r="F286" t="s">
        <v>66</v>
      </c>
      <c r="G286" s="1">
        <v>45578</v>
      </c>
      <c r="H286" s="1">
        <v>45593</v>
      </c>
      <c r="I286" s="2">
        <f>Table3[[#This Row],[Discharge_Date]]-Table3[[#This Row],[Admission_Date]]</f>
        <v>15</v>
      </c>
      <c r="J286">
        <v>72</v>
      </c>
      <c r="K286" t="s">
        <v>33</v>
      </c>
      <c r="L286" t="s">
        <v>16</v>
      </c>
      <c r="M286">
        <f>IF(Table3[[#This Row],[Treatment_Success]]="Yes",1,0)</f>
        <v>1</v>
      </c>
      <c r="N286">
        <v>75361</v>
      </c>
    </row>
    <row r="287" spans="1:14" x14ac:dyDescent="0.35">
      <c r="A287" t="s">
        <v>334</v>
      </c>
      <c r="B287">
        <v>9</v>
      </c>
      <c r="C287" t="str">
        <f>_xlfn.IFS(Table3[[#This Row],[Age]]&lt;=10, "Child",Table3[[#This Row],[Age]]&lt;18, "Teenger", Table3[[#This Row],[Age]]&lt;30, "Middle Age", Table3[[#This Row],[Age]]&lt; 60,"Adult",Table3[[#This Row],[Age]],"Senior Citizen")</f>
        <v>Child</v>
      </c>
      <c r="D287" t="s">
        <v>18</v>
      </c>
      <c r="E287" t="s">
        <v>31</v>
      </c>
      <c r="F287" t="s">
        <v>32</v>
      </c>
      <c r="G287" s="1">
        <v>45544</v>
      </c>
      <c r="H287" s="1">
        <v>45547</v>
      </c>
      <c r="I287" s="2">
        <f>Table3[[#This Row],[Discharge_Date]]-Table3[[#This Row],[Admission_Date]]</f>
        <v>3</v>
      </c>
      <c r="J287">
        <v>216</v>
      </c>
      <c r="K287" t="s">
        <v>33</v>
      </c>
      <c r="L287" t="s">
        <v>26</v>
      </c>
      <c r="M287">
        <f>IF(Table3[[#This Row],[Treatment_Success]]="Yes",1,0)</f>
        <v>0</v>
      </c>
      <c r="N287">
        <v>25164</v>
      </c>
    </row>
    <row r="288" spans="1:14" x14ac:dyDescent="0.35">
      <c r="A288" t="s">
        <v>335</v>
      </c>
      <c r="B288">
        <v>32</v>
      </c>
      <c r="C288" t="str">
        <f>_xlfn.IFS(Table3[[#This Row],[Age]]&lt;=10, "Child",Table3[[#This Row],[Age]]&lt;18, "Teenger", Table3[[#This Row],[Age]]&lt;30, "Middle Age", Table3[[#This Row],[Age]]&lt; 60,"Adult",Table3[[#This Row],[Age]],"Senior Citizen")</f>
        <v>Adult</v>
      </c>
      <c r="D288" t="s">
        <v>12</v>
      </c>
      <c r="E288" t="s">
        <v>28</v>
      </c>
      <c r="F288" t="s">
        <v>35</v>
      </c>
      <c r="G288" s="1">
        <v>45476</v>
      </c>
      <c r="H288" s="1">
        <v>45481</v>
      </c>
      <c r="I288" s="2">
        <f>Table3[[#This Row],[Discharge_Date]]-Table3[[#This Row],[Admission_Date]]</f>
        <v>5</v>
      </c>
      <c r="J288">
        <v>101</v>
      </c>
      <c r="K288" t="s">
        <v>46</v>
      </c>
      <c r="L288" t="s">
        <v>16</v>
      </c>
      <c r="M288">
        <f>IF(Table3[[#This Row],[Treatment_Success]]="Yes",1,0)</f>
        <v>1</v>
      </c>
      <c r="N288">
        <v>40517</v>
      </c>
    </row>
    <row r="289" spans="1:14" x14ac:dyDescent="0.35">
      <c r="A289" t="s">
        <v>336</v>
      </c>
      <c r="B289">
        <v>51</v>
      </c>
      <c r="C289" t="str">
        <f>_xlfn.IFS(Table3[[#This Row],[Age]]&lt;=10, "Child",Table3[[#This Row],[Age]]&lt;18, "Teenger", Table3[[#This Row],[Age]]&lt;30, "Middle Age", Table3[[#This Row],[Age]]&lt; 60,"Adult",Table3[[#This Row],[Age]],"Senior Citizen")</f>
        <v>Adult</v>
      </c>
      <c r="D289" t="s">
        <v>12</v>
      </c>
      <c r="E289" t="s">
        <v>28</v>
      </c>
      <c r="F289" t="s">
        <v>56</v>
      </c>
      <c r="G289" s="1">
        <v>45447</v>
      </c>
      <c r="H289" s="1">
        <v>45448</v>
      </c>
      <c r="I289" s="2">
        <f>Table3[[#This Row],[Discharge_Date]]-Table3[[#This Row],[Admission_Date]]</f>
        <v>1</v>
      </c>
      <c r="J289">
        <v>169</v>
      </c>
      <c r="K289" t="s">
        <v>46</v>
      </c>
      <c r="L289" t="s">
        <v>16</v>
      </c>
      <c r="M289">
        <f>IF(Table3[[#This Row],[Treatment_Success]]="Yes",1,0)</f>
        <v>1</v>
      </c>
      <c r="N289">
        <v>117883</v>
      </c>
    </row>
    <row r="290" spans="1:14" x14ac:dyDescent="0.35">
      <c r="A290" t="s">
        <v>337</v>
      </c>
      <c r="B290">
        <v>18</v>
      </c>
      <c r="C290" t="str">
        <f>_xlfn.IFS(Table3[[#This Row],[Age]]&lt;=10, "Child",Table3[[#This Row],[Age]]&lt;18, "Teenger", Table3[[#This Row],[Age]]&lt;30, "Middle Age", Table3[[#This Row],[Age]]&lt; 60,"Adult",Table3[[#This Row],[Age]],"Senior Citizen")</f>
        <v>Middle Age</v>
      </c>
      <c r="D290" t="s">
        <v>12</v>
      </c>
      <c r="E290" t="s">
        <v>38</v>
      </c>
      <c r="F290" t="s">
        <v>35</v>
      </c>
      <c r="G290" s="1">
        <v>45625</v>
      </c>
      <c r="H290" s="1">
        <v>45635</v>
      </c>
      <c r="I290" s="2">
        <f>Table3[[#This Row],[Discharge_Date]]-Table3[[#This Row],[Admission_Date]]</f>
        <v>10</v>
      </c>
      <c r="J290">
        <v>103</v>
      </c>
      <c r="K290" t="s">
        <v>46</v>
      </c>
      <c r="L290" t="s">
        <v>16</v>
      </c>
      <c r="M290">
        <f>IF(Table3[[#This Row],[Treatment_Success]]="Yes",1,0)</f>
        <v>1</v>
      </c>
      <c r="N290">
        <v>51566</v>
      </c>
    </row>
    <row r="291" spans="1:14" x14ac:dyDescent="0.35">
      <c r="A291" t="s">
        <v>338</v>
      </c>
      <c r="B291">
        <v>38</v>
      </c>
      <c r="C291" t="str">
        <f>_xlfn.IFS(Table3[[#This Row],[Age]]&lt;=10, "Child",Table3[[#This Row],[Age]]&lt;18, "Teenger", Table3[[#This Row],[Age]]&lt;30, "Middle Age", Table3[[#This Row],[Age]]&lt; 60,"Adult",Table3[[#This Row],[Age]],"Senior Citizen")</f>
        <v>Adult</v>
      </c>
      <c r="D291" t="s">
        <v>12</v>
      </c>
      <c r="E291" t="s">
        <v>28</v>
      </c>
      <c r="F291" t="s">
        <v>14</v>
      </c>
      <c r="G291" s="1">
        <v>45495</v>
      </c>
      <c r="H291" s="1">
        <v>45501</v>
      </c>
      <c r="I291" s="2">
        <f>Table3[[#This Row],[Discharge_Date]]-Table3[[#This Row],[Admission_Date]]</f>
        <v>6</v>
      </c>
      <c r="J291">
        <v>167</v>
      </c>
      <c r="K291" t="s">
        <v>46</v>
      </c>
      <c r="L291" t="s">
        <v>16</v>
      </c>
      <c r="M291">
        <f>IF(Table3[[#This Row],[Treatment_Success]]="Yes",1,0)</f>
        <v>1</v>
      </c>
      <c r="N291">
        <v>108005</v>
      </c>
    </row>
    <row r="292" spans="1:14" x14ac:dyDescent="0.35">
      <c r="A292" t="s">
        <v>339</v>
      </c>
      <c r="B292">
        <v>73</v>
      </c>
      <c r="C292" t="str">
        <f>_xlfn.IFS(Table3[[#This Row],[Age]]&lt;=10, "Child",Table3[[#This Row],[Age]]&lt;18, "Teenger", Table3[[#This Row],[Age]]&lt;30, "Middle Age", Table3[[#This Row],[Age]]&lt; 60,"Adult",Table3[[#This Row],[Age]],"Senior Citizen")</f>
        <v>Senior Citizen</v>
      </c>
      <c r="D292" t="s">
        <v>18</v>
      </c>
      <c r="E292" t="s">
        <v>28</v>
      </c>
      <c r="F292" t="s">
        <v>61</v>
      </c>
      <c r="G292" s="1">
        <v>45478</v>
      </c>
      <c r="H292" s="1">
        <v>45480</v>
      </c>
      <c r="I292" s="2">
        <f>Table3[[#This Row],[Discharge_Date]]-Table3[[#This Row],[Admission_Date]]</f>
        <v>2</v>
      </c>
      <c r="J292">
        <v>93</v>
      </c>
      <c r="K292" t="s">
        <v>15</v>
      </c>
      <c r="L292" t="s">
        <v>26</v>
      </c>
      <c r="M292">
        <f>IF(Table3[[#This Row],[Treatment_Success]]="Yes",1,0)</f>
        <v>0</v>
      </c>
      <c r="N292">
        <v>190694</v>
      </c>
    </row>
    <row r="293" spans="1:14" x14ac:dyDescent="0.35">
      <c r="A293" t="s">
        <v>340</v>
      </c>
      <c r="B293">
        <v>38</v>
      </c>
      <c r="C293" t="str">
        <f>_xlfn.IFS(Table3[[#This Row],[Age]]&lt;=10, "Child",Table3[[#This Row],[Age]]&lt;18, "Teenger", Table3[[#This Row],[Age]]&lt;30, "Middle Age", Table3[[#This Row],[Age]]&lt; 60,"Adult",Table3[[#This Row],[Age]],"Senior Citizen")</f>
        <v>Adult</v>
      </c>
      <c r="D293" t="s">
        <v>18</v>
      </c>
      <c r="E293" t="s">
        <v>31</v>
      </c>
      <c r="F293" t="s">
        <v>54</v>
      </c>
      <c r="G293" s="1">
        <v>45399</v>
      </c>
      <c r="H293" s="1">
        <v>45407</v>
      </c>
      <c r="I293" s="2">
        <f>Table3[[#This Row],[Discharge_Date]]-Table3[[#This Row],[Admission_Date]]</f>
        <v>8</v>
      </c>
      <c r="J293">
        <v>256</v>
      </c>
      <c r="K293" t="s">
        <v>36</v>
      </c>
      <c r="L293" t="s">
        <v>16</v>
      </c>
      <c r="M293">
        <f>IF(Table3[[#This Row],[Treatment_Success]]="Yes",1,0)</f>
        <v>1</v>
      </c>
      <c r="N293">
        <v>68444</v>
      </c>
    </row>
    <row r="294" spans="1:14" x14ac:dyDescent="0.35">
      <c r="A294" t="s">
        <v>341</v>
      </c>
      <c r="B294">
        <v>20</v>
      </c>
      <c r="C294" t="str">
        <f>_xlfn.IFS(Table3[[#This Row],[Age]]&lt;=10, "Child",Table3[[#This Row],[Age]]&lt;18, "Teenger", Table3[[#This Row],[Age]]&lt;30, "Middle Age", Table3[[#This Row],[Age]]&lt; 60,"Adult",Table3[[#This Row],[Age]],"Senior Citizen")</f>
        <v>Middle Age</v>
      </c>
      <c r="D294" t="s">
        <v>12</v>
      </c>
      <c r="E294" t="s">
        <v>31</v>
      </c>
      <c r="F294" t="s">
        <v>45</v>
      </c>
      <c r="G294" s="1">
        <v>45421</v>
      </c>
      <c r="H294" s="1">
        <v>45432</v>
      </c>
      <c r="I294" s="2">
        <f>Table3[[#This Row],[Discharge_Date]]-Table3[[#This Row],[Admission_Date]]</f>
        <v>11</v>
      </c>
      <c r="J294">
        <v>230</v>
      </c>
      <c r="K294" t="s">
        <v>46</v>
      </c>
      <c r="L294" t="s">
        <v>26</v>
      </c>
      <c r="M294">
        <f>IF(Table3[[#This Row],[Treatment_Success]]="Yes",1,0)</f>
        <v>0</v>
      </c>
      <c r="N294">
        <v>145081</v>
      </c>
    </row>
    <row r="295" spans="1:14" x14ac:dyDescent="0.35">
      <c r="A295" t="s">
        <v>342</v>
      </c>
      <c r="B295">
        <v>89</v>
      </c>
      <c r="C295" t="str">
        <f>_xlfn.IFS(Table3[[#This Row],[Age]]&lt;=10, "Child",Table3[[#This Row],[Age]]&lt;18, "Teenger", Table3[[#This Row],[Age]]&lt;30, "Middle Age", Table3[[#This Row],[Age]]&lt; 60,"Adult",Table3[[#This Row],[Age]],"Senior Citizen")</f>
        <v>Senior Citizen</v>
      </c>
      <c r="D295" t="s">
        <v>12</v>
      </c>
      <c r="E295" t="s">
        <v>28</v>
      </c>
      <c r="F295" t="s">
        <v>52</v>
      </c>
      <c r="G295" s="1">
        <v>45551</v>
      </c>
      <c r="H295" s="1">
        <v>45566</v>
      </c>
      <c r="I295" s="2">
        <f>Table3[[#This Row],[Discharge_Date]]-Table3[[#This Row],[Admission_Date]]</f>
        <v>15</v>
      </c>
      <c r="J295">
        <v>185</v>
      </c>
      <c r="K295" t="s">
        <v>15</v>
      </c>
      <c r="L295" t="s">
        <v>16</v>
      </c>
      <c r="M295">
        <f>IF(Table3[[#This Row],[Treatment_Success]]="Yes",1,0)</f>
        <v>1</v>
      </c>
      <c r="N295">
        <v>70072</v>
      </c>
    </row>
    <row r="296" spans="1:14" x14ac:dyDescent="0.35">
      <c r="A296" t="s">
        <v>343</v>
      </c>
      <c r="B296">
        <v>46</v>
      </c>
      <c r="C296" t="str">
        <f>_xlfn.IFS(Table3[[#This Row],[Age]]&lt;=10, "Child",Table3[[#This Row],[Age]]&lt;18, "Teenger", Table3[[#This Row],[Age]]&lt;30, "Middle Age", Table3[[#This Row],[Age]]&lt; 60,"Adult",Table3[[#This Row],[Age]],"Senior Citizen")</f>
        <v>Adult</v>
      </c>
      <c r="D296" t="s">
        <v>18</v>
      </c>
      <c r="E296" t="s">
        <v>28</v>
      </c>
      <c r="F296" t="s">
        <v>52</v>
      </c>
      <c r="G296" s="1">
        <v>45628</v>
      </c>
      <c r="H296" s="1">
        <v>45639</v>
      </c>
      <c r="I296" s="2">
        <f>Table3[[#This Row],[Discharge_Date]]-Table3[[#This Row],[Admission_Date]]</f>
        <v>11</v>
      </c>
      <c r="J296">
        <v>289</v>
      </c>
      <c r="K296" t="s">
        <v>46</v>
      </c>
      <c r="L296" t="s">
        <v>16</v>
      </c>
      <c r="M296">
        <f>IF(Table3[[#This Row],[Treatment_Success]]="Yes",1,0)</f>
        <v>1</v>
      </c>
      <c r="N296">
        <v>117841</v>
      </c>
    </row>
    <row r="297" spans="1:14" x14ac:dyDescent="0.35">
      <c r="A297" t="s">
        <v>344</v>
      </c>
      <c r="B297">
        <v>13</v>
      </c>
      <c r="C297" t="str">
        <f>_xlfn.IFS(Table3[[#This Row],[Age]]&lt;=10, "Child",Table3[[#This Row],[Age]]&lt;18, "Teenger", Table3[[#This Row],[Age]]&lt;30, "Middle Age", Table3[[#This Row],[Age]]&lt; 60,"Adult",Table3[[#This Row],[Age]],"Senior Citizen")</f>
        <v>Teenger</v>
      </c>
      <c r="D297" t="s">
        <v>12</v>
      </c>
      <c r="E297" t="s">
        <v>13</v>
      </c>
      <c r="F297" t="s">
        <v>49</v>
      </c>
      <c r="G297" s="1">
        <v>45346</v>
      </c>
      <c r="H297" s="1">
        <v>45347</v>
      </c>
      <c r="I297" s="2">
        <f>Table3[[#This Row],[Discharge_Date]]-Table3[[#This Row],[Admission_Date]]</f>
        <v>1</v>
      </c>
      <c r="J297">
        <v>266</v>
      </c>
      <c r="K297" t="s">
        <v>36</v>
      </c>
      <c r="L297" t="s">
        <v>26</v>
      </c>
      <c r="M297">
        <f>IF(Table3[[#This Row],[Treatment_Success]]="Yes",1,0)</f>
        <v>0</v>
      </c>
      <c r="N297">
        <v>103073</v>
      </c>
    </row>
    <row r="298" spans="1:14" x14ac:dyDescent="0.35">
      <c r="A298" t="s">
        <v>345</v>
      </c>
      <c r="B298">
        <v>87</v>
      </c>
      <c r="C298" t="str">
        <f>_xlfn.IFS(Table3[[#This Row],[Age]]&lt;=10, "Child",Table3[[#This Row],[Age]]&lt;18, "Teenger", Table3[[#This Row],[Age]]&lt;30, "Middle Age", Table3[[#This Row],[Age]]&lt; 60,"Adult",Table3[[#This Row],[Age]],"Senior Citizen")</f>
        <v>Senior Citizen</v>
      </c>
      <c r="D298" t="s">
        <v>18</v>
      </c>
      <c r="E298" t="s">
        <v>38</v>
      </c>
      <c r="F298" t="s">
        <v>80</v>
      </c>
      <c r="G298" s="1">
        <v>45492</v>
      </c>
      <c r="H298" s="1">
        <v>45500</v>
      </c>
      <c r="I298" s="2">
        <f>Table3[[#This Row],[Discharge_Date]]-Table3[[#This Row],[Admission_Date]]</f>
        <v>8</v>
      </c>
      <c r="J298">
        <v>248</v>
      </c>
      <c r="K298" t="s">
        <v>15</v>
      </c>
      <c r="L298" t="s">
        <v>16</v>
      </c>
      <c r="M298">
        <f>IF(Table3[[#This Row],[Treatment_Success]]="Yes",1,0)</f>
        <v>1</v>
      </c>
      <c r="N298">
        <v>114045</v>
      </c>
    </row>
    <row r="299" spans="1:14" x14ac:dyDescent="0.35">
      <c r="A299" t="s">
        <v>346</v>
      </c>
      <c r="B299">
        <v>19</v>
      </c>
      <c r="C299" t="str">
        <f>_xlfn.IFS(Table3[[#This Row],[Age]]&lt;=10, "Child",Table3[[#This Row],[Age]]&lt;18, "Teenger", Table3[[#This Row],[Age]]&lt;30, "Middle Age", Table3[[#This Row],[Age]]&lt; 60,"Adult",Table3[[#This Row],[Age]],"Senior Citizen")</f>
        <v>Middle Age</v>
      </c>
      <c r="D299" t="s">
        <v>12</v>
      </c>
      <c r="E299" t="s">
        <v>38</v>
      </c>
      <c r="F299" t="s">
        <v>95</v>
      </c>
      <c r="G299" s="1">
        <v>45335</v>
      </c>
      <c r="H299" s="1">
        <v>45337</v>
      </c>
      <c r="I299" s="2">
        <f>Table3[[#This Row],[Discharge_Date]]-Table3[[#This Row],[Admission_Date]]</f>
        <v>2</v>
      </c>
      <c r="J299">
        <v>234</v>
      </c>
      <c r="K299" t="s">
        <v>36</v>
      </c>
      <c r="L299" t="s">
        <v>26</v>
      </c>
      <c r="M299">
        <f>IF(Table3[[#This Row],[Treatment_Success]]="Yes",1,0)</f>
        <v>0</v>
      </c>
      <c r="N299">
        <v>96304</v>
      </c>
    </row>
    <row r="300" spans="1:14" x14ac:dyDescent="0.35">
      <c r="A300" t="s">
        <v>347</v>
      </c>
      <c r="B300">
        <v>57</v>
      </c>
      <c r="C300" t="str">
        <f>_xlfn.IFS(Table3[[#This Row],[Age]]&lt;=10, "Child",Table3[[#This Row],[Age]]&lt;18, "Teenger", Table3[[#This Row],[Age]]&lt;30, "Middle Age", Table3[[#This Row],[Age]]&lt; 60,"Adult",Table3[[#This Row],[Age]],"Senior Citizen")</f>
        <v>Adult</v>
      </c>
      <c r="D300" t="s">
        <v>12</v>
      </c>
      <c r="E300" t="s">
        <v>38</v>
      </c>
      <c r="F300" t="s">
        <v>45</v>
      </c>
      <c r="G300" s="1">
        <v>45535</v>
      </c>
      <c r="H300" s="1">
        <v>45537</v>
      </c>
      <c r="I300" s="2">
        <f>Table3[[#This Row],[Discharge_Date]]-Table3[[#This Row],[Admission_Date]]</f>
        <v>2</v>
      </c>
      <c r="J300">
        <v>154</v>
      </c>
      <c r="K300" t="s">
        <v>15</v>
      </c>
      <c r="L300" t="s">
        <v>16</v>
      </c>
      <c r="M300">
        <f>IF(Table3[[#This Row],[Treatment_Success]]="Yes",1,0)</f>
        <v>1</v>
      </c>
      <c r="N300">
        <v>10920</v>
      </c>
    </row>
    <row r="301" spans="1:14" x14ac:dyDescent="0.35">
      <c r="A301" t="s">
        <v>348</v>
      </c>
      <c r="B301">
        <v>14</v>
      </c>
      <c r="C301" t="str">
        <f>_xlfn.IFS(Table3[[#This Row],[Age]]&lt;=10, "Child",Table3[[#This Row],[Age]]&lt;18, "Teenger", Table3[[#This Row],[Age]]&lt;30, "Middle Age", Table3[[#This Row],[Age]]&lt; 60,"Adult",Table3[[#This Row],[Age]],"Senior Citizen")</f>
        <v>Teenger</v>
      </c>
      <c r="D301" t="s">
        <v>18</v>
      </c>
      <c r="E301" t="s">
        <v>13</v>
      </c>
      <c r="F301" t="s">
        <v>49</v>
      </c>
      <c r="G301" s="1">
        <v>45467</v>
      </c>
      <c r="H301" s="1">
        <v>45478</v>
      </c>
      <c r="I301" s="2">
        <f>Table3[[#This Row],[Discharge_Date]]-Table3[[#This Row],[Admission_Date]]</f>
        <v>11</v>
      </c>
      <c r="J301">
        <v>90</v>
      </c>
      <c r="K301" t="s">
        <v>36</v>
      </c>
      <c r="L301" t="s">
        <v>16</v>
      </c>
      <c r="M301">
        <f>IF(Table3[[#This Row],[Treatment_Success]]="Yes",1,0)</f>
        <v>1</v>
      </c>
      <c r="N301">
        <v>151761</v>
      </c>
    </row>
    <row r="302" spans="1:14" x14ac:dyDescent="0.35">
      <c r="A302" t="s">
        <v>349</v>
      </c>
      <c r="B302">
        <v>30</v>
      </c>
      <c r="C302" t="str">
        <f>_xlfn.IFS(Table3[[#This Row],[Age]]&lt;=10, "Child",Table3[[#This Row],[Age]]&lt;18, "Teenger", Table3[[#This Row],[Age]]&lt;30, "Middle Age", Table3[[#This Row],[Age]]&lt; 60,"Adult",Table3[[#This Row],[Age]],"Senior Citizen")</f>
        <v>Adult</v>
      </c>
      <c r="D302" t="s">
        <v>12</v>
      </c>
      <c r="E302" t="s">
        <v>13</v>
      </c>
      <c r="F302" t="s">
        <v>66</v>
      </c>
      <c r="G302" s="1">
        <v>45510</v>
      </c>
      <c r="H302" s="1">
        <v>45518</v>
      </c>
      <c r="I302" s="2">
        <f>Table3[[#This Row],[Discharge_Date]]-Table3[[#This Row],[Admission_Date]]</f>
        <v>8</v>
      </c>
      <c r="J302">
        <v>222</v>
      </c>
      <c r="K302" t="s">
        <v>46</v>
      </c>
      <c r="L302" t="s">
        <v>16</v>
      </c>
      <c r="M302">
        <f>IF(Table3[[#This Row],[Treatment_Success]]="Yes",1,0)</f>
        <v>1</v>
      </c>
      <c r="N302">
        <v>198301</v>
      </c>
    </row>
    <row r="303" spans="1:14" x14ac:dyDescent="0.35">
      <c r="A303" t="s">
        <v>350</v>
      </c>
      <c r="B303">
        <v>26</v>
      </c>
      <c r="C303" t="str">
        <f>_xlfn.IFS(Table3[[#This Row],[Age]]&lt;=10, "Child",Table3[[#This Row],[Age]]&lt;18, "Teenger", Table3[[#This Row],[Age]]&lt;30, "Middle Age", Table3[[#This Row],[Age]]&lt; 60,"Adult",Table3[[#This Row],[Age]],"Senior Citizen")</f>
        <v>Middle Age</v>
      </c>
      <c r="D303" t="s">
        <v>12</v>
      </c>
      <c r="E303" t="s">
        <v>28</v>
      </c>
      <c r="F303" t="s">
        <v>93</v>
      </c>
      <c r="G303" s="1">
        <v>45606</v>
      </c>
      <c r="H303" s="1">
        <v>45621</v>
      </c>
      <c r="I303" s="2">
        <f>Table3[[#This Row],[Discharge_Date]]-Table3[[#This Row],[Admission_Date]]</f>
        <v>15</v>
      </c>
      <c r="J303">
        <v>200</v>
      </c>
      <c r="K303" t="s">
        <v>15</v>
      </c>
      <c r="L303" t="s">
        <v>16</v>
      </c>
      <c r="M303">
        <f>IF(Table3[[#This Row],[Treatment_Success]]="Yes",1,0)</f>
        <v>1</v>
      </c>
      <c r="N303">
        <v>58945</v>
      </c>
    </row>
    <row r="304" spans="1:14" x14ac:dyDescent="0.35">
      <c r="A304" t="s">
        <v>351</v>
      </c>
      <c r="B304">
        <v>9</v>
      </c>
      <c r="C304" t="str">
        <f>_xlfn.IFS(Table3[[#This Row],[Age]]&lt;=10, "Child",Table3[[#This Row],[Age]]&lt;18, "Teenger", Table3[[#This Row],[Age]]&lt;30, "Middle Age", Table3[[#This Row],[Age]]&lt; 60,"Adult",Table3[[#This Row],[Age]],"Senior Citizen")</f>
        <v>Child</v>
      </c>
      <c r="D304" t="s">
        <v>18</v>
      </c>
      <c r="E304" t="s">
        <v>28</v>
      </c>
      <c r="F304" t="s">
        <v>66</v>
      </c>
      <c r="G304" s="1">
        <v>45434</v>
      </c>
      <c r="H304" s="1">
        <v>45447</v>
      </c>
      <c r="I304" s="2">
        <f>Table3[[#This Row],[Discharge_Date]]-Table3[[#This Row],[Admission_Date]]</f>
        <v>13</v>
      </c>
      <c r="J304">
        <v>188</v>
      </c>
      <c r="K304" t="s">
        <v>33</v>
      </c>
      <c r="L304" t="s">
        <v>16</v>
      </c>
      <c r="M304">
        <f>IF(Table3[[#This Row],[Treatment_Success]]="Yes",1,0)</f>
        <v>1</v>
      </c>
      <c r="N304">
        <v>124944</v>
      </c>
    </row>
    <row r="305" spans="1:14" x14ac:dyDescent="0.35">
      <c r="A305" t="s">
        <v>352</v>
      </c>
      <c r="B305">
        <v>86</v>
      </c>
      <c r="C305" t="str">
        <f>_xlfn.IFS(Table3[[#This Row],[Age]]&lt;=10, "Child",Table3[[#This Row],[Age]]&lt;18, "Teenger", Table3[[#This Row],[Age]]&lt;30, "Middle Age", Table3[[#This Row],[Age]]&lt; 60,"Adult",Table3[[#This Row],[Age]],"Senior Citizen")</f>
        <v>Senior Citizen</v>
      </c>
      <c r="D305" t="s">
        <v>12</v>
      </c>
      <c r="E305" t="s">
        <v>28</v>
      </c>
      <c r="F305" t="s">
        <v>68</v>
      </c>
      <c r="G305" s="1">
        <v>45350</v>
      </c>
      <c r="H305" s="1">
        <v>45355</v>
      </c>
      <c r="I305" s="2">
        <f>Table3[[#This Row],[Discharge_Date]]-Table3[[#This Row],[Admission_Date]]</f>
        <v>5</v>
      </c>
      <c r="J305">
        <v>161</v>
      </c>
      <c r="K305" t="s">
        <v>46</v>
      </c>
      <c r="L305" t="s">
        <v>26</v>
      </c>
      <c r="M305">
        <f>IF(Table3[[#This Row],[Treatment_Success]]="Yes",1,0)</f>
        <v>0</v>
      </c>
      <c r="N305">
        <v>158879</v>
      </c>
    </row>
    <row r="306" spans="1:14" x14ac:dyDescent="0.35">
      <c r="A306" t="s">
        <v>353</v>
      </c>
      <c r="B306">
        <v>46</v>
      </c>
      <c r="C306" t="str">
        <f>_xlfn.IFS(Table3[[#This Row],[Age]]&lt;=10, "Child",Table3[[#This Row],[Age]]&lt;18, "Teenger", Table3[[#This Row],[Age]]&lt;30, "Middle Age", Table3[[#This Row],[Age]]&lt; 60,"Adult",Table3[[#This Row],[Age]],"Senior Citizen")</f>
        <v>Adult</v>
      </c>
      <c r="D306" t="s">
        <v>12</v>
      </c>
      <c r="E306" t="s">
        <v>28</v>
      </c>
      <c r="F306" t="s">
        <v>66</v>
      </c>
      <c r="G306" s="1">
        <v>45350</v>
      </c>
      <c r="H306" s="1">
        <v>45356</v>
      </c>
      <c r="I306" s="2">
        <f>Table3[[#This Row],[Discharge_Date]]-Table3[[#This Row],[Admission_Date]]</f>
        <v>6</v>
      </c>
      <c r="J306">
        <v>153</v>
      </c>
      <c r="K306" t="s">
        <v>15</v>
      </c>
      <c r="L306" t="s">
        <v>16</v>
      </c>
      <c r="M306">
        <f>IF(Table3[[#This Row],[Treatment_Success]]="Yes",1,0)</f>
        <v>1</v>
      </c>
      <c r="N306">
        <v>87099</v>
      </c>
    </row>
    <row r="307" spans="1:14" x14ac:dyDescent="0.35">
      <c r="A307" t="s">
        <v>354</v>
      </c>
      <c r="B307">
        <v>40</v>
      </c>
      <c r="C307" t="str">
        <f>_xlfn.IFS(Table3[[#This Row],[Age]]&lt;=10, "Child",Table3[[#This Row],[Age]]&lt;18, "Teenger", Table3[[#This Row],[Age]]&lt;30, "Middle Age", Table3[[#This Row],[Age]]&lt; 60,"Adult",Table3[[#This Row],[Age]],"Senior Citizen")</f>
        <v>Adult</v>
      </c>
      <c r="D307" t="s">
        <v>18</v>
      </c>
      <c r="E307" t="s">
        <v>13</v>
      </c>
      <c r="F307" t="s">
        <v>63</v>
      </c>
      <c r="G307" s="1">
        <v>45352</v>
      </c>
      <c r="H307" s="1">
        <v>45356</v>
      </c>
      <c r="I307" s="2">
        <f>Table3[[#This Row],[Discharge_Date]]-Table3[[#This Row],[Admission_Date]]</f>
        <v>4</v>
      </c>
      <c r="J307">
        <v>73</v>
      </c>
      <c r="K307" t="s">
        <v>46</v>
      </c>
      <c r="L307" t="s">
        <v>26</v>
      </c>
      <c r="M307">
        <f>IF(Table3[[#This Row],[Treatment_Success]]="Yes",1,0)</f>
        <v>0</v>
      </c>
      <c r="N307">
        <v>161349</v>
      </c>
    </row>
    <row r="308" spans="1:14" x14ac:dyDescent="0.35">
      <c r="A308" t="s">
        <v>355</v>
      </c>
      <c r="B308">
        <v>50</v>
      </c>
      <c r="C308" t="str">
        <f>_xlfn.IFS(Table3[[#This Row],[Age]]&lt;=10, "Child",Table3[[#This Row],[Age]]&lt;18, "Teenger", Table3[[#This Row],[Age]]&lt;30, "Middle Age", Table3[[#This Row],[Age]]&lt; 60,"Adult",Table3[[#This Row],[Age]],"Senior Citizen")</f>
        <v>Adult</v>
      </c>
      <c r="D308" t="s">
        <v>12</v>
      </c>
      <c r="E308" t="s">
        <v>13</v>
      </c>
      <c r="F308" t="s">
        <v>43</v>
      </c>
      <c r="G308" s="1">
        <v>45362</v>
      </c>
      <c r="H308" s="1">
        <v>45372</v>
      </c>
      <c r="I308" s="2">
        <f>Table3[[#This Row],[Discharge_Date]]-Table3[[#This Row],[Admission_Date]]</f>
        <v>10</v>
      </c>
      <c r="J308">
        <v>276</v>
      </c>
      <c r="K308" t="s">
        <v>36</v>
      </c>
      <c r="L308" t="s">
        <v>16</v>
      </c>
      <c r="M308">
        <f>IF(Table3[[#This Row],[Treatment_Success]]="Yes",1,0)</f>
        <v>1</v>
      </c>
      <c r="N308">
        <v>133356</v>
      </c>
    </row>
    <row r="309" spans="1:14" x14ac:dyDescent="0.35">
      <c r="A309" t="s">
        <v>356</v>
      </c>
      <c r="B309">
        <v>24</v>
      </c>
      <c r="C309" t="str">
        <f>_xlfn.IFS(Table3[[#This Row],[Age]]&lt;=10, "Child",Table3[[#This Row],[Age]]&lt;18, "Teenger", Table3[[#This Row],[Age]]&lt;30, "Middle Age", Table3[[#This Row],[Age]]&lt; 60,"Adult",Table3[[#This Row],[Age]],"Senior Citizen")</f>
        <v>Middle Age</v>
      </c>
      <c r="D309" t="s">
        <v>12</v>
      </c>
      <c r="E309" t="s">
        <v>31</v>
      </c>
      <c r="F309" t="s">
        <v>35</v>
      </c>
      <c r="G309" s="1">
        <v>45439</v>
      </c>
      <c r="H309" s="1">
        <v>45442</v>
      </c>
      <c r="I309" s="2">
        <f>Table3[[#This Row],[Discharge_Date]]-Table3[[#This Row],[Admission_Date]]</f>
        <v>3</v>
      </c>
      <c r="J309">
        <v>28</v>
      </c>
      <c r="K309" t="s">
        <v>33</v>
      </c>
      <c r="L309" t="s">
        <v>16</v>
      </c>
      <c r="M309">
        <f>IF(Table3[[#This Row],[Treatment_Success]]="Yes",1,0)</f>
        <v>1</v>
      </c>
      <c r="N309">
        <v>132037</v>
      </c>
    </row>
    <row r="310" spans="1:14" x14ac:dyDescent="0.35">
      <c r="A310" t="s">
        <v>357</v>
      </c>
      <c r="B310">
        <v>50</v>
      </c>
      <c r="C310" t="str">
        <f>_xlfn.IFS(Table3[[#This Row],[Age]]&lt;=10, "Child",Table3[[#This Row],[Age]]&lt;18, "Teenger", Table3[[#This Row],[Age]]&lt;30, "Middle Age", Table3[[#This Row],[Age]]&lt; 60,"Adult",Table3[[#This Row],[Age]],"Senior Citizen")</f>
        <v>Adult</v>
      </c>
      <c r="D310" t="s">
        <v>12</v>
      </c>
      <c r="E310" t="s">
        <v>31</v>
      </c>
      <c r="F310" t="s">
        <v>54</v>
      </c>
      <c r="G310" s="1">
        <v>45361</v>
      </c>
      <c r="H310" s="1">
        <v>45365</v>
      </c>
      <c r="I310" s="2">
        <f>Table3[[#This Row],[Discharge_Date]]-Table3[[#This Row],[Admission_Date]]</f>
        <v>4</v>
      </c>
      <c r="J310">
        <v>252</v>
      </c>
      <c r="K310" t="s">
        <v>46</v>
      </c>
      <c r="L310" t="s">
        <v>26</v>
      </c>
      <c r="M310">
        <f>IF(Table3[[#This Row],[Treatment_Success]]="Yes",1,0)</f>
        <v>0</v>
      </c>
      <c r="N310">
        <v>133109</v>
      </c>
    </row>
    <row r="311" spans="1:14" x14ac:dyDescent="0.35">
      <c r="A311" t="s">
        <v>358</v>
      </c>
      <c r="B311">
        <v>73</v>
      </c>
      <c r="C311" t="str">
        <f>_xlfn.IFS(Table3[[#This Row],[Age]]&lt;=10, "Child",Table3[[#This Row],[Age]]&lt;18, "Teenger", Table3[[#This Row],[Age]]&lt;30, "Middle Age", Table3[[#This Row],[Age]]&lt; 60,"Adult",Table3[[#This Row],[Age]],"Senior Citizen")</f>
        <v>Senior Citizen</v>
      </c>
      <c r="D311" t="s">
        <v>18</v>
      </c>
      <c r="E311" t="s">
        <v>13</v>
      </c>
      <c r="F311" t="s">
        <v>83</v>
      </c>
      <c r="G311" s="1">
        <v>45377</v>
      </c>
      <c r="H311" s="1">
        <v>45379</v>
      </c>
      <c r="I311" s="2">
        <f>Table3[[#This Row],[Discharge_Date]]-Table3[[#This Row],[Admission_Date]]</f>
        <v>2</v>
      </c>
      <c r="J311">
        <v>17</v>
      </c>
      <c r="K311" t="s">
        <v>33</v>
      </c>
      <c r="L311" t="s">
        <v>16</v>
      </c>
      <c r="M311">
        <f>IF(Table3[[#This Row],[Treatment_Success]]="Yes",1,0)</f>
        <v>1</v>
      </c>
      <c r="N311">
        <v>145930</v>
      </c>
    </row>
    <row r="312" spans="1:14" x14ac:dyDescent="0.35">
      <c r="A312" t="s">
        <v>359</v>
      </c>
      <c r="B312">
        <v>59</v>
      </c>
      <c r="C312" t="str">
        <f>_xlfn.IFS(Table3[[#This Row],[Age]]&lt;=10, "Child",Table3[[#This Row],[Age]]&lt;18, "Teenger", Table3[[#This Row],[Age]]&lt;30, "Middle Age", Table3[[#This Row],[Age]]&lt; 60,"Adult",Table3[[#This Row],[Age]],"Senior Citizen")</f>
        <v>Adult</v>
      </c>
      <c r="D312" t="s">
        <v>12</v>
      </c>
      <c r="E312" t="s">
        <v>28</v>
      </c>
      <c r="F312" t="s">
        <v>49</v>
      </c>
      <c r="G312" s="1">
        <v>45439</v>
      </c>
      <c r="H312" s="1">
        <v>45442</v>
      </c>
      <c r="I312" s="2">
        <f>Table3[[#This Row],[Discharge_Date]]-Table3[[#This Row],[Admission_Date]]</f>
        <v>3</v>
      </c>
      <c r="J312">
        <v>58</v>
      </c>
      <c r="K312" t="s">
        <v>15</v>
      </c>
      <c r="L312" t="s">
        <v>16</v>
      </c>
      <c r="M312">
        <f>IF(Table3[[#This Row],[Treatment_Success]]="Yes",1,0)</f>
        <v>1</v>
      </c>
      <c r="N312">
        <v>147372</v>
      </c>
    </row>
    <row r="313" spans="1:14" x14ac:dyDescent="0.35">
      <c r="A313" t="s">
        <v>360</v>
      </c>
      <c r="B313">
        <v>6</v>
      </c>
      <c r="C313" t="str">
        <f>_xlfn.IFS(Table3[[#This Row],[Age]]&lt;=10, "Child",Table3[[#This Row],[Age]]&lt;18, "Teenger", Table3[[#This Row],[Age]]&lt;30, "Middle Age", Table3[[#This Row],[Age]]&lt; 60,"Adult",Table3[[#This Row],[Age]],"Senior Citizen")</f>
        <v>Child</v>
      </c>
      <c r="D313" t="s">
        <v>12</v>
      </c>
      <c r="E313" t="s">
        <v>28</v>
      </c>
      <c r="F313" t="s">
        <v>29</v>
      </c>
      <c r="G313" s="1">
        <v>45479</v>
      </c>
      <c r="H313" s="1">
        <v>45488</v>
      </c>
      <c r="I313" s="2">
        <f>Table3[[#This Row],[Discharge_Date]]-Table3[[#This Row],[Admission_Date]]</f>
        <v>9</v>
      </c>
      <c r="J313">
        <v>218</v>
      </c>
      <c r="K313" t="s">
        <v>15</v>
      </c>
      <c r="L313" t="s">
        <v>16</v>
      </c>
      <c r="M313">
        <f>IF(Table3[[#This Row],[Treatment_Success]]="Yes",1,0)</f>
        <v>1</v>
      </c>
      <c r="N313">
        <v>83042</v>
      </c>
    </row>
    <row r="314" spans="1:14" x14ac:dyDescent="0.35">
      <c r="A314" t="s">
        <v>361</v>
      </c>
      <c r="B314">
        <v>34</v>
      </c>
      <c r="C314" t="str">
        <f>_xlfn.IFS(Table3[[#This Row],[Age]]&lt;=10, "Child",Table3[[#This Row],[Age]]&lt;18, "Teenger", Table3[[#This Row],[Age]]&lt;30, "Middle Age", Table3[[#This Row],[Age]]&lt; 60,"Adult",Table3[[#This Row],[Age]],"Senior Citizen")</f>
        <v>Adult</v>
      </c>
      <c r="D314" t="s">
        <v>12</v>
      </c>
      <c r="E314" t="s">
        <v>24</v>
      </c>
      <c r="F314" t="s">
        <v>20</v>
      </c>
      <c r="G314" s="1">
        <v>45308</v>
      </c>
      <c r="H314" s="1">
        <v>45316</v>
      </c>
      <c r="I314" s="2">
        <f>Table3[[#This Row],[Discharge_Date]]-Table3[[#This Row],[Admission_Date]]</f>
        <v>8</v>
      </c>
      <c r="J314">
        <v>61</v>
      </c>
      <c r="K314" t="s">
        <v>36</v>
      </c>
      <c r="L314" t="s">
        <v>16</v>
      </c>
      <c r="M314">
        <f>IF(Table3[[#This Row],[Treatment_Success]]="Yes",1,0)</f>
        <v>1</v>
      </c>
      <c r="N314">
        <v>198360</v>
      </c>
    </row>
    <row r="315" spans="1:14" x14ac:dyDescent="0.35">
      <c r="A315" t="s">
        <v>362</v>
      </c>
      <c r="B315">
        <v>45</v>
      </c>
      <c r="C315" t="str">
        <f>_xlfn.IFS(Table3[[#This Row],[Age]]&lt;=10, "Child",Table3[[#This Row],[Age]]&lt;18, "Teenger", Table3[[#This Row],[Age]]&lt;30, "Middle Age", Table3[[#This Row],[Age]]&lt; 60,"Adult",Table3[[#This Row],[Age]],"Senior Citizen")</f>
        <v>Adult</v>
      </c>
      <c r="D315" t="s">
        <v>12</v>
      </c>
      <c r="E315" t="s">
        <v>13</v>
      </c>
      <c r="F315" t="s">
        <v>35</v>
      </c>
      <c r="G315" s="1">
        <v>45593</v>
      </c>
      <c r="H315" s="1">
        <v>45605</v>
      </c>
      <c r="I315" s="2">
        <f>Table3[[#This Row],[Discharge_Date]]-Table3[[#This Row],[Admission_Date]]</f>
        <v>12</v>
      </c>
      <c r="J315">
        <v>72</v>
      </c>
      <c r="K315" t="s">
        <v>36</v>
      </c>
      <c r="L315" t="s">
        <v>16</v>
      </c>
      <c r="M315">
        <f>IF(Table3[[#This Row],[Treatment_Success]]="Yes",1,0)</f>
        <v>1</v>
      </c>
      <c r="N315">
        <v>20560</v>
      </c>
    </row>
    <row r="316" spans="1:14" x14ac:dyDescent="0.35">
      <c r="A316" t="s">
        <v>363</v>
      </c>
      <c r="B316">
        <v>69</v>
      </c>
      <c r="C316" t="str">
        <f>_xlfn.IFS(Table3[[#This Row],[Age]]&lt;=10, "Child",Table3[[#This Row],[Age]]&lt;18, "Teenger", Table3[[#This Row],[Age]]&lt;30, "Middle Age", Table3[[#This Row],[Age]]&lt; 60,"Adult",Table3[[#This Row],[Age]],"Senior Citizen")</f>
        <v>Senior Citizen</v>
      </c>
      <c r="D316" t="s">
        <v>12</v>
      </c>
      <c r="E316" t="s">
        <v>28</v>
      </c>
      <c r="F316" t="s">
        <v>61</v>
      </c>
      <c r="G316" s="1">
        <v>45583</v>
      </c>
      <c r="H316" s="1">
        <v>45589</v>
      </c>
      <c r="I316" s="2">
        <f>Table3[[#This Row],[Discharge_Date]]-Table3[[#This Row],[Admission_Date]]</f>
        <v>6</v>
      </c>
      <c r="J316">
        <v>87</v>
      </c>
      <c r="K316" t="s">
        <v>33</v>
      </c>
      <c r="L316" t="s">
        <v>16</v>
      </c>
      <c r="M316">
        <f>IF(Table3[[#This Row],[Treatment_Success]]="Yes",1,0)</f>
        <v>1</v>
      </c>
      <c r="N316">
        <v>80846</v>
      </c>
    </row>
    <row r="317" spans="1:14" x14ac:dyDescent="0.35">
      <c r="A317" t="s">
        <v>364</v>
      </c>
      <c r="B317">
        <v>66</v>
      </c>
      <c r="C317" t="str">
        <f>_xlfn.IFS(Table3[[#This Row],[Age]]&lt;=10, "Child",Table3[[#This Row],[Age]]&lt;18, "Teenger", Table3[[#This Row],[Age]]&lt;30, "Middle Age", Table3[[#This Row],[Age]]&lt; 60,"Adult",Table3[[#This Row],[Age]],"Senior Citizen")</f>
        <v>Senior Citizen</v>
      </c>
      <c r="D317" t="s">
        <v>18</v>
      </c>
      <c r="E317" t="s">
        <v>13</v>
      </c>
      <c r="F317" t="s">
        <v>22</v>
      </c>
      <c r="G317" s="1">
        <v>45585</v>
      </c>
      <c r="H317" s="1">
        <v>45590</v>
      </c>
      <c r="I317" s="2">
        <f>Table3[[#This Row],[Discharge_Date]]-Table3[[#This Row],[Admission_Date]]</f>
        <v>5</v>
      </c>
      <c r="J317">
        <v>211</v>
      </c>
      <c r="K317" t="s">
        <v>15</v>
      </c>
      <c r="L317" t="s">
        <v>16</v>
      </c>
      <c r="M317">
        <f>IF(Table3[[#This Row],[Treatment_Success]]="Yes",1,0)</f>
        <v>1</v>
      </c>
      <c r="N317">
        <v>176939</v>
      </c>
    </row>
    <row r="318" spans="1:14" x14ac:dyDescent="0.35">
      <c r="A318" t="s">
        <v>365</v>
      </c>
      <c r="B318">
        <v>17</v>
      </c>
      <c r="C318" t="str">
        <f>_xlfn.IFS(Table3[[#This Row],[Age]]&lt;=10, "Child",Table3[[#This Row],[Age]]&lt;18, "Teenger", Table3[[#This Row],[Age]]&lt;30, "Middle Age", Table3[[#This Row],[Age]]&lt; 60,"Adult",Table3[[#This Row],[Age]],"Senior Citizen")</f>
        <v>Teenger</v>
      </c>
      <c r="D318" t="s">
        <v>18</v>
      </c>
      <c r="E318" t="s">
        <v>13</v>
      </c>
      <c r="F318" t="s">
        <v>40</v>
      </c>
      <c r="G318" s="1">
        <v>45356</v>
      </c>
      <c r="H318" s="1">
        <v>45368</v>
      </c>
      <c r="I318" s="2">
        <f>Table3[[#This Row],[Discharge_Date]]-Table3[[#This Row],[Admission_Date]]</f>
        <v>12</v>
      </c>
      <c r="J318">
        <v>165</v>
      </c>
      <c r="K318" t="s">
        <v>36</v>
      </c>
      <c r="L318" t="s">
        <v>26</v>
      </c>
      <c r="M318">
        <f>IF(Table3[[#This Row],[Treatment_Success]]="Yes",1,0)</f>
        <v>0</v>
      </c>
      <c r="N318">
        <v>133308</v>
      </c>
    </row>
    <row r="319" spans="1:14" x14ac:dyDescent="0.35">
      <c r="A319" t="s">
        <v>366</v>
      </c>
      <c r="B319">
        <v>81</v>
      </c>
      <c r="C319" t="str">
        <f>_xlfn.IFS(Table3[[#This Row],[Age]]&lt;=10, "Child",Table3[[#This Row],[Age]]&lt;18, "Teenger", Table3[[#This Row],[Age]]&lt;30, "Middle Age", Table3[[#This Row],[Age]]&lt; 60,"Adult",Table3[[#This Row],[Age]],"Senior Citizen")</f>
        <v>Senior Citizen</v>
      </c>
      <c r="D319" t="s">
        <v>12</v>
      </c>
      <c r="E319" t="s">
        <v>31</v>
      </c>
      <c r="F319" t="s">
        <v>56</v>
      </c>
      <c r="G319" s="1">
        <v>45364</v>
      </c>
      <c r="H319" s="1">
        <v>45374</v>
      </c>
      <c r="I319" s="2">
        <f>Table3[[#This Row],[Discharge_Date]]-Table3[[#This Row],[Admission_Date]]</f>
        <v>10</v>
      </c>
      <c r="J319">
        <v>232</v>
      </c>
      <c r="K319" t="s">
        <v>15</v>
      </c>
      <c r="L319" t="s">
        <v>16</v>
      </c>
      <c r="M319">
        <f>IF(Table3[[#This Row],[Treatment_Success]]="Yes",1,0)</f>
        <v>1</v>
      </c>
      <c r="N319">
        <v>110604</v>
      </c>
    </row>
    <row r="320" spans="1:14" x14ac:dyDescent="0.35">
      <c r="A320" t="s">
        <v>367</v>
      </c>
      <c r="B320">
        <v>36</v>
      </c>
      <c r="C320" t="str">
        <f>_xlfn.IFS(Table3[[#This Row],[Age]]&lt;=10, "Child",Table3[[#This Row],[Age]]&lt;18, "Teenger", Table3[[#This Row],[Age]]&lt;30, "Middle Age", Table3[[#This Row],[Age]]&lt; 60,"Adult",Table3[[#This Row],[Age]],"Senior Citizen")</f>
        <v>Adult</v>
      </c>
      <c r="D320" t="s">
        <v>12</v>
      </c>
      <c r="E320" t="s">
        <v>31</v>
      </c>
      <c r="F320" t="s">
        <v>43</v>
      </c>
      <c r="G320" s="1">
        <v>45555</v>
      </c>
      <c r="H320" s="1">
        <v>45567</v>
      </c>
      <c r="I320" s="2">
        <f>Table3[[#This Row],[Discharge_Date]]-Table3[[#This Row],[Admission_Date]]</f>
        <v>12</v>
      </c>
      <c r="J320">
        <v>168</v>
      </c>
      <c r="K320" t="s">
        <v>15</v>
      </c>
      <c r="L320" t="s">
        <v>16</v>
      </c>
      <c r="M320">
        <f>IF(Table3[[#This Row],[Treatment_Success]]="Yes",1,0)</f>
        <v>1</v>
      </c>
      <c r="N320">
        <v>196609</v>
      </c>
    </row>
    <row r="321" spans="1:14" x14ac:dyDescent="0.35">
      <c r="A321" t="s">
        <v>368</v>
      </c>
      <c r="B321">
        <v>86</v>
      </c>
      <c r="C321" t="str">
        <f>_xlfn.IFS(Table3[[#This Row],[Age]]&lt;=10, "Child",Table3[[#This Row],[Age]]&lt;18, "Teenger", Table3[[#This Row],[Age]]&lt;30, "Middle Age", Table3[[#This Row],[Age]]&lt; 60,"Adult",Table3[[#This Row],[Age]],"Senior Citizen")</f>
        <v>Senior Citizen</v>
      </c>
      <c r="D321" t="s">
        <v>12</v>
      </c>
      <c r="E321" t="s">
        <v>24</v>
      </c>
      <c r="F321" t="s">
        <v>61</v>
      </c>
      <c r="G321" s="1">
        <v>45526</v>
      </c>
      <c r="H321" s="1">
        <v>45537</v>
      </c>
      <c r="I321" s="2">
        <f>Table3[[#This Row],[Discharge_Date]]-Table3[[#This Row],[Admission_Date]]</f>
        <v>11</v>
      </c>
      <c r="J321">
        <v>204</v>
      </c>
      <c r="K321" t="s">
        <v>36</v>
      </c>
      <c r="L321" t="s">
        <v>26</v>
      </c>
      <c r="M321">
        <f>IF(Table3[[#This Row],[Treatment_Success]]="Yes",1,0)</f>
        <v>0</v>
      </c>
      <c r="N321">
        <v>60535</v>
      </c>
    </row>
    <row r="322" spans="1:14" x14ac:dyDescent="0.35">
      <c r="A322" t="s">
        <v>369</v>
      </c>
      <c r="B322">
        <v>42</v>
      </c>
      <c r="C322" t="str">
        <f>_xlfn.IFS(Table3[[#This Row],[Age]]&lt;=10, "Child",Table3[[#This Row],[Age]]&lt;18, "Teenger", Table3[[#This Row],[Age]]&lt;30, "Middle Age", Table3[[#This Row],[Age]]&lt; 60,"Adult",Table3[[#This Row],[Age]],"Senior Citizen")</f>
        <v>Adult</v>
      </c>
      <c r="D322" t="s">
        <v>12</v>
      </c>
      <c r="E322" t="s">
        <v>38</v>
      </c>
      <c r="F322" t="s">
        <v>61</v>
      </c>
      <c r="G322" s="1">
        <v>45545</v>
      </c>
      <c r="H322" s="1">
        <v>45550</v>
      </c>
      <c r="I322" s="2">
        <f>Table3[[#This Row],[Discharge_Date]]-Table3[[#This Row],[Admission_Date]]</f>
        <v>5</v>
      </c>
      <c r="J322">
        <v>296</v>
      </c>
      <c r="K322" t="s">
        <v>36</v>
      </c>
      <c r="L322" t="s">
        <v>26</v>
      </c>
      <c r="M322">
        <f>IF(Table3[[#This Row],[Treatment_Success]]="Yes",1,0)</f>
        <v>0</v>
      </c>
      <c r="N322">
        <v>95109</v>
      </c>
    </row>
    <row r="323" spans="1:14" x14ac:dyDescent="0.35">
      <c r="A323" t="s">
        <v>370</v>
      </c>
      <c r="B323">
        <v>7</v>
      </c>
      <c r="C323" t="str">
        <f>_xlfn.IFS(Table3[[#This Row],[Age]]&lt;=10, "Child",Table3[[#This Row],[Age]]&lt;18, "Teenger", Table3[[#This Row],[Age]]&lt;30, "Middle Age", Table3[[#This Row],[Age]]&lt; 60,"Adult",Table3[[#This Row],[Age]],"Senior Citizen")</f>
        <v>Child</v>
      </c>
      <c r="D323" t="s">
        <v>18</v>
      </c>
      <c r="E323" t="s">
        <v>24</v>
      </c>
      <c r="F323" t="s">
        <v>68</v>
      </c>
      <c r="G323" s="1">
        <v>45641</v>
      </c>
      <c r="H323" s="1">
        <v>45654</v>
      </c>
      <c r="I323" s="2">
        <f>Table3[[#This Row],[Discharge_Date]]-Table3[[#This Row],[Admission_Date]]</f>
        <v>13</v>
      </c>
      <c r="J323">
        <v>236</v>
      </c>
      <c r="K323" t="s">
        <v>15</v>
      </c>
      <c r="L323" t="s">
        <v>16</v>
      </c>
      <c r="M323">
        <f>IF(Table3[[#This Row],[Treatment_Success]]="Yes",1,0)</f>
        <v>1</v>
      </c>
      <c r="N323">
        <v>46414</v>
      </c>
    </row>
    <row r="324" spans="1:14" x14ac:dyDescent="0.35">
      <c r="A324" t="s">
        <v>371</v>
      </c>
      <c r="B324">
        <v>1</v>
      </c>
      <c r="C324" t="str">
        <f>_xlfn.IFS(Table3[[#This Row],[Age]]&lt;=10, "Child",Table3[[#This Row],[Age]]&lt;18, "Teenger", Table3[[#This Row],[Age]]&lt;30, "Middle Age", Table3[[#This Row],[Age]]&lt; 60,"Adult",Table3[[#This Row],[Age]],"Senior Citizen")</f>
        <v>Child</v>
      </c>
      <c r="D324" t="s">
        <v>12</v>
      </c>
      <c r="E324" t="s">
        <v>13</v>
      </c>
      <c r="F324" t="s">
        <v>40</v>
      </c>
      <c r="G324" s="1">
        <v>45517</v>
      </c>
      <c r="H324" s="1">
        <v>45525</v>
      </c>
      <c r="I324" s="2">
        <f>Table3[[#This Row],[Discharge_Date]]-Table3[[#This Row],[Admission_Date]]</f>
        <v>8</v>
      </c>
      <c r="J324">
        <v>68</v>
      </c>
      <c r="K324" t="s">
        <v>33</v>
      </c>
      <c r="L324" t="s">
        <v>16</v>
      </c>
      <c r="M324">
        <f>IF(Table3[[#This Row],[Treatment_Success]]="Yes",1,0)</f>
        <v>1</v>
      </c>
      <c r="N324">
        <v>76832</v>
      </c>
    </row>
    <row r="325" spans="1:14" x14ac:dyDescent="0.35">
      <c r="A325" t="s">
        <v>372</v>
      </c>
      <c r="B325">
        <v>47</v>
      </c>
      <c r="C325" t="str">
        <f>_xlfn.IFS(Table3[[#This Row],[Age]]&lt;=10, "Child",Table3[[#This Row],[Age]]&lt;18, "Teenger", Table3[[#This Row],[Age]]&lt;30, "Middle Age", Table3[[#This Row],[Age]]&lt; 60,"Adult",Table3[[#This Row],[Age]],"Senior Citizen")</f>
        <v>Adult</v>
      </c>
      <c r="D325" t="s">
        <v>12</v>
      </c>
      <c r="E325" t="s">
        <v>24</v>
      </c>
      <c r="F325" t="s">
        <v>63</v>
      </c>
      <c r="G325" s="1">
        <v>45339</v>
      </c>
      <c r="H325" s="1">
        <v>45350</v>
      </c>
      <c r="I325" s="2">
        <f>Table3[[#This Row],[Discharge_Date]]-Table3[[#This Row],[Admission_Date]]</f>
        <v>11</v>
      </c>
      <c r="J325">
        <v>85</v>
      </c>
      <c r="K325" t="s">
        <v>15</v>
      </c>
      <c r="L325" t="s">
        <v>26</v>
      </c>
      <c r="M325">
        <f>IF(Table3[[#This Row],[Treatment_Success]]="Yes",1,0)</f>
        <v>0</v>
      </c>
      <c r="N325">
        <v>168998</v>
      </c>
    </row>
    <row r="326" spans="1:14" x14ac:dyDescent="0.35">
      <c r="A326" t="s">
        <v>373</v>
      </c>
      <c r="B326">
        <v>90</v>
      </c>
      <c r="C326" t="str">
        <f>_xlfn.IFS(Table3[[#This Row],[Age]]&lt;=10, "Child",Table3[[#This Row],[Age]]&lt;18, "Teenger", Table3[[#This Row],[Age]]&lt;30, "Middle Age", Table3[[#This Row],[Age]]&lt; 60,"Adult",Table3[[#This Row],[Age]],"Senior Citizen")</f>
        <v>Senior Citizen</v>
      </c>
      <c r="D326" t="s">
        <v>18</v>
      </c>
      <c r="E326" t="s">
        <v>31</v>
      </c>
      <c r="F326" t="s">
        <v>68</v>
      </c>
      <c r="G326" s="1">
        <v>45448</v>
      </c>
      <c r="H326" s="1">
        <v>45460</v>
      </c>
      <c r="I326" s="2">
        <f>Table3[[#This Row],[Discharge_Date]]-Table3[[#This Row],[Admission_Date]]</f>
        <v>12</v>
      </c>
      <c r="J326">
        <v>47</v>
      </c>
      <c r="K326" t="s">
        <v>15</v>
      </c>
      <c r="L326" t="s">
        <v>16</v>
      </c>
      <c r="M326">
        <f>IF(Table3[[#This Row],[Treatment_Success]]="Yes",1,0)</f>
        <v>1</v>
      </c>
      <c r="N326">
        <v>60947</v>
      </c>
    </row>
    <row r="327" spans="1:14" x14ac:dyDescent="0.35">
      <c r="A327" t="s">
        <v>374</v>
      </c>
      <c r="B327">
        <v>17</v>
      </c>
      <c r="C327" t="str">
        <f>_xlfn.IFS(Table3[[#This Row],[Age]]&lt;=10, "Child",Table3[[#This Row],[Age]]&lt;18, "Teenger", Table3[[#This Row],[Age]]&lt;30, "Middle Age", Table3[[#This Row],[Age]]&lt; 60,"Adult",Table3[[#This Row],[Age]],"Senior Citizen")</f>
        <v>Teenger</v>
      </c>
      <c r="D327" t="s">
        <v>18</v>
      </c>
      <c r="E327" t="s">
        <v>28</v>
      </c>
      <c r="F327" t="s">
        <v>54</v>
      </c>
      <c r="G327" s="1">
        <v>45536</v>
      </c>
      <c r="H327" s="1">
        <v>45538</v>
      </c>
      <c r="I327" s="2">
        <f>Table3[[#This Row],[Discharge_Date]]-Table3[[#This Row],[Admission_Date]]</f>
        <v>2</v>
      </c>
      <c r="J327">
        <v>228</v>
      </c>
      <c r="K327" t="s">
        <v>15</v>
      </c>
      <c r="L327" t="s">
        <v>16</v>
      </c>
      <c r="M327">
        <f>IF(Table3[[#This Row],[Treatment_Success]]="Yes",1,0)</f>
        <v>1</v>
      </c>
      <c r="N327">
        <v>187346</v>
      </c>
    </row>
    <row r="328" spans="1:14" x14ac:dyDescent="0.35">
      <c r="A328" t="s">
        <v>375</v>
      </c>
      <c r="B328">
        <v>16</v>
      </c>
      <c r="C328" t="str">
        <f>_xlfn.IFS(Table3[[#This Row],[Age]]&lt;=10, "Child",Table3[[#This Row],[Age]]&lt;18, "Teenger", Table3[[#This Row],[Age]]&lt;30, "Middle Age", Table3[[#This Row],[Age]]&lt; 60,"Adult",Table3[[#This Row],[Age]],"Senior Citizen")</f>
        <v>Teenger</v>
      </c>
      <c r="D328" t="s">
        <v>12</v>
      </c>
      <c r="E328" t="s">
        <v>13</v>
      </c>
      <c r="F328" t="s">
        <v>43</v>
      </c>
      <c r="G328" s="1">
        <v>45467</v>
      </c>
      <c r="H328" s="1">
        <v>45481</v>
      </c>
      <c r="I328" s="2">
        <f>Table3[[#This Row],[Discharge_Date]]-Table3[[#This Row],[Admission_Date]]</f>
        <v>14</v>
      </c>
      <c r="J328">
        <v>37</v>
      </c>
      <c r="K328" t="s">
        <v>36</v>
      </c>
      <c r="L328" t="s">
        <v>26</v>
      </c>
      <c r="M328">
        <f>IF(Table3[[#This Row],[Treatment_Success]]="Yes",1,0)</f>
        <v>0</v>
      </c>
      <c r="N328">
        <v>28417</v>
      </c>
    </row>
    <row r="329" spans="1:14" x14ac:dyDescent="0.35">
      <c r="A329" t="s">
        <v>376</v>
      </c>
      <c r="B329">
        <v>41</v>
      </c>
      <c r="C329" t="str">
        <f>_xlfn.IFS(Table3[[#This Row],[Age]]&lt;=10, "Child",Table3[[#This Row],[Age]]&lt;18, "Teenger", Table3[[#This Row],[Age]]&lt;30, "Middle Age", Table3[[#This Row],[Age]]&lt; 60,"Adult",Table3[[#This Row],[Age]],"Senior Citizen")</f>
        <v>Adult</v>
      </c>
      <c r="D329" t="s">
        <v>12</v>
      </c>
      <c r="E329" t="s">
        <v>38</v>
      </c>
      <c r="F329" t="s">
        <v>106</v>
      </c>
      <c r="G329" s="1">
        <v>45344</v>
      </c>
      <c r="H329" s="1">
        <v>45346</v>
      </c>
      <c r="I329" s="2">
        <f>Table3[[#This Row],[Discharge_Date]]-Table3[[#This Row],[Admission_Date]]</f>
        <v>2</v>
      </c>
      <c r="J329">
        <v>196</v>
      </c>
      <c r="K329" t="s">
        <v>36</v>
      </c>
      <c r="L329" t="s">
        <v>16</v>
      </c>
      <c r="M329">
        <f>IF(Table3[[#This Row],[Treatment_Success]]="Yes",1,0)</f>
        <v>1</v>
      </c>
      <c r="N329">
        <v>22933</v>
      </c>
    </row>
    <row r="330" spans="1:14" x14ac:dyDescent="0.35">
      <c r="A330" t="s">
        <v>377</v>
      </c>
      <c r="B330">
        <v>2</v>
      </c>
      <c r="C330" t="str">
        <f>_xlfn.IFS(Table3[[#This Row],[Age]]&lt;=10, "Child",Table3[[#This Row],[Age]]&lt;18, "Teenger", Table3[[#This Row],[Age]]&lt;30, "Middle Age", Table3[[#This Row],[Age]]&lt; 60,"Adult",Table3[[#This Row],[Age]],"Senior Citizen")</f>
        <v>Child</v>
      </c>
      <c r="D330" t="s">
        <v>18</v>
      </c>
      <c r="E330" t="s">
        <v>31</v>
      </c>
      <c r="F330" t="s">
        <v>63</v>
      </c>
      <c r="G330" s="1">
        <v>45563</v>
      </c>
      <c r="H330" s="1">
        <v>45573</v>
      </c>
      <c r="I330" s="2">
        <f>Table3[[#This Row],[Discharge_Date]]-Table3[[#This Row],[Admission_Date]]</f>
        <v>10</v>
      </c>
      <c r="J330">
        <v>110</v>
      </c>
      <c r="K330" t="s">
        <v>36</v>
      </c>
      <c r="L330" t="s">
        <v>26</v>
      </c>
      <c r="M330">
        <f>IF(Table3[[#This Row],[Treatment_Success]]="Yes",1,0)</f>
        <v>0</v>
      </c>
      <c r="N330">
        <v>166500</v>
      </c>
    </row>
    <row r="331" spans="1:14" x14ac:dyDescent="0.35">
      <c r="A331" t="s">
        <v>378</v>
      </c>
      <c r="B331">
        <v>28</v>
      </c>
      <c r="C331" t="str">
        <f>_xlfn.IFS(Table3[[#This Row],[Age]]&lt;=10, "Child",Table3[[#This Row],[Age]]&lt;18, "Teenger", Table3[[#This Row],[Age]]&lt;30, "Middle Age", Table3[[#This Row],[Age]]&lt; 60,"Adult",Table3[[#This Row],[Age]],"Senior Citizen")</f>
        <v>Middle Age</v>
      </c>
      <c r="D331" t="s">
        <v>18</v>
      </c>
      <c r="E331" t="s">
        <v>24</v>
      </c>
      <c r="F331" t="s">
        <v>106</v>
      </c>
      <c r="G331" s="1">
        <v>45643</v>
      </c>
      <c r="H331" s="1">
        <v>45651</v>
      </c>
      <c r="I331" s="2">
        <f>Table3[[#This Row],[Discharge_Date]]-Table3[[#This Row],[Admission_Date]]</f>
        <v>8</v>
      </c>
      <c r="J331">
        <v>64</v>
      </c>
      <c r="K331" t="s">
        <v>46</v>
      </c>
      <c r="L331" t="s">
        <v>16</v>
      </c>
      <c r="M331">
        <f>IF(Table3[[#This Row],[Treatment_Success]]="Yes",1,0)</f>
        <v>1</v>
      </c>
      <c r="N331">
        <v>117561</v>
      </c>
    </row>
    <row r="332" spans="1:14" x14ac:dyDescent="0.35">
      <c r="A332" t="s">
        <v>379</v>
      </c>
      <c r="B332">
        <v>18</v>
      </c>
      <c r="C332" t="str">
        <f>_xlfn.IFS(Table3[[#This Row],[Age]]&lt;=10, "Child",Table3[[#This Row],[Age]]&lt;18, "Teenger", Table3[[#This Row],[Age]]&lt;30, "Middle Age", Table3[[#This Row],[Age]]&lt; 60,"Adult",Table3[[#This Row],[Age]],"Senior Citizen")</f>
        <v>Middle Age</v>
      </c>
      <c r="D332" t="s">
        <v>18</v>
      </c>
      <c r="E332" t="s">
        <v>38</v>
      </c>
      <c r="F332" t="s">
        <v>68</v>
      </c>
      <c r="G332" s="1">
        <v>45453</v>
      </c>
      <c r="H332" s="1">
        <v>45466</v>
      </c>
      <c r="I332" s="2">
        <f>Table3[[#This Row],[Discharge_Date]]-Table3[[#This Row],[Admission_Date]]</f>
        <v>13</v>
      </c>
      <c r="J332">
        <v>44</v>
      </c>
      <c r="K332" t="s">
        <v>36</v>
      </c>
      <c r="L332" t="s">
        <v>16</v>
      </c>
      <c r="M332">
        <f>IF(Table3[[#This Row],[Treatment_Success]]="Yes",1,0)</f>
        <v>1</v>
      </c>
      <c r="N332">
        <v>186004</v>
      </c>
    </row>
    <row r="333" spans="1:14" x14ac:dyDescent="0.35">
      <c r="A333" t="s">
        <v>380</v>
      </c>
      <c r="B333">
        <v>85</v>
      </c>
      <c r="C333" t="str">
        <f>_xlfn.IFS(Table3[[#This Row],[Age]]&lt;=10, "Child",Table3[[#This Row],[Age]]&lt;18, "Teenger", Table3[[#This Row],[Age]]&lt;30, "Middle Age", Table3[[#This Row],[Age]]&lt; 60,"Adult",Table3[[#This Row],[Age]],"Senior Citizen")</f>
        <v>Senior Citizen</v>
      </c>
      <c r="D333" t="s">
        <v>12</v>
      </c>
      <c r="E333" t="s">
        <v>13</v>
      </c>
      <c r="F333" t="s">
        <v>49</v>
      </c>
      <c r="G333" s="1">
        <v>45305</v>
      </c>
      <c r="H333" s="1">
        <v>45319</v>
      </c>
      <c r="I333" s="2">
        <f>Table3[[#This Row],[Discharge_Date]]-Table3[[#This Row],[Admission_Date]]</f>
        <v>14</v>
      </c>
      <c r="J333">
        <v>261</v>
      </c>
      <c r="K333" t="s">
        <v>36</v>
      </c>
      <c r="L333" t="s">
        <v>26</v>
      </c>
      <c r="M333">
        <f>IF(Table3[[#This Row],[Treatment_Success]]="Yes",1,0)</f>
        <v>0</v>
      </c>
      <c r="N333">
        <v>82474</v>
      </c>
    </row>
    <row r="334" spans="1:14" x14ac:dyDescent="0.35">
      <c r="A334" t="s">
        <v>381</v>
      </c>
      <c r="B334">
        <v>31</v>
      </c>
      <c r="C334" t="str">
        <f>_xlfn.IFS(Table3[[#This Row],[Age]]&lt;=10, "Child",Table3[[#This Row],[Age]]&lt;18, "Teenger", Table3[[#This Row],[Age]]&lt;30, "Middle Age", Table3[[#This Row],[Age]]&lt; 60,"Adult",Table3[[#This Row],[Age]],"Senior Citizen")</f>
        <v>Adult</v>
      </c>
      <c r="D334" t="s">
        <v>12</v>
      </c>
      <c r="E334" t="s">
        <v>31</v>
      </c>
      <c r="F334" t="s">
        <v>90</v>
      </c>
      <c r="G334" s="1">
        <v>45622</v>
      </c>
      <c r="H334" s="1">
        <v>45623</v>
      </c>
      <c r="I334" s="2">
        <f>Table3[[#This Row],[Discharge_Date]]-Table3[[#This Row],[Admission_Date]]</f>
        <v>1</v>
      </c>
      <c r="J334">
        <v>124</v>
      </c>
      <c r="K334" t="s">
        <v>46</v>
      </c>
      <c r="L334" t="s">
        <v>16</v>
      </c>
      <c r="M334">
        <f>IF(Table3[[#This Row],[Treatment_Success]]="Yes",1,0)</f>
        <v>1</v>
      </c>
      <c r="N334">
        <v>143487</v>
      </c>
    </row>
    <row r="335" spans="1:14" x14ac:dyDescent="0.35">
      <c r="A335" t="s">
        <v>382</v>
      </c>
      <c r="B335">
        <v>41</v>
      </c>
      <c r="C335" t="str">
        <f>_xlfn.IFS(Table3[[#This Row],[Age]]&lt;=10, "Child",Table3[[#This Row],[Age]]&lt;18, "Teenger", Table3[[#This Row],[Age]]&lt;30, "Middle Age", Table3[[#This Row],[Age]]&lt; 60,"Adult",Table3[[#This Row],[Age]],"Senior Citizen")</f>
        <v>Adult</v>
      </c>
      <c r="D335" t="s">
        <v>18</v>
      </c>
      <c r="E335" t="s">
        <v>31</v>
      </c>
      <c r="F335" t="s">
        <v>58</v>
      </c>
      <c r="G335" s="1">
        <v>45298</v>
      </c>
      <c r="H335" s="1">
        <v>45304</v>
      </c>
      <c r="I335" s="2">
        <f>Table3[[#This Row],[Discharge_Date]]-Table3[[#This Row],[Admission_Date]]</f>
        <v>6</v>
      </c>
      <c r="J335">
        <v>216</v>
      </c>
      <c r="K335" t="s">
        <v>33</v>
      </c>
      <c r="L335" t="s">
        <v>16</v>
      </c>
      <c r="M335">
        <f>IF(Table3[[#This Row],[Treatment_Success]]="Yes",1,0)</f>
        <v>1</v>
      </c>
      <c r="N335">
        <v>128473</v>
      </c>
    </row>
    <row r="336" spans="1:14" x14ac:dyDescent="0.35">
      <c r="A336" t="s">
        <v>383</v>
      </c>
      <c r="B336">
        <v>76</v>
      </c>
      <c r="C336" t="str">
        <f>_xlfn.IFS(Table3[[#This Row],[Age]]&lt;=10, "Child",Table3[[#This Row],[Age]]&lt;18, "Teenger", Table3[[#This Row],[Age]]&lt;30, "Middle Age", Table3[[#This Row],[Age]]&lt; 60,"Adult",Table3[[#This Row],[Age]],"Senior Citizen")</f>
        <v>Senior Citizen</v>
      </c>
      <c r="D336" t="s">
        <v>18</v>
      </c>
      <c r="E336" t="s">
        <v>24</v>
      </c>
      <c r="F336" t="s">
        <v>32</v>
      </c>
      <c r="G336" s="1">
        <v>45329</v>
      </c>
      <c r="H336" s="1">
        <v>45330</v>
      </c>
      <c r="I336" s="2">
        <f>Table3[[#This Row],[Discharge_Date]]-Table3[[#This Row],[Admission_Date]]</f>
        <v>1</v>
      </c>
      <c r="J336">
        <v>111</v>
      </c>
      <c r="K336" t="s">
        <v>15</v>
      </c>
      <c r="L336" t="s">
        <v>16</v>
      </c>
      <c r="M336">
        <f>IF(Table3[[#This Row],[Treatment_Success]]="Yes",1,0)</f>
        <v>1</v>
      </c>
      <c r="N336">
        <v>109326</v>
      </c>
    </row>
    <row r="337" spans="1:14" x14ac:dyDescent="0.35">
      <c r="A337" t="s">
        <v>384</v>
      </c>
      <c r="B337">
        <v>81</v>
      </c>
      <c r="C337" t="str">
        <f>_xlfn.IFS(Table3[[#This Row],[Age]]&lt;=10, "Child",Table3[[#This Row],[Age]]&lt;18, "Teenger", Table3[[#This Row],[Age]]&lt;30, "Middle Age", Table3[[#This Row],[Age]]&lt; 60,"Adult",Table3[[#This Row],[Age]],"Senior Citizen")</f>
        <v>Senior Citizen</v>
      </c>
      <c r="D337" t="s">
        <v>12</v>
      </c>
      <c r="E337" t="s">
        <v>31</v>
      </c>
      <c r="F337" t="s">
        <v>40</v>
      </c>
      <c r="G337" s="1">
        <v>45551</v>
      </c>
      <c r="H337" s="1">
        <v>45556</v>
      </c>
      <c r="I337" s="2">
        <f>Table3[[#This Row],[Discharge_Date]]-Table3[[#This Row],[Admission_Date]]</f>
        <v>5</v>
      </c>
      <c r="J337">
        <v>206</v>
      </c>
      <c r="K337" t="s">
        <v>15</v>
      </c>
      <c r="L337" t="s">
        <v>16</v>
      </c>
      <c r="M337">
        <f>IF(Table3[[#This Row],[Treatment_Success]]="Yes",1,0)</f>
        <v>1</v>
      </c>
      <c r="N337">
        <v>77736</v>
      </c>
    </row>
    <row r="338" spans="1:14" x14ac:dyDescent="0.35">
      <c r="A338" t="s">
        <v>385</v>
      </c>
      <c r="B338">
        <v>11</v>
      </c>
      <c r="C338" t="str">
        <f>_xlfn.IFS(Table3[[#This Row],[Age]]&lt;=10, "Child",Table3[[#This Row],[Age]]&lt;18, "Teenger", Table3[[#This Row],[Age]]&lt;30, "Middle Age", Table3[[#This Row],[Age]]&lt; 60,"Adult",Table3[[#This Row],[Age]],"Senior Citizen")</f>
        <v>Teenger</v>
      </c>
      <c r="D338" t="s">
        <v>18</v>
      </c>
      <c r="E338" t="s">
        <v>13</v>
      </c>
      <c r="F338" t="s">
        <v>61</v>
      </c>
      <c r="G338" s="1">
        <v>45334</v>
      </c>
      <c r="H338" s="1">
        <v>45339</v>
      </c>
      <c r="I338" s="2">
        <f>Table3[[#This Row],[Discharge_Date]]-Table3[[#This Row],[Admission_Date]]</f>
        <v>5</v>
      </c>
      <c r="J338">
        <v>168</v>
      </c>
      <c r="K338" t="s">
        <v>46</v>
      </c>
      <c r="L338" t="s">
        <v>16</v>
      </c>
      <c r="M338">
        <f>IF(Table3[[#This Row],[Treatment_Success]]="Yes",1,0)</f>
        <v>1</v>
      </c>
      <c r="N338">
        <v>86309</v>
      </c>
    </row>
    <row r="339" spans="1:14" x14ac:dyDescent="0.35">
      <c r="A339" t="s">
        <v>386</v>
      </c>
      <c r="B339">
        <v>31</v>
      </c>
      <c r="C339" t="str">
        <f>_xlfn.IFS(Table3[[#This Row],[Age]]&lt;=10, "Child",Table3[[#This Row],[Age]]&lt;18, "Teenger", Table3[[#This Row],[Age]]&lt;30, "Middle Age", Table3[[#This Row],[Age]]&lt; 60,"Adult",Table3[[#This Row],[Age]],"Senior Citizen")</f>
        <v>Adult</v>
      </c>
      <c r="D339" t="s">
        <v>18</v>
      </c>
      <c r="E339" t="s">
        <v>13</v>
      </c>
      <c r="F339" t="s">
        <v>45</v>
      </c>
      <c r="G339" s="1">
        <v>45649</v>
      </c>
      <c r="H339" s="1">
        <v>45656</v>
      </c>
      <c r="I339" s="2">
        <f>Table3[[#This Row],[Discharge_Date]]-Table3[[#This Row],[Admission_Date]]</f>
        <v>7</v>
      </c>
      <c r="J339">
        <v>223</v>
      </c>
      <c r="K339" t="s">
        <v>15</v>
      </c>
      <c r="L339" t="s">
        <v>26</v>
      </c>
      <c r="M339">
        <f>IF(Table3[[#This Row],[Treatment_Success]]="Yes",1,0)</f>
        <v>0</v>
      </c>
      <c r="N339">
        <v>165509</v>
      </c>
    </row>
    <row r="340" spans="1:14" x14ac:dyDescent="0.35">
      <c r="A340" t="s">
        <v>387</v>
      </c>
      <c r="B340">
        <v>40</v>
      </c>
      <c r="C340" t="str">
        <f>_xlfn.IFS(Table3[[#This Row],[Age]]&lt;=10, "Child",Table3[[#This Row],[Age]]&lt;18, "Teenger", Table3[[#This Row],[Age]]&lt;30, "Middle Age", Table3[[#This Row],[Age]]&lt; 60,"Adult",Table3[[#This Row],[Age]],"Senior Citizen")</f>
        <v>Adult</v>
      </c>
      <c r="D340" t="s">
        <v>18</v>
      </c>
      <c r="E340" t="s">
        <v>24</v>
      </c>
      <c r="F340" t="s">
        <v>80</v>
      </c>
      <c r="G340" s="1">
        <v>45603</v>
      </c>
      <c r="H340" s="1">
        <v>45604</v>
      </c>
      <c r="I340" s="2">
        <f>Table3[[#This Row],[Discharge_Date]]-Table3[[#This Row],[Admission_Date]]</f>
        <v>1</v>
      </c>
      <c r="J340">
        <v>71</v>
      </c>
      <c r="K340" t="s">
        <v>15</v>
      </c>
      <c r="L340" t="s">
        <v>16</v>
      </c>
      <c r="M340">
        <f>IF(Table3[[#This Row],[Treatment_Success]]="Yes",1,0)</f>
        <v>1</v>
      </c>
      <c r="N340">
        <v>135131</v>
      </c>
    </row>
    <row r="341" spans="1:14" x14ac:dyDescent="0.35">
      <c r="A341" t="s">
        <v>388</v>
      </c>
      <c r="B341">
        <v>67</v>
      </c>
      <c r="C341" t="str">
        <f>_xlfn.IFS(Table3[[#This Row],[Age]]&lt;=10, "Child",Table3[[#This Row],[Age]]&lt;18, "Teenger", Table3[[#This Row],[Age]]&lt;30, "Middle Age", Table3[[#This Row],[Age]]&lt; 60,"Adult",Table3[[#This Row],[Age]],"Senior Citizen")</f>
        <v>Senior Citizen</v>
      </c>
      <c r="D341" t="s">
        <v>12</v>
      </c>
      <c r="E341" t="s">
        <v>13</v>
      </c>
      <c r="F341" t="s">
        <v>63</v>
      </c>
      <c r="G341" s="1">
        <v>45469</v>
      </c>
      <c r="H341" s="1">
        <v>45478</v>
      </c>
      <c r="I341" s="2">
        <f>Table3[[#This Row],[Discharge_Date]]-Table3[[#This Row],[Admission_Date]]</f>
        <v>9</v>
      </c>
      <c r="J341">
        <v>65</v>
      </c>
      <c r="K341" t="s">
        <v>33</v>
      </c>
      <c r="L341" t="s">
        <v>16</v>
      </c>
      <c r="M341">
        <f>IF(Table3[[#This Row],[Treatment_Success]]="Yes",1,0)</f>
        <v>1</v>
      </c>
      <c r="N341">
        <v>12695</v>
      </c>
    </row>
    <row r="342" spans="1:14" x14ac:dyDescent="0.35">
      <c r="A342" t="s">
        <v>389</v>
      </c>
      <c r="B342">
        <v>55</v>
      </c>
      <c r="C342" t="str">
        <f>_xlfn.IFS(Table3[[#This Row],[Age]]&lt;=10, "Child",Table3[[#This Row],[Age]]&lt;18, "Teenger", Table3[[#This Row],[Age]]&lt;30, "Middle Age", Table3[[#This Row],[Age]]&lt; 60,"Adult",Table3[[#This Row],[Age]],"Senior Citizen")</f>
        <v>Adult</v>
      </c>
      <c r="D342" t="s">
        <v>12</v>
      </c>
      <c r="E342" t="s">
        <v>28</v>
      </c>
      <c r="F342" t="s">
        <v>45</v>
      </c>
      <c r="G342" s="1">
        <v>45463</v>
      </c>
      <c r="H342" s="1">
        <v>45476</v>
      </c>
      <c r="I342" s="2">
        <f>Table3[[#This Row],[Discharge_Date]]-Table3[[#This Row],[Admission_Date]]</f>
        <v>13</v>
      </c>
      <c r="J342">
        <v>135</v>
      </c>
      <c r="K342" t="s">
        <v>15</v>
      </c>
      <c r="L342" t="s">
        <v>26</v>
      </c>
      <c r="M342">
        <f>IF(Table3[[#This Row],[Treatment_Success]]="Yes",1,0)</f>
        <v>0</v>
      </c>
      <c r="N342">
        <v>124327</v>
      </c>
    </row>
    <row r="343" spans="1:14" x14ac:dyDescent="0.35">
      <c r="A343" t="s">
        <v>390</v>
      </c>
      <c r="B343">
        <v>8</v>
      </c>
      <c r="C343" t="str">
        <f>_xlfn.IFS(Table3[[#This Row],[Age]]&lt;=10, "Child",Table3[[#This Row],[Age]]&lt;18, "Teenger", Table3[[#This Row],[Age]]&lt;30, "Middle Age", Table3[[#This Row],[Age]]&lt; 60,"Adult",Table3[[#This Row],[Age]],"Senior Citizen")</f>
        <v>Child</v>
      </c>
      <c r="D343" t="s">
        <v>12</v>
      </c>
      <c r="E343" t="s">
        <v>28</v>
      </c>
      <c r="F343" t="s">
        <v>66</v>
      </c>
      <c r="G343" s="1">
        <v>45553</v>
      </c>
      <c r="H343" s="1">
        <v>45559</v>
      </c>
      <c r="I343" s="2">
        <f>Table3[[#This Row],[Discharge_Date]]-Table3[[#This Row],[Admission_Date]]</f>
        <v>6</v>
      </c>
      <c r="J343">
        <v>189</v>
      </c>
      <c r="K343" t="s">
        <v>36</v>
      </c>
      <c r="L343" t="s">
        <v>16</v>
      </c>
      <c r="M343">
        <f>IF(Table3[[#This Row],[Treatment_Success]]="Yes",1,0)</f>
        <v>1</v>
      </c>
      <c r="N343">
        <v>31975</v>
      </c>
    </row>
    <row r="344" spans="1:14" x14ac:dyDescent="0.35">
      <c r="A344" t="s">
        <v>391</v>
      </c>
      <c r="B344">
        <v>15</v>
      </c>
      <c r="C344" t="str">
        <f>_xlfn.IFS(Table3[[#This Row],[Age]]&lt;=10, "Child",Table3[[#This Row],[Age]]&lt;18, "Teenger", Table3[[#This Row],[Age]]&lt;30, "Middle Age", Table3[[#This Row],[Age]]&lt; 60,"Adult",Table3[[#This Row],[Age]],"Senior Citizen")</f>
        <v>Teenger</v>
      </c>
      <c r="D344" t="s">
        <v>18</v>
      </c>
      <c r="E344" t="s">
        <v>28</v>
      </c>
      <c r="F344" t="s">
        <v>80</v>
      </c>
      <c r="G344" s="1">
        <v>45585</v>
      </c>
      <c r="H344" s="1">
        <v>45596</v>
      </c>
      <c r="I344" s="2">
        <f>Table3[[#This Row],[Discharge_Date]]-Table3[[#This Row],[Admission_Date]]</f>
        <v>11</v>
      </c>
      <c r="J344">
        <v>23</v>
      </c>
      <c r="K344" t="s">
        <v>15</v>
      </c>
      <c r="L344" t="s">
        <v>16</v>
      </c>
      <c r="M344">
        <f>IF(Table3[[#This Row],[Treatment_Success]]="Yes",1,0)</f>
        <v>1</v>
      </c>
      <c r="N344">
        <v>17053</v>
      </c>
    </row>
    <row r="345" spans="1:14" x14ac:dyDescent="0.35">
      <c r="A345" t="s">
        <v>392</v>
      </c>
      <c r="B345">
        <v>50</v>
      </c>
      <c r="C345" t="str">
        <f>_xlfn.IFS(Table3[[#This Row],[Age]]&lt;=10, "Child",Table3[[#This Row],[Age]]&lt;18, "Teenger", Table3[[#This Row],[Age]]&lt;30, "Middle Age", Table3[[#This Row],[Age]]&lt; 60,"Adult",Table3[[#This Row],[Age]],"Senior Citizen")</f>
        <v>Adult</v>
      </c>
      <c r="D345" t="s">
        <v>18</v>
      </c>
      <c r="E345" t="s">
        <v>13</v>
      </c>
      <c r="F345" t="s">
        <v>52</v>
      </c>
      <c r="G345" s="1">
        <v>45533</v>
      </c>
      <c r="H345" s="1">
        <v>45539</v>
      </c>
      <c r="I345" s="2">
        <f>Table3[[#This Row],[Discharge_Date]]-Table3[[#This Row],[Admission_Date]]</f>
        <v>6</v>
      </c>
      <c r="J345">
        <v>284</v>
      </c>
      <c r="K345" t="s">
        <v>46</v>
      </c>
      <c r="L345" t="s">
        <v>16</v>
      </c>
      <c r="M345">
        <f>IF(Table3[[#This Row],[Treatment_Success]]="Yes",1,0)</f>
        <v>1</v>
      </c>
      <c r="N345">
        <v>89358</v>
      </c>
    </row>
    <row r="346" spans="1:14" x14ac:dyDescent="0.35">
      <c r="A346" t="s">
        <v>393</v>
      </c>
      <c r="B346">
        <v>41</v>
      </c>
      <c r="C346" t="str">
        <f>_xlfn.IFS(Table3[[#This Row],[Age]]&lt;=10, "Child",Table3[[#This Row],[Age]]&lt;18, "Teenger", Table3[[#This Row],[Age]]&lt;30, "Middle Age", Table3[[#This Row],[Age]]&lt; 60,"Adult",Table3[[#This Row],[Age]],"Senior Citizen")</f>
        <v>Adult</v>
      </c>
      <c r="D346" t="s">
        <v>12</v>
      </c>
      <c r="E346" t="s">
        <v>24</v>
      </c>
      <c r="F346" t="s">
        <v>58</v>
      </c>
      <c r="G346" s="1">
        <v>45419</v>
      </c>
      <c r="H346" s="1">
        <v>45426</v>
      </c>
      <c r="I346" s="2">
        <f>Table3[[#This Row],[Discharge_Date]]-Table3[[#This Row],[Admission_Date]]</f>
        <v>7</v>
      </c>
      <c r="J346">
        <v>191</v>
      </c>
      <c r="K346" t="s">
        <v>15</v>
      </c>
      <c r="L346" t="s">
        <v>16</v>
      </c>
      <c r="M346">
        <f>IF(Table3[[#This Row],[Treatment_Success]]="Yes",1,0)</f>
        <v>1</v>
      </c>
      <c r="N346">
        <v>52014</v>
      </c>
    </row>
    <row r="347" spans="1:14" x14ac:dyDescent="0.35">
      <c r="A347" t="s">
        <v>394</v>
      </c>
      <c r="B347">
        <v>67</v>
      </c>
      <c r="C347" t="str">
        <f>_xlfn.IFS(Table3[[#This Row],[Age]]&lt;=10, "Child",Table3[[#This Row],[Age]]&lt;18, "Teenger", Table3[[#This Row],[Age]]&lt;30, "Middle Age", Table3[[#This Row],[Age]]&lt; 60,"Adult",Table3[[#This Row],[Age]],"Senior Citizen")</f>
        <v>Senior Citizen</v>
      </c>
      <c r="D347" t="s">
        <v>18</v>
      </c>
      <c r="E347" t="s">
        <v>31</v>
      </c>
      <c r="F347" t="s">
        <v>45</v>
      </c>
      <c r="G347" s="1">
        <v>45406</v>
      </c>
      <c r="H347" s="1">
        <v>45419</v>
      </c>
      <c r="I347" s="2">
        <f>Table3[[#This Row],[Discharge_Date]]-Table3[[#This Row],[Admission_Date]]</f>
        <v>13</v>
      </c>
      <c r="J347">
        <v>239</v>
      </c>
      <c r="K347" t="s">
        <v>33</v>
      </c>
      <c r="L347" t="s">
        <v>16</v>
      </c>
      <c r="M347">
        <f>IF(Table3[[#This Row],[Treatment_Success]]="Yes",1,0)</f>
        <v>1</v>
      </c>
      <c r="N347">
        <v>90799</v>
      </c>
    </row>
    <row r="348" spans="1:14" x14ac:dyDescent="0.35">
      <c r="A348" t="s">
        <v>395</v>
      </c>
      <c r="B348">
        <v>59</v>
      </c>
      <c r="C348" t="str">
        <f>_xlfn.IFS(Table3[[#This Row],[Age]]&lt;=10, "Child",Table3[[#This Row],[Age]]&lt;18, "Teenger", Table3[[#This Row],[Age]]&lt;30, "Middle Age", Table3[[#This Row],[Age]]&lt; 60,"Adult",Table3[[#This Row],[Age]],"Senior Citizen")</f>
        <v>Adult</v>
      </c>
      <c r="D348" t="s">
        <v>18</v>
      </c>
      <c r="E348" t="s">
        <v>38</v>
      </c>
      <c r="F348" t="s">
        <v>29</v>
      </c>
      <c r="G348" s="1">
        <v>45336</v>
      </c>
      <c r="H348" s="1">
        <v>45345</v>
      </c>
      <c r="I348" s="2">
        <f>Table3[[#This Row],[Discharge_Date]]-Table3[[#This Row],[Admission_Date]]</f>
        <v>9</v>
      </c>
      <c r="J348">
        <v>150</v>
      </c>
      <c r="K348" t="s">
        <v>33</v>
      </c>
      <c r="L348" t="s">
        <v>16</v>
      </c>
      <c r="M348">
        <f>IF(Table3[[#This Row],[Treatment_Success]]="Yes",1,0)</f>
        <v>1</v>
      </c>
      <c r="N348">
        <v>126615</v>
      </c>
    </row>
    <row r="349" spans="1:14" x14ac:dyDescent="0.35">
      <c r="A349" t="s">
        <v>396</v>
      </c>
      <c r="B349">
        <v>64</v>
      </c>
      <c r="C349" t="str">
        <f>_xlfn.IFS(Table3[[#This Row],[Age]]&lt;=10, "Child",Table3[[#This Row],[Age]]&lt;18, "Teenger", Table3[[#This Row],[Age]]&lt;30, "Middle Age", Table3[[#This Row],[Age]]&lt; 60,"Adult",Table3[[#This Row],[Age]],"Senior Citizen")</f>
        <v>Senior Citizen</v>
      </c>
      <c r="D349" t="s">
        <v>18</v>
      </c>
      <c r="E349" t="s">
        <v>28</v>
      </c>
      <c r="F349" t="s">
        <v>22</v>
      </c>
      <c r="G349" s="1">
        <v>45480</v>
      </c>
      <c r="H349" s="1">
        <v>45490</v>
      </c>
      <c r="I349" s="2">
        <f>Table3[[#This Row],[Discharge_Date]]-Table3[[#This Row],[Admission_Date]]</f>
        <v>10</v>
      </c>
      <c r="J349">
        <v>126</v>
      </c>
      <c r="K349" t="s">
        <v>36</v>
      </c>
      <c r="L349" t="s">
        <v>16</v>
      </c>
      <c r="M349">
        <f>IF(Table3[[#This Row],[Treatment_Success]]="Yes",1,0)</f>
        <v>1</v>
      </c>
      <c r="N349">
        <v>112488</v>
      </c>
    </row>
    <row r="350" spans="1:14" x14ac:dyDescent="0.35">
      <c r="A350" t="s">
        <v>397</v>
      </c>
      <c r="B350">
        <v>70</v>
      </c>
      <c r="C350" t="str">
        <f>_xlfn.IFS(Table3[[#This Row],[Age]]&lt;=10, "Child",Table3[[#This Row],[Age]]&lt;18, "Teenger", Table3[[#This Row],[Age]]&lt;30, "Middle Age", Table3[[#This Row],[Age]]&lt; 60,"Adult",Table3[[#This Row],[Age]],"Senior Citizen")</f>
        <v>Senior Citizen</v>
      </c>
      <c r="D350" t="s">
        <v>12</v>
      </c>
      <c r="E350" t="s">
        <v>24</v>
      </c>
      <c r="F350" t="s">
        <v>95</v>
      </c>
      <c r="G350" s="1">
        <v>45304</v>
      </c>
      <c r="H350" s="1">
        <v>45308</v>
      </c>
      <c r="I350" s="2">
        <f>Table3[[#This Row],[Discharge_Date]]-Table3[[#This Row],[Admission_Date]]</f>
        <v>4</v>
      </c>
      <c r="J350">
        <v>1</v>
      </c>
      <c r="K350" t="s">
        <v>46</v>
      </c>
      <c r="L350" t="s">
        <v>16</v>
      </c>
      <c r="M350">
        <f>IF(Table3[[#This Row],[Treatment_Success]]="Yes",1,0)</f>
        <v>1</v>
      </c>
      <c r="N350">
        <v>32249</v>
      </c>
    </row>
    <row r="351" spans="1:14" x14ac:dyDescent="0.35">
      <c r="A351" t="s">
        <v>398</v>
      </c>
      <c r="B351">
        <v>31</v>
      </c>
      <c r="C351" t="str">
        <f>_xlfn.IFS(Table3[[#This Row],[Age]]&lt;=10, "Child",Table3[[#This Row],[Age]]&lt;18, "Teenger", Table3[[#This Row],[Age]]&lt;30, "Middle Age", Table3[[#This Row],[Age]]&lt; 60,"Adult",Table3[[#This Row],[Age]],"Senior Citizen")</f>
        <v>Adult</v>
      </c>
      <c r="D351" t="s">
        <v>12</v>
      </c>
      <c r="E351" t="s">
        <v>31</v>
      </c>
      <c r="F351" t="s">
        <v>52</v>
      </c>
      <c r="G351" s="1">
        <v>45397</v>
      </c>
      <c r="H351" s="1">
        <v>45406</v>
      </c>
      <c r="I351" s="2">
        <f>Table3[[#This Row],[Discharge_Date]]-Table3[[#This Row],[Admission_Date]]</f>
        <v>9</v>
      </c>
      <c r="J351">
        <v>73</v>
      </c>
      <c r="K351" t="s">
        <v>33</v>
      </c>
      <c r="L351" t="s">
        <v>16</v>
      </c>
      <c r="M351">
        <f>IF(Table3[[#This Row],[Treatment_Success]]="Yes",1,0)</f>
        <v>1</v>
      </c>
      <c r="N351">
        <v>16508</v>
      </c>
    </row>
    <row r="352" spans="1:14" x14ac:dyDescent="0.35">
      <c r="A352" t="s">
        <v>399</v>
      </c>
      <c r="B352">
        <v>67</v>
      </c>
      <c r="C352" t="str">
        <f>_xlfn.IFS(Table3[[#This Row],[Age]]&lt;=10, "Child",Table3[[#This Row],[Age]]&lt;18, "Teenger", Table3[[#This Row],[Age]]&lt;30, "Middle Age", Table3[[#This Row],[Age]]&lt; 60,"Adult",Table3[[#This Row],[Age]],"Senior Citizen")</f>
        <v>Senior Citizen</v>
      </c>
      <c r="D352" t="s">
        <v>12</v>
      </c>
      <c r="E352" t="s">
        <v>38</v>
      </c>
      <c r="F352" t="s">
        <v>20</v>
      </c>
      <c r="G352" s="1">
        <v>45410</v>
      </c>
      <c r="H352" s="1">
        <v>45425</v>
      </c>
      <c r="I352" s="2">
        <f>Table3[[#This Row],[Discharge_Date]]-Table3[[#This Row],[Admission_Date]]</f>
        <v>15</v>
      </c>
      <c r="J352">
        <v>44</v>
      </c>
      <c r="K352" t="s">
        <v>15</v>
      </c>
      <c r="L352" t="s">
        <v>16</v>
      </c>
      <c r="M352">
        <f>IF(Table3[[#This Row],[Treatment_Success]]="Yes",1,0)</f>
        <v>1</v>
      </c>
      <c r="N352">
        <v>172042</v>
      </c>
    </row>
    <row r="353" spans="1:14" x14ac:dyDescent="0.35">
      <c r="A353" t="s">
        <v>400</v>
      </c>
      <c r="B353">
        <v>76</v>
      </c>
      <c r="C353" t="str">
        <f>_xlfn.IFS(Table3[[#This Row],[Age]]&lt;=10, "Child",Table3[[#This Row],[Age]]&lt;18, "Teenger", Table3[[#This Row],[Age]]&lt;30, "Middle Age", Table3[[#This Row],[Age]]&lt; 60,"Adult",Table3[[#This Row],[Age]],"Senior Citizen")</f>
        <v>Senior Citizen</v>
      </c>
      <c r="D353" t="s">
        <v>18</v>
      </c>
      <c r="E353" t="s">
        <v>31</v>
      </c>
      <c r="F353" t="s">
        <v>54</v>
      </c>
      <c r="G353" s="1">
        <v>45493</v>
      </c>
      <c r="H353" s="1">
        <v>45495</v>
      </c>
      <c r="I353" s="2">
        <f>Table3[[#This Row],[Discharge_Date]]-Table3[[#This Row],[Admission_Date]]</f>
        <v>2</v>
      </c>
      <c r="J353">
        <v>67</v>
      </c>
      <c r="K353" t="s">
        <v>36</v>
      </c>
      <c r="L353" t="s">
        <v>16</v>
      </c>
      <c r="M353">
        <f>IF(Table3[[#This Row],[Treatment_Success]]="Yes",1,0)</f>
        <v>1</v>
      </c>
      <c r="N353">
        <v>73417</v>
      </c>
    </row>
    <row r="354" spans="1:14" x14ac:dyDescent="0.35">
      <c r="A354" t="s">
        <v>401</v>
      </c>
      <c r="B354">
        <v>51</v>
      </c>
      <c r="C354" t="str">
        <f>_xlfn.IFS(Table3[[#This Row],[Age]]&lt;=10, "Child",Table3[[#This Row],[Age]]&lt;18, "Teenger", Table3[[#This Row],[Age]]&lt;30, "Middle Age", Table3[[#This Row],[Age]]&lt; 60,"Adult",Table3[[#This Row],[Age]],"Senior Citizen")</f>
        <v>Adult</v>
      </c>
      <c r="D354" t="s">
        <v>12</v>
      </c>
      <c r="E354" t="s">
        <v>38</v>
      </c>
      <c r="F354" t="s">
        <v>20</v>
      </c>
      <c r="G354" s="1">
        <v>45453</v>
      </c>
      <c r="H354" s="1">
        <v>45468</v>
      </c>
      <c r="I354" s="2">
        <f>Table3[[#This Row],[Discharge_Date]]-Table3[[#This Row],[Admission_Date]]</f>
        <v>15</v>
      </c>
      <c r="J354">
        <v>140</v>
      </c>
      <c r="K354" t="s">
        <v>36</v>
      </c>
      <c r="L354" t="s">
        <v>16</v>
      </c>
      <c r="M354">
        <f>IF(Table3[[#This Row],[Treatment_Success]]="Yes",1,0)</f>
        <v>1</v>
      </c>
      <c r="N354">
        <v>58139</v>
      </c>
    </row>
    <row r="355" spans="1:14" x14ac:dyDescent="0.35">
      <c r="A355" t="s">
        <v>402</v>
      </c>
      <c r="B355">
        <v>75</v>
      </c>
      <c r="C355" t="str">
        <f>_xlfn.IFS(Table3[[#This Row],[Age]]&lt;=10, "Child",Table3[[#This Row],[Age]]&lt;18, "Teenger", Table3[[#This Row],[Age]]&lt;30, "Middle Age", Table3[[#This Row],[Age]]&lt; 60,"Adult",Table3[[#This Row],[Age]],"Senior Citizen")</f>
        <v>Senior Citizen</v>
      </c>
      <c r="D355" t="s">
        <v>18</v>
      </c>
      <c r="E355" t="s">
        <v>13</v>
      </c>
      <c r="F355" t="s">
        <v>90</v>
      </c>
      <c r="G355" s="1">
        <v>45361</v>
      </c>
      <c r="H355" s="1">
        <v>45374</v>
      </c>
      <c r="I355" s="2">
        <f>Table3[[#This Row],[Discharge_Date]]-Table3[[#This Row],[Admission_Date]]</f>
        <v>13</v>
      </c>
      <c r="J355">
        <v>85</v>
      </c>
      <c r="K355" t="s">
        <v>46</v>
      </c>
      <c r="L355" t="s">
        <v>26</v>
      </c>
      <c r="M355">
        <f>IF(Table3[[#This Row],[Treatment_Success]]="Yes",1,0)</f>
        <v>0</v>
      </c>
      <c r="N355">
        <v>87321</v>
      </c>
    </row>
    <row r="356" spans="1:14" x14ac:dyDescent="0.35">
      <c r="A356" t="s">
        <v>403</v>
      </c>
      <c r="B356">
        <v>69</v>
      </c>
      <c r="C356" t="str">
        <f>_xlfn.IFS(Table3[[#This Row],[Age]]&lt;=10, "Child",Table3[[#This Row],[Age]]&lt;18, "Teenger", Table3[[#This Row],[Age]]&lt;30, "Middle Age", Table3[[#This Row],[Age]]&lt; 60,"Adult",Table3[[#This Row],[Age]],"Senior Citizen")</f>
        <v>Senior Citizen</v>
      </c>
      <c r="D356" t="s">
        <v>12</v>
      </c>
      <c r="E356" t="s">
        <v>13</v>
      </c>
      <c r="F356" t="s">
        <v>20</v>
      </c>
      <c r="G356" s="1">
        <v>45500</v>
      </c>
      <c r="H356" s="1">
        <v>45502</v>
      </c>
      <c r="I356" s="2">
        <f>Table3[[#This Row],[Discharge_Date]]-Table3[[#This Row],[Admission_Date]]</f>
        <v>2</v>
      </c>
      <c r="J356">
        <v>158</v>
      </c>
      <c r="K356" t="s">
        <v>46</v>
      </c>
      <c r="L356" t="s">
        <v>16</v>
      </c>
      <c r="M356">
        <f>IF(Table3[[#This Row],[Treatment_Success]]="Yes",1,0)</f>
        <v>1</v>
      </c>
      <c r="N356">
        <v>36434</v>
      </c>
    </row>
    <row r="357" spans="1:14" x14ac:dyDescent="0.35">
      <c r="A357" t="s">
        <v>404</v>
      </c>
      <c r="B357">
        <v>88</v>
      </c>
      <c r="C357" t="str">
        <f>_xlfn.IFS(Table3[[#This Row],[Age]]&lt;=10, "Child",Table3[[#This Row],[Age]]&lt;18, "Teenger", Table3[[#This Row],[Age]]&lt;30, "Middle Age", Table3[[#This Row],[Age]]&lt; 60,"Adult",Table3[[#This Row],[Age]],"Senior Citizen")</f>
        <v>Senior Citizen</v>
      </c>
      <c r="D357" t="s">
        <v>12</v>
      </c>
      <c r="E357" t="s">
        <v>28</v>
      </c>
      <c r="F357" t="s">
        <v>52</v>
      </c>
      <c r="G357" s="1">
        <v>45338</v>
      </c>
      <c r="H357" s="1">
        <v>45341</v>
      </c>
      <c r="I357" s="2">
        <f>Table3[[#This Row],[Discharge_Date]]-Table3[[#This Row],[Admission_Date]]</f>
        <v>3</v>
      </c>
      <c r="J357">
        <v>111</v>
      </c>
      <c r="K357" t="s">
        <v>33</v>
      </c>
      <c r="L357" t="s">
        <v>16</v>
      </c>
      <c r="M357">
        <f>IF(Table3[[#This Row],[Treatment_Success]]="Yes",1,0)</f>
        <v>1</v>
      </c>
      <c r="N357">
        <v>28910</v>
      </c>
    </row>
    <row r="358" spans="1:14" x14ac:dyDescent="0.35">
      <c r="A358" t="s">
        <v>405</v>
      </c>
      <c r="B358">
        <v>46</v>
      </c>
      <c r="C358" t="str">
        <f>_xlfn.IFS(Table3[[#This Row],[Age]]&lt;=10, "Child",Table3[[#This Row],[Age]]&lt;18, "Teenger", Table3[[#This Row],[Age]]&lt;30, "Middle Age", Table3[[#This Row],[Age]]&lt; 60,"Adult",Table3[[#This Row],[Age]],"Senior Citizen")</f>
        <v>Adult</v>
      </c>
      <c r="D358" t="s">
        <v>12</v>
      </c>
      <c r="E358" t="s">
        <v>28</v>
      </c>
      <c r="F358" t="s">
        <v>52</v>
      </c>
      <c r="G358" s="1">
        <v>45656</v>
      </c>
      <c r="H358" s="1">
        <v>45660</v>
      </c>
      <c r="I358" s="2">
        <f>Table3[[#This Row],[Discharge_Date]]-Table3[[#This Row],[Admission_Date]]</f>
        <v>4</v>
      </c>
      <c r="J358">
        <v>154</v>
      </c>
      <c r="K358" t="s">
        <v>33</v>
      </c>
      <c r="L358" t="s">
        <v>16</v>
      </c>
      <c r="M358">
        <f>IF(Table3[[#This Row],[Treatment_Success]]="Yes",1,0)</f>
        <v>1</v>
      </c>
      <c r="N358">
        <v>13147</v>
      </c>
    </row>
    <row r="359" spans="1:14" x14ac:dyDescent="0.35">
      <c r="A359" t="s">
        <v>406</v>
      </c>
      <c r="B359">
        <v>58</v>
      </c>
      <c r="C359" t="str">
        <f>_xlfn.IFS(Table3[[#This Row],[Age]]&lt;=10, "Child",Table3[[#This Row],[Age]]&lt;18, "Teenger", Table3[[#This Row],[Age]]&lt;30, "Middle Age", Table3[[#This Row],[Age]]&lt; 60,"Adult",Table3[[#This Row],[Age]],"Senior Citizen")</f>
        <v>Adult</v>
      </c>
      <c r="D359" t="s">
        <v>18</v>
      </c>
      <c r="E359" t="s">
        <v>24</v>
      </c>
      <c r="F359" t="s">
        <v>20</v>
      </c>
      <c r="G359" s="1">
        <v>45499</v>
      </c>
      <c r="H359" s="1">
        <v>45513</v>
      </c>
      <c r="I359" s="2">
        <f>Table3[[#This Row],[Discharge_Date]]-Table3[[#This Row],[Admission_Date]]</f>
        <v>14</v>
      </c>
      <c r="J359">
        <v>53</v>
      </c>
      <c r="K359" t="s">
        <v>36</v>
      </c>
      <c r="L359" t="s">
        <v>16</v>
      </c>
      <c r="M359">
        <f>IF(Table3[[#This Row],[Treatment_Success]]="Yes",1,0)</f>
        <v>1</v>
      </c>
      <c r="N359">
        <v>8134</v>
      </c>
    </row>
    <row r="360" spans="1:14" x14ac:dyDescent="0.35">
      <c r="A360" t="s">
        <v>407</v>
      </c>
      <c r="B360">
        <v>29</v>
      </c>
      <c r="C360" t="str">
        <f>_xlfn.IFS(Table3[[#This Row],[Age]]&lt;=10, "Child",Table3[[#This Row],[Age]]&lt;18, "Teenger", Table3[[#This Row],[Age]]&lt;30, "Middle Age", Table3[[#This Row],[Age]]&lt; 60,"Adult",Table3[[#This Row],[Age]],"Senior Citizen")</f>
        <v>Middle Age</v>
      </c>
      <c r="D360" t="s">
        <v>18</v>
      </c>
      <c r="E360" t="s">
        <v>13</v>
      </c>
      <c r="F360" t="s">
        <v>56</v>
      </c>
      <c r="G360" s="1">
        <v>45323</v>
      </c>
      <c r="H360" s="1">
        <v>45337</v>
      </c>
      <c r="I360" s="2">
        <f>Table3[[#This Row],[Discharge_Date]]-Table3[[#This Row],[Admission_Date]]</f>
        <v>14</v>
      </c>
      <c r="J360">
        <v>191</v>
      </c>
      <c r="K360" t="s">
        <v>15</v>
      </c>
      <c r="L360" t="s">
        <v>16</v>
      </c>
      <c r="M360">
        <f>IF(Table3[[#This Row],[Treatment_Success]]="Yes",1,0)</f>
        <v>1</v>
      </c>
      <c r="N360">
        <v>24657</v>
      </c>
    </row>
    <row r="361" spans="1:14" x14ac:dyDescent="0.35">
      <c r="A361" t="s">
        <v>408</v>
      </c>
      <c r="B361">
        <v>26</v>
      </c>
      <c r="C361" t="str">
        <f>_xlfn.IFS(Table3[[#This Row],[Age]]&lt;=10, "Child",Table3[[#This Row],[Age]]&lt;18, "Teenger", Table3[[#This Row],[Age]]&lt;30, "Middle Age", Table3[[#This Row],[Age]]&lt; 60,"Adult",Table3[[#This Row],[Age]],"Senior Citizen")</f>
        <v>Middle Age</v>
      </c>
      <c r="D361" t="s">
        <v>12</v>
      </c>
      <c r="E361" t="s">
        <v>13</v>
      </c>
      <c r="F361" t="s">
        <v>45</v>
      </c>
      <c r="G361" s="1">
        <v>45303</v>
      </c>
      <c r="H361" s="1">
        <v>45305</v>
      </c>
      <c r="I361" s="2">
        <f>Table3[[#This Row],[Discharge_Date]]-Table3[[#This Row],[Admission_Date]]</f>
        <v>2</v>
      </c>
      <c r="J361">
        <v>170</v>
      </c>
      <c r="K361" t="s">
        <v>15</v>
      </c>
      <c r="L361" t="s">
        <v>16</v>
      </c>
      <c r="M361">
        <f>IF(Table3[[#This Row],[Treatment_Success]]="Yes",1,0)</f>
        <v>1</v>
      </c>
      <c r="N361">
        <v>125847</v>
      </c>
    </row>
    <row r="362" spans="1:14" x14ac:dyDescent="0.35">
      <c r="A362" t="s">
        <v>409</v>
      </c>
      <c r="B362">
        <v>74</v>
      </c>
      <c r="C362" t="str">
        <f>_xlfn.IFS(Table3[[#This Row],[Age]]&lt;=10, "Child",Table3[[#This Row],[Age]]&lt;18, "Teenger", Table3[[#This Row],[Age]]&lt;30, "Middle Age", Table3[[#This Row],[Age]]&lt; 60,"Adult",Table3[[#This Row],[Age]],"Senior Citizen")</f>
        <v>Senior Citizen</v>
      </c>
      <c r="D362" t="s">
        <v>12</v>
      </c>
      <c r="E362" t="s">
        <v>31</v>
      </c>
      <c r="F362" t="s">
        <v>43</v>
      </c>
      <c r="G362" s="1">
        <v>45317</v>
      </c>
      <c r="H362" s="1">
        <v>45320</v>
      </c>
      <c r="I362" s="2">
        <f>Table3[[#This Row],[Discharge_Date]]-Table3[[#This Row],[Admission_Date]]</f>
        <v>3</v>
      </c>
      <c r="J362">
        <v>16</v>
      </c>
      <c r="K362" t="s">
        <v>46</v>
      </c>
      <c r="L362" t="s">
        <v>26</v>
      </c>
      <c r="M362">
        <f>IF(Table3[[#This Row],[Treatment_Success]]="Yes",1,0)</f>
        <v>0</v>
      </c>
      <c r="N362">
        <v>50300</v>
      </c>
    </row>
    <row r="363" spans="1:14" x14ac:dyDescent="0.35">
      <c r="A363" t="s">
        <v>410</v>
      </c>
      <c r="B363">
        <v>24</v>
      </c>
      <c r="C363" t="str">
        <f>_xlfn.IFS(Table3[[#This Row],[Age]]&lt;=10, "Child",Table3[[#This Row],[Age]]&lt;18, "Teenger", Table3[[#This Row],[Age]]&lt;30, "Middle Age", Table3[[#This Row],[Age]]&lt; 60,"Adult",Table3[[#This Row],[Age]],"Senior Citizen")</f>
        <v>Middle Age</v>
      </c>
      <c r="D363" t="s">
        <v>12</v>
      </c>
      <c r="E363" t="s">
        <v>38</v>
      </c>
      <c r="F363" t="s">
        <v>20</v>
      </c>
      <c r="G363" s="1">
        <v>45473</v>
      </c>
      <c r="H363" s="1">
        <v>45477</v>
      </c>
      <c r="I363" s="2">
        <f>Table3[[#This Row],[Discharge_Date]]-Table3[[#This Row],[Admission_Date]]</f>
        <v>4</v>
      </c>
      <c r="J363">
        <v>77</v>
      </c>
      <c r="K363" t="s">
        <v>15</v>
      </c>
      <c r="L363" t="s">
        <v>16</v>
      </c>
      <c r="M363">
        <f>IF(Table3[[#This Row],[Treatment_Success]]="Yes",1,0)</f>
        <v>1</v>
      </c>
      <c r="N363">
        <v>174680</v>
      </c>
    </row>
    <row r="364" spans="1:14" x14ac:dyDescent="0.35">
      <c r="A364" t="s">
        <v>411</v>
      </c>
      <c r="B364">
        <v>53</v>
      </c>
      <c r="C364" t="str">
        <f>_xlfn.IFS(Table3[[#This Row],[Age]]&lt;=10, "Child",Table3[[#This Row],[Age]]&lt;18, "Teenger", Table3[[#This Row],[Age]]&lt;30, "Middle Age", Table3[[#This Row],[Age]]&lt; 60,"Adult",Table3[[#This Row],[Age]],"Senior Citizen")</f>
        <v>Adult</v>
      </c>
      <c r="D364" t="s">
        <v>12</v>
      </c>
      <c r="E364" t="s">
        <v>24</v>
      </c>
      <c r="F364" t="s">
        <v>45</v>
      </c>
      <c r="G364" s="1">
        <v>45443</v>
      </c>
      <c r="H364" s="1">
        <v>45451</v>
      </c>
      <c r="I364" s="2">
        <f>Table3[[#This Row],[Discharge_Date]]-Table3[[#This Row],[Admission_Date]]</f>
        <v>8</v>
      </c>
      <c r="J364">
        <v>144</v>
      </c>
      <c r="K364" t="s">
        <v>46</v>
      </c>
      <c r="L364" t="s">
        <v>16</v>
      </c>
      <c r="M364">
        <f>IF(Table3[[#This Row],[Treatment_Success]]="Yes",1,0)</f>
        <v>1</v>
      </c>
      <c r="N364">
        <v>114899</v>
      </c>
    </row>
    <row r="365" spans="1:14" x14ac:dyDescent="0.35">
      <c r="A365" t="s">
        <v>412</v>
      </c>
      <c r="B365">
        <v>68</v>
      </c>
      <c r="C365" t="str">
        <f>_xlfn.IFS(Table3[[#This Row],[Age]]&lt;=10, "Child",Table3[[#This Row],[Age]]&lt;18, "Teenger", Table3[[#This Row],[Age]]&lt;30, "Middle Age", Table3[[#This Row],[Age]]&lt; 60,"Adult",Table3[[#This Row],[Age]],"Senior Citizen")</f>
        <v>Senior Citizen</v>
      </c>
      <c r="D365" t="s">
        <v>18</v>
      </c>
      <c r="E365" t="s">
        <v>28</v>
      </c>
      <c r="F365" t="s">
        <v>80</v>
      </c>
      <c r="G365" s="1">
        <v>45394</v>
      </c>
      <c r="H365" s="1">
        <v>45405</v>
      </c>
      <c r="I365" s="2">
        <f>Table3[[#This Row],[Discharge_Date]]-Table3[[#This Row],[Admission_Date]]</f>
        <v>11</v>
      </c>
      <c r="J365">
        <v>196</v>
      </c>
      <c r="K365" t="s">
        <v>33</v>
      </c>
      <c r="L365" t="s">
        <v>26</v>
      </c>
      <c r="M365">
        <f>IF(Table3[[#This Row],[Treatment_Success]]="Yes",1,0)</f>
        <v>0</v>
      </c>
      <c r="N365">
        <v>147742</v>
      </c>
    </row>
    <row r="366" spans="1:14" x14ac:dyDescent="0.35">
      <c r="A366" t="s">
        <v>413</v>
      </c>
      <c r="B366">
        <v>73</v>
      </c>
      <c r="C366" t="str">
        <f>_xlfn.IFS(Table3[[#This Row],[Age]]&lt;=10, "Child",Table3[[#This Row],[Age]]&lt;18, "Teenger", Table3[[#This Row],[Age]]&lt;30, "Middle Age", Table3[[#This Row],[Age]]&lt; 60,"Adult",Table3[[#This Row],[Age]],"Senior Citizen")</f>
        <v>Senior Citizen</v>
      </c>
      <c r="D366" t="s">
        <v>12</v>
      </c>
      <c r="E366" t="s">
        <v>31</v>
      </c>
      <c r="F366" t="s">
        <v>32</v>
      </c>
      <c r="G366" s="1">
        <v>45540</v>
      </c>
      <c r="H366" s="1">
        <v>45546</v>
      </c>
      <c r="I366" s="2">
        <f>Table3[[#This Row],[Discharge_Date]]-Table3[[#This Row],[Admission_Date]]</f>
        <v>6</v>
      </c>
      <c r="J366">
        <v>93</v>
      </c>
      <c r="K366" t="s">
        <v>15</v>
      </c>
      <c r="L366" t="s">
        <v>16</v>
      </c>
      <c r="M366">
        <f>IF(Table3[[#This Row],[Treatment_Success]]="Yes",1,0)</f>
        <v>1</v>
      </c>
      <c r="N366">
        <v>161530</v>
      </c>
    </row>
    <row r="367" spans="1:14" x14ac:dyDescent="0.35">
      <c r="A367" t="s">
        <v>414</v>
      </c>
      <c r="B367">
        <v>36</v>
      </c>
      <c r="C367" t="str">
        <f>_xlfn.IFS(Table3[[#This Row],[Age]]&lt;=10, "Child",Table3[[#This Row],[Age]]&lt;18, "Teenger", Table3[[#This Row],[Age]]&lt;30, "Middle Age", Table3[[#This Row],[Age]]&lt; 60,"Adult",Table3[[#This Row],[Age]],"Senior Citizen")</f>
        <v>Adult</v>
      </c>
      <c r="D367" t="s">
        <v>18</v>
      </c>
      <c r="E367" t="s">
        <v>31</v>
      </c>
      <c r="F367" t="s">
        <v>49</v>
      </c>
      <c r="G367" s="1">
        <v>45404</v>
      </c>
      <c r="H367" s="1">
        <v>45405</v>
      </c>
      <c r="I367" s="2">
        <f>Table3[[#This Row],[Discharge_Date]]-Table3[[#This Row],[Admission_Date]]</f>
        <v>1</v>
      </c>
      <c r="J367">
        <v>184</v>
      </c>
      <c r="K367" t="s">
        <v>36</v>
      </c>
      <c r="L367" t="s">
        <v>16</v>
      </c>
      <c r="M367">
        <f>IF(Table3[[#This Row],[Treatment_Success]]="Yes",1,0)</f>
        <v>1</v>
      </c>
      <c r="N367">
        <v>31249</v>
      </c>
    </row>
    <row r="368" spans="1:14" x14ac:dyDescent="0.35">
      <c r="A368" t="s">
        <v>415</v>
      </c>
      <c r="B368">
        <v>31</v>
      </c>
      <c r="C368" t="str">
        <f>_xlfn.IFS(Table3[[#This Row],[Age]]&lt;=10, "Child",Table3[[#This Row],[Age]]&lt;18, "Teenger", Table3[[#This Row],[Age]]&lt;30, "Middle Age", Table3[[#This Row],[Age]]&lt; 60,"Adult",Table3[[#This Row],[Age]],"Senior Citizen")</f>
        <v>Adult</v>
      </c>
      <c r="D368" t="s">
        <v>12</v>
      </c>
      <c r="E368" t="s">
        <v>28</v>
      </c>
      <c r="F368" t="s">
        <v>25</v>
      </c>
      <c r="G368" s="1">
        <v>45418</v>
      </c>
      <c r="H368" s="1">
        <v>45429</v>
      </c>
      <c r="I368" s="2">
        <f>Table3[[#This Row],[Discharge_Date]]-Table3[[#This Row],[Admission_Date]]</f>
        <v>11</v>
      </c>
      <c r="J368">
        <v>29</v>
      </c>
      <c r="K368" t="s">
        <v>36</v>
      </c>
      <c r="L368" t="s">
        <v>26</v>
      </c>
      <c r="M368">
        <f>IF(Table3[[#This Row],[Treatment_Success]]="Yes",1,0)</f>
        <v>0</v>
      </c>
      <c r="N368">
        <v>98009</v>
      </c>
    </row>
    <row r="369" spans="1:14" x14ac:dyDescent="0.35">
      <c r="A369" t="s">
        <v>416</v>
      </c>
      <c r="B369">
        <v>31</v>
      </c>
      <c r="C369" t="str">
        <f>_xlfn.IFS(Table3[[#This Row],[Age]]&lt;=10, "Child",Table3[[#This Row],[Age]]&lt;18, "Teenger", Table3[[#This Row],[Age]]&lt;30, "Middle Age", Table3[[#This Row],[Age]]&lt; 60,"Adult",Table3[[#This Row],[Age]],"Senior Citizen")</f>
        <v>Adult</v>
      </c>
      <c r="D369" t="s">
        <v>12</v>
      </c>
      <c r="E369" t="s">
        <v>38</v>
      </c>
      <c r="F369" t="s">
        <v>58</v>
      </c>
      <c r="G369" s="1">
        <v>45380</v>
      </c>
      <c r="H369" s="1">
        <v>45383</v>
      </c>
      <c r="I369" s="2">
        <f>Table3[[#This Row],[Discharge_Date]]-Table3[[#This Row],[Admission_Date]]</f>
        <v>3</v>
      </c>
      <c r="J369">
        <v>15</v>
      </c>
      <c r="K369" t="s">
        <v>33</v>
      </c>
      <c r="L369" t="s">
        <v>16</v>
      </c>
      <c r="M369">
        <f>IF(Table3[[#This Row],[Treatment_Success]]="Yes",1,0)</f>
        <v>1</v>
      </c>
      <c r="N369">
        <v>152615</v>
      </c>
    </row>
    <row r="370" spans="1:14" x14ac:dyDescent="0.35">
      <c r="A370" t="s">
        <v>417</v>
      </c>
      <c r="B370">
        <v>64</v>
      </c>
      <c r="C370" t="str">
        <f>_xlfn.IFS(Table3[[#This Row],[Age]]&lt;=10, "Child",Table3[[#This Row],[Age]]&lt;18, "Teenger", Table3[[#This Row],[Age]]&lt;30, "Middle Age", Table3[[#This Row],[Age]]&lt; 60,"Adult",Table3[[#This Row],[Age]],"Senior Citizen")</f>
        <v>Senior Citizen</v>
      </c>
      <c r="D370" t="s">
        <v>12</v>
      </c>
      <c r="E370" t="s">
        <v>13</v>
      </c>
      <c r="F370" t="s">
        <v>43</v>
      </c>
      <c r="G370" s="1">
        <v>45388</v>
      </c>
      <c r="H370" s="1">
        <v>45402</v>
      </c>
      <c r="I370" s="2">
        <f>Table3[[#This Row],[Discharge_Date]]-Table3[[#This Row],[Admission_Date]]</f>
        <v>14</v>
      </c>
      <c r="J370">
        <v>20</v>
      </c>
      <c r="K370" t="s">
        <v>15</v>
      </c>
      <c r="L370" t="s">
        <v>16</v>
      </c>
      <c r="M370">
        <f>IF(Table3[[#This Row],[Treatment_Success]]="Yes",1,0)</f>
        <v>1</v>
      </c>
      <c r="N370">
        <v>65980</v>
      </c>
    </row>
    <row r="371" spans="1:14" x14ac:dyDescent="0.35">
      <c r="A371" t="s">
        <v>418</v>
      </c>
      <c r="B371">
        <v>3</v>
      </c>
      <c r="C371" t="str">
        <f>_xlfn.IFS(Table3[[#This Row],[Age]]&lt;=10, "Child",Table3[[#This Row],[Age]]&lt;18, "Teenger", Table3[[#This Row],[Age]]&lt;30, "Middle Age", Table3[[#This Row],[Age]]&lt; 60,"Adult",Table3[[#This Row],[Age]],"Senior Citizen")</f>
        <v>Child</v>
      </c>
      <c r="D371" t="s">
        <v>12</v>
      </c>
      <c r="E371" t="s">
        <v>24</v>
      </c>
      <c r="F371" t="s">
        <v>95</v>
      </c>
      <c r="G371" s="1">
        <v>45600</v>
      </c>
      <c r="H371" s="1">
        <v>45604</v>
      </c>
      <c r="I371" s="2">
        <f>Table3[[#This Row],[Discharge_Date]]-Table3[[#This Row],[Admission_Date]]</f>
        <v>4</v>
      </c>
      <c r="J371">
        <v>104</v>
      </c>
      <c r="K371" t="s">
        <v>36</v>
      </c>
      <c r="L371" t="s">
        <v>16</v>
      </c>
      <c r="M371">
        <f>IF(Table3[[#This Row],[Treatment_Success]]="Yes",1,0)</f>
        <v>1</v>
      </c>
      <c r="N371">
        <v>192940</v>
      </c>
    </row>
    <row r="372" spans="1:14" x14ac:dyDescent="0.35">
      <c r="A372" t="s">
        <v>419</v>
      </c>
      <c r="B372">
        <v>42</v>
      </c>
      <c r="C372" t="str">
        <f>_xlfn.IFS(Table3[[#This Row],[Age]]&lt;=10, "Child",Table3[[#This Row],[Age]]&lt;18, "Teenger", Table3[[#This Row],[Age]]&lt;30, "Middle Age", Table3[[#This Row],[Age]]&lt; 60,"Adult",Table3[[#This Row],[Age]],"Senior Citizen")</f>
        <v>Adult</v>
      </c>
      <c r="D372" t="s">
        <v>18</v>
      </c>
      <c r="E372" t="s">
        <v>24</v>
      </c>
      <c r="F372" t="s">
        <v>106</v>
      </c>
      <c r="G372" s="1">
        <v>45382</v>
      </c>
      <c r="H372" s="1">
        <v>45397</v>
      </c>
      <c r="I372" s="2">
        <f>Table3[[#This Row],[Discharge_Date]]-Table3[[#This Row],[Admission_Date]]</f>
        <v>15</v>
      </c>
      <c r="J372">
        <v>73</v>
      </c>
      <c r="K372" t="s">
        <v>15</v>
      </c>
      <c r="L372" t="s">
        <v>16</v>
      </c>
      <c r="M372">
        <f>IF(Table3[[#This Row],[Treatment_Success]]="Yes",1,0)</f>
        <v>1</v>
      </c>
      <c r="N372">
        <v>24013</v>
      </c>
    </row>
    <row r="373" spans="1:14" x14ac:dyDescent="0.35">
      <c r="A373" t="s">
        <v>420</v>
      </c>
      <c r="B373">
        <v>85</v>
      </c>
      <c r="C373" t="str">
        <f>_xlfn.IFS(Table3[[#This Row],[Age]]&lt;=10, "Child",Table3[[#This Row],[Age]]&lt;18, "Teenger", Table3[[#This Row],[Age]]&lt;30, "Middle Age", Table3[[#This Row],[Age]]&lt; 60,"Adult",Table3[[#This Row],[Age]],"Senior Citizen")</f>
        <v>Senior Citizen</v>
      </c>
      <c r="D373" t="s">
        <v>12</v>
      </c>
      <c r="E373" t="s">
        <v>28</v>
      </c>
      <c r="F373" t="s">
        <v>90</v>
      </c>
      <c r="G373" s="1">
        <v>45483</v>
      </c>
      <c r="H373" s="1">
        <v>45495</v>
      </c>
      <c r="I373" s="2">
        <f>Table3[[#This Row],[Discharge_Date]]-Table3[[#This Row],[Admission_Date]]</f>
        <v>12</v>
      </c>
      <c r="J373">
        <v>173</v>
      </c>
      <c r="K373" t="s">
        <v>33</v>
      </c>
      <c r="L373" t="s">
        <v>16</v>
      </c>
      <c r="M373">
        <f>IF(Table3[[#This Row],[Treatment_Success]]="Yes",1,0)</f>
        <v>1</v>
      </c>
      <c r="N373">
        <v>40769</v>
      </c>
    </row>
    <row r="374" spans="1:14" x14ac:dyDescent="0.35">
      <c r="A374" t="s">
        <v>421</v>
      </c>
      <c r="B374">
        <v>56</v>
      </c>
      <c r="C374" t="str">
        <f>_xlfn.IFS(Table3[[#This Row],[Age]]&lt;=10, "Child",Table3[[#This Row],[Age]]&lt;18, "Teenger", Table3[[#This Row],[Age]]&lt;30, "Middle Age", Table3[[#This Row],[Age]]&lt; 60,"Adult",Table3[[#This Row],[Age]],"Senior Citizen")</f>
        <v>Adult</v>
      </c>
      <c r="D374" t="s">
        <v>12</v>
      </c>
      <c r="E374" t="s">
        <v>38</v>
      </c>
      <c r="F374" t="s">
        <v>66</v>
      </c>
      <c r="G374" s="1">
        <v>45372</v>
      </c>
      <c r="H374" s="1">
        <v>45384</v>
      </c>
      <c r="I374" s="2">
        <f>Table3[[#This Row],[Discharge_Date]]-Table3[[#This Row],[Admission_Date]]</f>
        <v>12</v>
      </c>
      <c r="J374">
        <v>288</v>
      </c>
      <c r="K374" t="s">
        <v>33</v>
      </c>
      <c r="L374" t="s">
        <v>16</v>
      </c>
      <c r="M374">
        <f>IF(Table3[[#This Row],[Treatment_Success]]="Yes",1,0)</f>
        <v>1</v>
      </c>
      <c r="N374">
        <v>179465</v>
      </c>
    </row>
    <row r="375" spans="1:14" x14ac:dyDescent="0.35">
      <c r="A375" t="s">
        <v>422</v>
      </c>
      <c r="B375">
        <v>23</v>
      </c>
      <c r="C375" t="str">
        <f>_xlfn.IFS(Table3[[#This Row],[Age]]&lt;=10, "Child",Table3[[#This Row],[Age]]&lt;18, "Teenger", Table3[[#This Row],[Age]]&lt;30, "Middle Age", Table3[[#This Row],[Age]]&lt; 60,"Adult",Table3[[#This Row],[Age]],"Senior Citizen")</f>
        <v>Middle Age</v>
      </c>
      <c r="D375" t="s">
        <v>12</v>
      </c>
      <c r="E375" t="s">
        <v>38</v>
      </c>
      <c r="F375" t="s">
        <v>25</v>
      </c>
      <c r="G375" s="1">
        <v>45593</v>
      </c>
      <c r="H375" s="1">
        <v>45607</v>
      </c>
      <c r="I375" s="2">
        <f>Table3[[#This Row],[Discharge_Date]]-Table3[[#This Row],[Admission_Date]]</f>
        <v>14</v>
      </c>
      <c r="J375">
        <v>151</v>
      </c>
      <c r="K375" t="s">
        <v>36</v>
      </c>
      <c r="L375" t="s">
        <v>16</v>
      </c>
      <c r="M375">
        <f>IF(Table3[[#This Row],[Treatment_Success]]="Yes",1,0)</f>
        <v>1</v>
      </c>
      <c r="N375">
        <v>196058</v>
      </c>
    </row>
    <row r="376" spans="1:14" x14ac:dyDescent="0.35">
      <c r="A376" t="s">
        <v>423</v>
      </c>
      <c r="B376">
        <v>74</v>
      </c>
      <c r="C376" t="str">
        <f>_xlfn.IFS(Table3[[#This Row],[Age]]&lt;=10, "Child",Table3[[#This Row],[Age]]&lt;18, "Teenger", Table3[[#This Row],[Age]]&lt;30, "Middle Age", Table3[[#This Row],[Age]]&lt; 60,"Adult",Table3[[#This Row],[Age]],"Senior Citizen")</f>
        <v>Senior Citizen</v>
      </c>
      <c r="D376" t="s">
        <v>12</v>
      </c>
      <c r="E376" t="s">
        <v>28</v>
      </c>
      <c r="F376" t="s">
        <v>52</v>
      </c>
      <c r="G376" s="1">
        <v>45292</v>
      </c>
      <c r="H376" s="1">
        <v>45304</v>
      </c>
      <c r="I376" s="2">
        <f>Table3[[#This Row],[Discharge_Date]]-Table3[[#This Row],[Admission_Date]]</f>
        <v>12</v>
      </c>
      <c r="J376">
        <v>94</v>
      </c>
      <c r="K376" t="s">
        <v>33</v>
      </c>
      <c r="L376" t="s">
        <v>16</v>
      </c>
      <c r="M376">
        <f>IF(Table3[[#This Row],[Treatment_Success]]="Yes",1,0)</f>
        <v>1</v>
      </c>
      <c r="N376">
        <v>172679</v>
      </c>
    </row>
    <row r="377" spans="1:14" x14ac:dyDescent="0.35">
      <c r="A377" t="s">
        <v>424</v>
      </c>
      <c r="B377">
        <v>64</v>
      </c>
      <c r="C377" t="str">
        <f>_xlfn.IFS(Table3[[#This Row],[Age]]&lt;=10, "Child",Table3[[#This Row],[Age]]&lt;18, "Teenger", Table3[[#This Row],[Age]]&lt;30, "Middle Age", Table3[[#This Row],[Age]]&lt; 60,"Adult",Table3[[#This Row],[Age]],"Senior Citizen")</f>
        <v>Senior Citizen</v>
      </c>
      <c r="D377" t="s">
        <v>18</v>
      </c>
      <c r="E377" t="s">
        <v>38</v>
      </c>
      <c r="F377" t="s">
        <v>25</v>
      </c>
      <c r="G377" s="1">
        <v>45581</v>
      </c>
      <c r="H377" s="1">
        <v>45583</v>
      </c>
      <c r="I377" s="2">
        <f>Table3[[#This Row],[Discharge_Date]]-Table3[[#This Row],[Admission_Date]]</f>
        <v>2</v>
      </c>
      <c r="J377">
        <v>40</v>
      </c>
      <c r="K377" t="s">
        <v>36</v>
      </c>
      <c r="L377" t="s">
        <v>16</v>
      </c>
      <c r="M377">
        <f>IF(Table3[[#This Row],[Treatment_Success]]="Yes",1,0)</f>
        <v>1</v>
      </c>
      <c r="N377">
        <v>88759</v>
      </c>
    </row>
    <row r="378" spans="1:14" x14ac:dyDescent="0.35">
      <c r="A378" t="s">
        <v>425</v>
      </c>
      <c r="B378">
        <v>12</v>
      </c>
      <c r="C378" t="str">
        <f>_xlfn.IFS(Table3[[#This Row],[Age]]&lt;=10, "Child",Table3[[#This Row],[Age]]&lt;18, "Teenger", Table3[[#This Row],[Age]]&lt;30, "Middle Age", Table3[[#This Row],[Age]]&lt; 60,"Adult",Table3[[#This Row],[Age]],"Senior Citizen")</f>
        <v>Teenger</v>
      </c>
      <c r="D378" t="s">
        <v>12</v>
      </c>
      <c r="E378" t="s">
        <v>31</v>
      </c>
      <c r="F378" t="s">
        <v>80</v>
      </c>
      <c r="G378" s="1">
        <v>45377</v>
      </c>
      <c r="H378" s="1">
        <v>45388</v>
      </c>
      <c r="I378" s="2">
        <f>Table3[[#This Row],[Discharge_Date]]-Table3[[#This Row],[Admission_Date]]</f>
        <v>11</v>
      </c>
      <c r="J378">
        <v>136</v>
      </c>
      <c r="K378" t="s">
        <v>36</v>
      </c>
      <c r="L378" t="s">
        <v>16</v>
      </c>
      <c r="M378">
        <f>IF(Table3[[#This Row],[Treatment_Success]]="Yes",1,0)</f>
        <v>1</v>
      </c>
      <c r="N378">
        <v>186711</v>
      </c>
    </row>
    <row r="379" spans="1:14" x14ac:dyDescent="0.35">
      <c r="A379" t="s">
        <v>426</v>
      </c>
      <c r="B379">
        <v>33</v>
      </c>
      <c r="C379" t="str">
        <f>_xlfn.IFS(Table3[[#This Row],[Age]]&lt;=10, "Child",Table3[[#This Row],[Age]]&lt;18, "Teenger", Table3[[#This Row],[Age]]&lt;30, "Middle Age", Table3[[#This Row],[Age]]&lt; 60,"Adult",Table3[[#This Row],[Age]],"Senior Citizen")</f>
        <v>Adult</v>
      </c>
      <c r="D379" t="s">
        <v>18</v>
      </c>
      <c r="E379" t="s">
        <v>24</v>
      </c>
      <c r="F379" t="s">
        <v>52</v>
      </c>
      <c r="G379" s="1">
        <v>45326</v>
      </c>
      <c r="H379" s="1">
        <v>45332</v>
      </c>
      <c r="I379" s="2">
        <f>Table3[[#This Row],[Discharge_Date]]-Table3[[#This Row],[Admission_Date]]</f>
        <v>6</v>
      </c>
      <c r="J379">
        <v>198</v>
      </c>
      <c r="K379" t="s">
        <v>46</v>
      </c>
      <c r="L379" t="s">
        <v>26</v>
      </c>
      <c r="M379">
        <f>IF(Table3[[#This Row],[Treatment_Success]]="Yes",1,0)</f>
        <v>0</v>
      </c>
      <c r="N379">
        <v>48604</v>
      </c>
    </row>
    <row r="380" spans="1:14" x14ac:dyDescent="0.35">
      <c r="A380" t="s">
        <v>427</v>
      </c>
      <c r="B380">
        <v>49</v>
      </c>
      <c r="C380" t="str">
        <f>_xlfn.IFS(Table3[[#This Row],[Age]]&lt;=10, "Child",Table3[[#This Row],[Age]]&lt;18, "Teenger", Table3[[#This Row],[Age]]&lt;30, "Middle Age", Table3[[#This Row],[Age]]&lt; 60,"Adult",Table3[[#This Row],[Age]],"Senior Citizen")</f>
        <v>Adult</v>
      </c>
      <c r="D380" t="s">
        <v>12</v>
      </c>
      <c r="E380" t="s">
        <v>28</v>
      </c>
      <c r="F380" t="s">
        <v>56</v>
      </c>
      <c r="G380" s="1">
        <v>45503</v>
      </c>
      <c r="H380" s="1">
        <v>45511</v>
      </c>
      <c r="I380" s="2">
        <f>Table3[[#This Row],[Discharge_Date]]-Table3[[#This Row],[Admission_Date]]</f>
        <v>8</v>
      </c>
      <c r="J380">
        <v>52</v>
      </c>
      <c r="K380" t="s">
        <v>46</v>
      </c>
      <c r="L380" t="s">
        <v>16</v>
      </c>
      <c r="M380">
        <f>IF(Table3[[#This Row],[Treatment_Success]]="Yes",1,0)</f>
        <v>1</v>
      </c>
      <c r="N380">
        <v>47639</v>
      </c>
    </row>
    <row r="381" spans="1:14" x14ac:dyDescent="0.35">
      <c r="A381" t="s">
        <v>428</v>
      </c>
      <c r="B381">
        <v>5</v>
      </c>
      <c r="C381" t="str">
        <f>_xlfn.IFS(Table3[[#This Row],[Age]]&lt;=10, "Child",Table3[[#This Row],[Age]]&lt;18, "Teenger", Table3[[#This Row],[Age]]&lt;30, "Middle Age", Table3[[#This Row],[Age]]&lt; 60,"Adult",Table3[[#This Row],[Age]],"Senior Citizen")</f>
        <v>Child</v>
      </c>
      <c r="D381" t="s">
        <v>12</v>
      </c>
      <c r="E381" t="s">
        <v>24</v>
      </c>
      <c r="F381" t="s">
        <v>95</v>
      </c>
      <c r="G381" s="1">
        <v>45523</v>
      </c>
      <c r="H381" s="1">
        <v>45525</v>
      </c>
      <c r="I381" s="2">
        <f>Table3[[#This Row],[Discharge_Date]]-Table3[[#This Row],[Admission_Date]]</f>
        <v>2</v>
      </c>
      <c r="J381">
        <v>134</v>
      </c>
      <c r="K381" t="s">
        <v>15</v>
      </c>
      <c r="L381" t="s">
        <v>16</v>
      </c>
      <c r="M381">
        <f>IF(Table3[[#This Row],[Treatment_Success]]="Yes",1,0)</f>
        <v>1</v>
      </c>
      <c r="N381">
        <v>94602</v>
      </c>
    </row>
    <row r="382" spans="1:14" x14ac:dyDescent="0.35">
      <c r="A382" t="s">
        <v>429</v>
      </c>
      <c r="B382">
        <v>49</v>
      </c>
      <c r="C382" t="str">
        <f>_xlfn.IFS(Table3[[#This Row],[Age]]&lt;=10, "Child",Table3[[#This Row],[Age]]&lt;18, "Teenger", Table3[[#This Row],[Age]]&lt;30, "Middle Age", Table3[[#This Row],[Age]]&lt; 60,"Adult",Table3[[#This Row],[Age]],"Senior Citizen")</f>
        <v>Adult</v>
      </c>
      <c r="D382" t="s">
        <v>18</v>
      </c>
      <c r="E382" t="s">
        <v>24</v>
      </c>
      <c r="F382" t="s">
        <v>61</v>
      </c>
      <c r="G382" s="1">
        <v>45379</v>
      </c>
      <c r="H382" s="1">
        <v>45394</v>
      </c>
      <c r="I382" s="2">
        <f>Table3[[#This Row],[Discharge_Date]]-Table3[[#This Row],[Admission_Date]]</f>
        <v>15</v>
      </c>
      <c r="J382">
        <v>48</v>
      </c>
      <c r="K382" t="s">
        <v>33</v>
      </c>
      <c r="L382" t="s">
        <v>26</v>
      </c>
      <c r="M382">
        <f>IF(Table3[[#This Row],[Treatment_Success]]="Yes",1,0)</f>
        <v>0</v>
      </c>
      <c r="N382">
        <v>189681</v>
      </c>
    </row>
    <row r="383" spans="1:14" x14ac:dyDescent="0.35">
      <c r="A383" t="s">
        <v>430</v>
      </c>
      <c r="B383">
        <v>84</v>
      </c>
      <c r="C383" t="str">
        <f>_xlfn.IFS(Table3[[#This Row],[Age]]&lt;=10, "Child",Table3[[#This Row],[Age]]&lt;18, "Teenger", Table3[[#This Row],[Age]]&lt;30, "Middle Age", Table3[[#This Row],[Age]]&lt; 60,"Adult",Table3[[#This Row],[Age]],"Senior Citizen")</f>
        <v>Senior Citizen</v>
      </c>
      <c r="D383" t="s">
        <v>18</v>
      </c>
      <c r="E383" t="s">
        <v>28</v>
      </c>
      <c r="F383" t="s">
        <v>93</v>
      </c>
      <c r="G383" s="1">
        <v>45307</v>
      </c>
      <c r="H383" s="1">
        <v>45314</v>
      </c>
      <c r="I383" s="2">
        <f>Table3[[#This Row],[Discharge_Date]]-Table3[[#This Row],[Admission_Date]]</f>
        <v>7</v>
      </c>
      <c r="J383">
        <v>81</v>
      </c>
      <c r="K383" t="s">
        <v>15</v>
      </c>
      <c r="L383" t="s">
        <v>16</v>
      </c>
      <c r="M383">
        <f>IF(Table3[[#This Row],[Treatment_Success]]="Yes",1,0)</f>
        <v>1</v>
      </c>
      <c r="N383">
        <v>91794</v>
      </c>
    </row>
    <row r="384" spans="1:14" x14ac:dyDescent="0.35">
      <c r="A384" t="s">
        <v>431</v>
      </c>
      <c r="B384">
        <v>53</v>
      </c>
      <c r="C384" t="str">
        <f>_xlfn.IFS(Table3[[#This Row],[Age]]&lt;=10, "Child",Table3[[#This Row],[Age]]&lt;18, "Teenger", Table3[[#This Row],[Age]]&lt;30, "Middle Age", Table3[[#This Row],[Age]]&lt; 60,"Adult",Table3[[#This Row],[Age]],"Senior Citizen")</f>
        <v>Adult</v>
      </c>
      <c r="D384" t="s">
        <v>12</v>
      </c>
      <c r="E384" t="s">
        <v>38</v>
      </c>
      <c r="F384" t="s">
        <v>83</v>
      </c>
      <c r="G384" s="1">
        <v>45397</v>
      </c>
      <c r="H384" s="1">
        <v>45401</v>
      </c>
      <c r="I384" s="2">
        <f>Table3[[#This Row],[Discharge_Date]]-Table3[[#This Row],[Admission_Date]]</f>
        <v>4</v>
      </c>
      <c r="J384">
        <v>122</v>
      </c>
      <c r="K384" t="s">
        <v>15</v>
      </c>
      <c r="L384" t="s">
        <v>16</v>
      </c>
      <c r="M384">
        <f>IF(Table3[[#This Row],[Treatment_Success]]="Yes",1,0)</f>
        <v>1</v>
      </c>
      <c r="N384">
        <v>107996</v>
      </c>
    </row>
    <row r="385" spans="1:14" x14ac:dyDescent="0.35">
      <c r="A385" t="s">
        <v>432</v>
      </c>
      <c r="B385">
        <v>63</v>
      </c>
      <c r="C385" t="str">
        <f>_xlfn.IFS(Table3[[#This Row],[Age]]&lt;=10, "Child",Table3[[#This Row],[Age]]&lt;18, "Teenger", Table3[[#This Row],[Age]]&lt;30, "Middle Age", Table3[[#This Row],[Age]]&lt; 60,"Adult",Table3[[#This Row],[Age]],"Senior Citizen")</f>
        <v>Senior Citizen</v>
      </c>
      <c r="D385" t="s">
        <v>18</v>
      </c>
      <c r="E385" t="s">
        <v>24</v>
      </c>
      <c r="F385" t="s">
        <v>63</v>
      </c>
      <c r="G385" s="1">
        <v>45584</v>
      </c>
      <c r="H385" s="1">
        <v>45593</v>
      </c>
      <c r="I385" s="2">
        <f>Table3[[#This Row],[Discharge_Date]]-Table3[[#This Row],[Admission_Date]]</f>
        <v>9</v>
      </c>
      <c r="J385">
        <v>2</v>
      </c>
      <c r="K385" t="s">
        <v>46</v>
      </c>
      <c r="L385" t="s">
        <v>16</v>
      </c>
      <c r="M385">
        <f>IF(Table3[[#This Row],[Treatment_Success]]="Yes",1,0)</f>
        <v>1</v>
      </c>
      <c r="N385">
        <v>82214</v>
      </c>
    </row>
    <row r="386" spans="1:14" x14ac:dyDescent="0.35">
      <c r="A386" t="s">
        <v>433</v>
      </c>
      <c r="B386">
        <v>77</v>
      </c>
      <c r="C386" t="str">
        <f>_xlfn.IFS(Table3[[#This Row],[Age]]&lt;=10, "Child",Table3[[#This Row],[Age]]&lt;18, "Teenger", Table3[[#This Row],[Age]]&lt;30, "Middle Age", Table3[[#This Row],[Age]]&lt; 60,"Adult",Table3[[#This Row],[Age]],"Senior Citizen")</f>
        <v>Senior Citizen</v>
      </c>
      <c r="D386" t="s">
        <v>12</v>
      </c>
      <c r="E386" t="s">
        <v>13</v>
      </c>
      <c r="F386" t="s">
        <v>90</v>
      </c>
      <c r="G386" s="1">
        <v>45630</v>
      </c>
      <c r="H386" s="1">
        <v>45641</v>
      </c>
      <c r="I386" s="2">
        <f>Table3[[#This Row],[Discharge_Date]]-Table3[[#This Row],[Admission_Date]]</f>
        <v>11</v>
      </c>
      <c r="J386">
        <v>14</v>
      </c>
      <c r="K386" t="s">
        <v>36</v>
      </c>
      <c r="L386" t="s">
        <v>16</v>
      </c>
      <c r="M386">
        <f>IF(Table3[[#This Row],[Treatment_Success]]="Yes",1,0)</f>
        <v>1</v>
      </c>
      <c r="N386">
        <v>172297</v>
      </c>
    </row>
    <row r="387" spans="1:14" x14ac:dyDescent="0.35">
      <c r="A387" t="s">
        <v>434</v>
      </c>
      <c r="B387">
        <v>61</v>
      </c>
      <c r="C387" t="str">
        <f>_xlfn.IFS(Table3[[#This Row],[Age]]&lt;=10, "Child",Table3[[#This Row],[Age]]&lt;18, "Teenger", Table3[[#This Row],[Age]]&lt;30, "Middle Age", Table3[[#This Row],[Age]]&lt; 60,"Adult",Table3[[#This Row],[Age]],"Senior Citizen")</f>
        <v>Senior Citizen</v>
      </c>
      <c r="D387" t="s">
        <v>18</v>
      </c>
      <c r="E387" t="s">
        <v>38</v>
      </c>
      <c r="F387" t="s">
        <v>56</v>
      </c>
      <c r="G387" s="1">
        <v>45441</v>
      </c>
      <c r="H387" s="1">
        <v>45443</v>
      </c>
      <c r="I387" s="2">
        <f>Table3[[#This Row],[Discharge_Date]]-Table3[[#This Row],[Admission_Date]]</f>
        <v>2</v>
      </c>
      <c r="J387">
        <v>242</v>
      </c>
      <c r="K387" t="s">
        <v>46</v>
      </c>
      <c r="L387" t="s">
        <v>16</v>
      </c>
      <c r="M387">
        <f>IF(Table3[[#This Row],[Treatment_Success]]="Yes",1,0)</f>
        <v>1</v>
      </c>
      <c r="N387">
        <v>28890</v>
      </c>
    </row>
    <row r="388" spans="1:14" x14ac:dyDescent="0.35">
      <c r="A388" t="s">
        <v>435</v>
      </c>
      <c r="B388">
        <v>50</v>
      </c>
      <c r="C388" t="str">
        <f>_xlfn.IFS(Table3[[#This Row],[Age]]&lt;=10, "Child",Table3[[#This Row],[Age]]&lt;18, "Teenger", Table3[[#This Row],[Age]]&lt;30, "Middle Age", Table3[[#This Row],[Age]]&lt; 60,"Adult",Table3[[#This Row],[Age]],"Senior Citizen")</f>
        <v>Adult</v>
      </c>
      <c r="D388" t="s">
        <v>18</v>
      </c>
      <c r="E388" t="s">
        <v>38</v>
      </c>
      <c r="F388" t="s">
        <v>56</v>
      </c>
      <c r="G388" s="1">
        <v>45620</v>
      </c>
      <c r="H388" s="1">
        <v>45629</v>
      </c>
      <c r="I388" s="2">
        <f>Table3[[#This Row],[Discharge_Date]]-Table3[[#This Row],[Admission_Date]]</f>
        <v>9</v>
      </c>
      <c r="J388">
        <v>190</v>
      </c>
      <c r="K388" t="s">
        <v>36</v>
      </c>
      <c r="L388" t="s">
        <v>26</v>
      </c>
      <c r="M388">
        <f>IF(Table3[[#This Row],[Treatment_Success]]="Yes",1,0)</f>
        <v>0</v>
      </c>
      <c r="N388">
        <v>16696</v>
      </c>
    </row>
    <row r="389" spans="1:14" x14ac:dyDescent="0.35">
      <c r="A389" t="s">
        <v>436</v>
      </c>
      <c r="B389">
        <v>60</v>
      </c>
      <c r="C389" t="str">
        <f>_xlfn.IFS(Table3[[#This Row],[Age]]&lt;=10, "Child",Table3[[#This Row],[Age]]&lt;18, "Teenger", Table3[[#This Row],[Age]]&lt;30, "Middle Age", Table3[[#This Row],[Age]]&lt; 60,"Adult",Table3[[#This Row],[Age]],"Senior Citizen")</f>
        <v>Senior Citizen</v>
      </c>
      <c r="D389" t="s">
        <v>12</v>
      </c>
      <c r="E389" t="s">
        <v>13</v>
      </c>
      <c r="F389" t="s">
        <v>32</v>
      </c>
      <c r="G389" s="1">
        <v>45426</v>
      </c>
      <c r="H389" s="1">
        <v>45434</v>
      </c>
      <c r="I389" s="2">
        <f>Table3[[#This Row],[Discharge_Date]]-Table3[[#This Row],[Admission_Date]]</f>
        <v>8</v>
      </c>
      <c r="J389">
        <v>289</v>
      </c>
      <c r="K389" t="s">
        <v>15</v>
      </c>
      <c r="L389" t="s">
        <v>16</v>
      </c>
      <c r="M389">
        <f>IF(Table3[[#This Row],[Treatment_Success]]="Yes",1,0)</f>
        <v>1</v>
      </c>
      <c r="N389">
        <v>187575</v>
      </c>
    </row>
    <row r="390" spans="1:14" x14ac:dyDescent="0.35">
      <c r="A390" t="s">
        <v>437</v>
      </c>
      <c r="B390">
        <v>11</v>
      </c>
      <c r="C390" t="str">
        <f>_xlfn.IFS(Table3[[#This Row],[Age]]&lt;=10, "Child",Table3[[#This Row],[Age]]&lt;18, "Teenger", Table3[[#This Row],[Age]]&lt;30, "Middle Age", Table3[[#This Row],[Age]]&lt; 60,"Adult",Table3[[#This Row],[Age]],"Senior Citizen")</f>
        <v>Teenger</v>
      </c>
      <c r="D390" t="s">
        <v>12</v>
      </c>
      <c r="E390" t="s">
        <v>28</v>
      </c>
      <c r="F390" t="s">
        <v>93</v>
      </c>
      <c r="G390" s="1">
        <v>45633</v>
      </c>
      <c r="H390" s="1">
        <v>45635</v>
      </c>
      <c r="I390" s="2">
        <f>Table3[[#This Row],[Discharge_Date]]-Table3[[#This Row],[Admission_Date]]</f>
        <v>2</v>
      </c>
      <c r="J390">
        <v>117</v>
      </c>
      <c r="K390" t="s">
        <v>15</v>
      </c>
      <c r="L390" t="s">
        <v>26</v>
      </c>
      <c r="M390">
        <f>IF(Table3[[#This Row],[Treatment_Success]]="Yes",1,0)</f>
        <v>0</v>
      </c>
      <c r="N390">
        <v>141991</v>
      </c>
    </row>
    <row r="391" spans="1:14" x14ac:dyDescent="0.35">
      <c r="A391" t="s">
        <v>438</v>
      </c>
      <c r="B391">
        <v>88</v>
      </c>
      <c r="C391" t="str">
        <f>_xlfn.IFS(Table3[[#This Row],[Age]]&lt;=10, "Child",Table3[[#This Row],[Age]]&lt;18, "Teenger", Table3[[#This Row],[Age]]&lt;30, "Middle Age", Table3[[#This Row],[Age]]&lt; 60,"Adult",Table3[[#This Row],[Age]],"Senior Citizen")</f>
        <v>Senior Citizen</v>
      </c>
      <c r="D391" t="s">
        <v>12</v>
      </c>
      <c r="E391" t="s">
        <v>28</v>
      </c>
      <c r="F391" t="s">
        <v>14</v>
      </c>
      <c r="G391" s="1">
        <v>45506</v>
      </c>
      <c r="H391" s="1">
        <v>45515</v>
      </c>
      <c r="I391" s="2">
        <f>Table3[[#This Row],[Discharge_Date]]-Table3[[#This Row],[Admission_Date]]</f>
        <v>9</v>
      </c>
      <c r="J391">
        <v>244</v>
      </c>
      <c r="K391" t="s">
        <v>33</v>
      </c>
      <c r="L391" t="s">
        <v>16</v>
      </c>
      <c r="M391">
        <f>IF(Table3[[#This Row],[Treatment_Success]]="Yes",1,0)</f>
        <v>1</v>
      </c>
      <c r="N391">
        <v>108495</v>
      </c>
    </row>
    <row r="392" spans="1:14" x14ac:dyDescent="0.35">
      <c r="A392" t="s">
        <v>439</v>
      </c>
      <c r="B392">
        <v>74</v>
      </c>
      <c r="C392" t="str">
        <f>_xlfn.IFS(Table3[[#This Row],[Age]]&lt;=10, "Child",Table3[[#This Row],[Age]]&lt;18, "Teenger", Table3[[#This Row],[Age]]&lt;30, "Middle Age", Table3[[#This Row],[Age]]&lt; 60,"Adult",Table3[[#This Row],[Age]],"Senior Citizen")</f>
        <v>Senior Citizen</v>
      </c>
      <c r="D392" t="s">
        <v>18</v>
      </c>
      <c r="E392" t="s">
        <v>24</v>
      </c>
      <c r="F392" t="s">
        <v>22</v>
      </c>
      <c r="G392" s="1">
        <v>45309</v>
      </c>
      <c r="H392" s="1">
        <v>45318</v>
      </c>
      <c r="I392" s="2">
        <f>Table3[[#This Row],[Discharge_Date]]-Table3[[#This Row],[Admission_Date]]</f>
        <v>9</v>
      </c>
      <c r="J392">
        <v>230</v>
      </c>
      <c r="K392" t="s">
        <v>36</v>
      </c>
      <c r="L392" t="s">
        <v>16</v>
      </c>
      <c r="M392">
        <f>IF(Table3[[#This Row],[Treatment_Success]]="Yes",1,0)</f>
        <v>1</v>
      </c>
      <c r="N392">
        <v>60545</v>
      </c>
    </row>
    <row r="393" spans="1:14" x14ac:dyDescent="0.35">
      <c r="A393" t="s">
        <v>440</v>
      </c>
      <c r="B393">
        <v>6</v>
      </c>
      <c r="C393" t="str">
        <f>_xlfn.IFS(Table3[[#This Row],[Age]]&lt;=10, "Child",Table3[[#This Row],[Age]]&lt;18, "Teenger", Table3[[#This Row],[Age]]&lt;30, "Middle Age", Table3[[#This Row],[Age]]&lt; 60,"Adult",Table3[[#This Row],[Age]],"Senior Citizen")</f>
        <v>Child</v>
      </c>
      <c r="D393" t="s">
        <v>12</v>
      </c>
      <c r="E393" t="s">
        <v>24</v>
      </c>
      <c r="F393" t="s">
        <v>54</v>
      </c>
      <c r="G393" s="1">
        <v>45390</v>
      </c>
      <c r="H393" s="1">
        <v>45393</v>
      </c>
      <c r="I393" s="2">
        <f>Table3[[#This Row],[Discharge_Date]]-Table3[[#This Row],[Admission_Date]]</f>
        <v>3</v>
      </c>
      <c r="J393">
        <v>223</v>
      </c>
      <c r="K393" t="s">
        <v>36</v>
      </c>
      <c r="L393" t="s">
        <v>16</v>
      </c>
      <c r="M393">
        <f>IF(Table3[[#This Row],[Treatment_Success]]="Yes",1,0)</f>
        <v>1</v>
      </c>
      <c r="N393">
        <v>160988</v>
      </c>
    </row>
    <row r="394" spans="1:14" x14ac:dyDescent="0.35">
      <c r="A394" t="s">
        <v>441</v>
      </c>
      <c r="B394">
        <v>9</v>
      </c>
      <c r="C394" t="str">
        <f>_xlfn.IFS(Table3[[#This Row],[Age]]&lt;=10, "Child",Table3[[#This Row],[Age]]&lt;18, "Teenger", Table3[[#This Row],[Age]]&lt;30, "Middle Age", Table3[[#This Row],[Age]]&lt; 60,"Adult",Table3[[#This Row],[Age]],"Senior Citizen")</f>
        <v>Child</v>
      </c>
      <c r="D394" t="s">
        <v>18</v>
      </c>
      <c r="E394" t="s">
        <v>31</v>
      </c>
      <c r="F394" t="s">
        <v>61</v>
      </c>
      <c r="G394" s="1">
        <v>45424</v>
      </c>
      <c r="H394" s="1">
        <v>45430</v>
      </c>
      <c r="I394" s="2">
        <f>Table3[[#This Row],[Discharge_Date]]-Table3[[#This Row],[Admission_Date]]</f>
        <v>6</v>
      </c>
      <c r="J394">
        <v>204</v>
      </c>
      <c r="K394" t="s">
        <v>33</v>
      </c>
      <c r="L394" t="s">
        <v>16</v>
      </c>
      <c r="M394">
        <f>IF(Table3[[#This Row],[Treatment_Success]]="Yes",1,0)</f>
        <v>1</v>
      </c>
      <c r="N394">
        <v>141233</v>
      </c>
    </row>
    <row r="395" spans="1:14" x14ac:dyDescent="0.35">
      <c r="A395" t="s">
        <v>442</v>
      </c>
      <c r="B395">
        <v>2</v>
      </c>
      <c r="C395" t="str">
        <f>_xlfn.IFS(Table3[[#This Row],[Age]]&lt;=10, "Child",Table3[[#This Row],[Age]]&lt;18, "Teenger", Table3[[#This Row],[Age]]&lt;30, "Middle Age", Table3[[#This Row],[Age]]&lt; 60,"Adult",Table3[[#This Row],[Age]],"Senior Citizen")</f>
        <v>Child</v>
      </c>
      <c r="D395" t="s">
        <v>12</v>
      </c>
      <c r="E395" t="s">
        <v>24</v>
      </c>
      <c r="F395" t="s">
        <v>93</v>
      </c>
      <c r="G395" s="1">
        <v>45526</v>
      </c>
      <c r="H395" s="1">
        <v>45541</v>
      </c>
      <c r="I395" s="2">
        <f>Table3[[#This Row],[Discharge_Date]]-Table3[[#This Row],[Admission_Date]]</f>
        <v>15</v>
      </c>
      <c r="J395">
        <v>77</v>
      </c>
      <c r="K395" t="s">
        <v>36</v>
      </c>
      <c r="L395" t="s">
        <v>16</v>
      </c>
      <c r="M395">
        <f>IF(Table3[[#This Row],[Treatment_Success]]="Yes",1,0)</f>
        <v>1</v>
      </c>
      <c r="N395">
        <v>32691</v>
      </c>
    </row>
    <row r="396" spans="1:14" x14ac:dyDescent="0.35">
      <c r="A396" t="s">
        <v>443</v>
      </c>
      <c r="B396">
        <v>13</v>
      </c>
      <c r="C396" t="str">
        <f>_xlfn.IFS(Table3[[#This Row],[Age]]&lt;=10, "Child",Table3[[#This Row],[Age]]&lt;18, "Teenger", Table3[[#This Row],[Age]]&lt;30, "Middle Age", Table3[[#This Row],[Age]]&lt; 60,"Adult",Table3[[#This Row],[Age]],"Senior Citizen")</f>
        <v>Teenger</v>
      </c>
      <c r="D396" t="s">
        <v>12</v>
      </c>
      <c r="E396" t="s">
        <v>28</v>
      </c>
      <c r="F396" t="s">
        <v>63</v>
      </c>
      <c r="G396" s="1">
        <v>45580</v>
      </c>
      <c r="H396" s="1">
        <v>45593</v>
      </c>
      <c r="I396" s="2">
        <f>Table3[[#This Row],[Discharge_Date]]-Table3[[#This Row],[Admission_Date]]</f>
        <v>13</v>
      </c>
      <c r="J396">
        <v>211</v>
      </c>
      <c r="K396" t="s">
        <v>33</v>
      </c>
      <c r="L396" t="s">
        <v>26</v>
      </c>
      <c r="M396">
        <f>IF(Table3[[#This Row],[Treatment_Success]]="Yes",1,0)</f>
        <v>0</v>
      </c>
      <c r="N396">
        <v>176648</v>
      </c>
    </row>
    <row r="397" spans="1:14" x14ac:dyDescent="0.35">
      <c r="A397" t="s">
        <v>444</v>
      </c>
      <c r="B397">
        <v>78</v>
      </c>
      <c r="C397" t="str">
        <f>_xlfn.IFS(Table3[[#This Row],[Age]]&lt;=10, "Child",Table3[[#This Row],[Age]]&lt;18, "Teenger", Table3[[#This Row],[Age]]&lt;30, "Middle Age", Table3[[#This Row],[Age]]&lt; 60,"Adult",Table3[[#This Row],[Age]],"Senior Citizen")</f>
        <v>Senior Citizen</v>
      </c>
      <c r="D397" t="s">
        <v>12</v>
      </c>
      <c r="E397" t="s">
        <v>24</v>
      </c>
      <c r="F397" t="s">
        <v>66</v>
      </c>
      <c r="G397" s="1">
        <v>45540</v>
      </c>
      <c r="H397" s="1">
        <v>45550</v>
      </c>
      <c r="I397" s="2">
        <f>Table3[[#This Row],[Discharge_Date]]-Table3[[#This Row],[Admission_Date]]</f>
        <v>10</v>
      </c>
      <c r="J397">
        <v>142</v>
      </c>
      <c r="K397" t="s">
        <v>46</v>
      </c>
      <c r="L397" t="s">
        <v>16</v>
      </c>
      <c r="M397">
        <f>IF(Table3[[#This Row],[Treatment_Success]]="Yes",1,0)</f>
        <v>1</v>
      </c>
      <c r="N397">
        <v>167069</v>
      </c>
    </row>
    <row r="398" spans="1:14" x14ac:dyDescent="0.35">
      <c r="A398" t="s">
        <v>445</v>
      </c>
      <c r="B398">
        <v>89</v>
      </c>
      <c r="C398" t="str">
        <f>_xlfn.IFS(Table3[[#This Row],[Age]]&lt;=10, "Child",Table3[[#This Row],[Age]]&lt;18, "Teenger", Table3[[#This Row],[Age]]&lt;30, "Middle Age", Table3[[#This Row],[Age]]&lt; 60,"Adult",Table3[[#This Row],[Age]],"Senior Citizen")</f>
        <v>Senior Citizen</v>
      </c>
      <c r="D398" t="s">
        <v>12</v>
      </c>
      <c r="E398" t="s">
        <v>24</v>
      </c>
      <c r="F398" t="s">
        <v>56</v>
      </c>
      <c r="G398" s="1">
        <v>45603</v>
      </c>
      <c r="H398" s="1">
        <v>45614</v>
      </c>
      <c r="I398" s="2">
        <f>Table3[[#This Row],[Discharge_Date]]-Table3[[#This Row],[Admission_Date]]</f>
        <v>11</v>
      </c>
      <c r="J398">
        <v>170</v>
      </c>
      <c r="K398" t="s">
        <v>36</v>
      </c>
      <c r="L398" t="s">
        <v>16</v>
      </c>
      <c r="M398">
        <f>IF(Table3[[#This Row],[Treatment_Success]]="Yes",1,0)</f>
        <v>1</v>
      </c>
      <c r="N398">
        <v>129575</v>
      </c>
    </row>
    <row r="399" spans="1:14" x14ac:dyDescent="0.35">
      <c r="A399" t="s">
        <v>446</v>
      </c>
      <c r="B399">
        <v>48</v>
      </c>
      <c r="C399" t="str">
        <f>_xlfn.IFS(Table3[[#This Row],[Age]]&lt;=10, "Child",Table3[[#This Row],[Age]]&lt;18, "Teenger", Table3[[#This Row],[Age]]&lt;30, "Middle Age", Table3[[#This Row],[Age]]&lt; 60,"Adult",Table3[[#This Row],[Age]],"Senior Citizen")</f>
        <v>Adult</v>
      </c>
      <c r="D399" t="s">
        <v>18</v>
      </c>
      <c r="E399" t="s">
        <v>38</v>
      </c>
      <c r="F399" t="s">
        <v>83</v>
      </c>
      <c r="G399" s="1">
        <v>45429</v>
      </c>
      <c r="H399" s="1">
        <v>45444</v>
      </c>
      <c r="I399" s="2">
        <f>Table3[[#This Row],[Discharge_Date]]-Table3[[#This Row],[Admission_Date]]</f>
        <v>15</v>
      </c>
      <c r="J399">
        <v>160</v>
      </c>
      <c r="K399" t="s">
        <v>33</v>
      </c>
      <c r="L399" t="s">
        <v>26</v>
      </c>
      <c r="M399">
        <f>IF(Table3[[#This Row],[Treatment_Success]]="Yes",1,0)</f>
        <v>0</v>
      </c>
      <c r="N399">
        <v>187500</v>
      </c>
    </row>
    <row r="400" spans="1:14" x14ac:dyDescent="0.35">
      <c r="A400" t="s">
        <v>447</v>
      </c>
      <c r="B400">
        <v>30</v>
      </c>
      <c r="C400" t="str">
        <f>_xlfn.IFS(Table3[[#This Row],[Age]]&lt;=10, "Child",Table3[[#This Row],[Age]]&lt;18, "Teenger", Table3[[#This Row],[Age]]&lt;30, "Middle Age", Table3[[#This Row],[Age]]&lt; 60,"Adult",Table3[[#This Row],[Age]],"Senior Citizen")</f>
        <v>Adult</v>
      </c>
      <c r="D400" t="s">
        <v>18</v>
      </c>
      <c r="E400" t="s">
        <v>38</v>
      </c>
      <c r="F400" t="s">
        <v>25</v>
      </c>
      <c r="G400" s="1">
        <v>45642</v>
      </c>
      <c r="H400" s="1">
        <v>45644</v>
      </c>
      <c r="I400" s="2">
        <f>Table3[[#This Row],[Discharge_Date]]-Table3[[#This Row],[Admission_Date]]</f>
        <v>2</v>
      </c>
      <c r="J400">
        <v>227</v>
      </c>
      <c r="K400" t="s">
        <v>33</v>
      </c>
      <c r="L400" t="s">
        <v>16</v>
      </c>
      <c r="M400">
        <f>IF(Table3[[#This Row],[Treatment_Success]]="Yes",1,0)</f>
        <v>1</v>
      </c>
      <c r="N400">
        <v>196050</v>
      </c>
    </row>
    <row r="401" spans="1:14" x14ac:dyDescent="0.35">
      <c r="A401" t="s">
        <v>448</v>
      </c>
      <c r="B401">
        <v>83</v>
      </c>
      <c r="C401" t="str">
        <f>_xlfn.IFS(Table3[[#This Row],[Age]]&lt;=10, "Child",Table3[[#This Row],[Age]]&lt;18, "Teenger", Table3[[#This Row],[Age]]&lt;30, "Middle Age", Table3[[#This Row],[Age]]&lt; 60,"Adult",Table3[[#This Row],[Age]],"Senior Citizen")</f>
        <v>Senior Citizen</v>
      </c>
      <c r="D401" t="s">
        <v>18</v>
      </c>
      <c r="E401" t="s">
        <v>13</v>
      </c>
      <c r="F401" t="s">
        <v>20</v>
      </c>
      <c r="G401" s="1">
        <v>45505</v>
      </c>
      <c r="H401" s="1">
        <v>45515</v>
      </c>
      <c r="I401" s="2">
        <f>Table3[[#This Row],[Discharge_Date]]-Table3[[#This Row],[Admission_Date]]</f>
        <v>10</v>
      </c>
      <c r="J401">
        <v>109</v>
      </c>
      <c r="K401" t="s">
        <v>46</v>
      </c>
      <c r="L401" t="s">
        <v>26</v>
      </c>
      <c r="M401">
        <f>IF(Table3[[#This Row],[Treatment_Success]]="Yes",1,0)</f>
        <v>0</v>
      </c>
      <c r="N401">
        <v>140397</v>
      </c>
    </row>
    <row r="402" spans="1:14" x14ac:dyDescent="0.35">
      <c r="A402" t="s">
        <v>449</v>
      </c>
      <c r="B402">
        <v>8</v>
      </c>
      <c r="C402" t="str">
        <f>_xlfn.IFS(Table3[[#This Row],[Age]]&lt;=10, "Child",Table3[[#This Row],[Age]]&lt;18, "Teenger", Table3[[#This Row],[Age]]&lt;30, "Middle Age", Table3[[#This Row],[Age]]&lt; 60,"Adult",Table3[[#This Row],[Age]],"Senior Citizen")</f>
        <v>Child</v>
      </c>
      <c r="D402" t="s">
        <v>18</v>
      </c>
      <c r="E402" t="s">
        <v>24</v>
      </c>
      <c r="F402" t="s">
        <v>83</v>
      </c>
      <c r="G402" s="1">
        <v>45483</v>
      </c>
      <c r="H402" s="1">
        <v>45497</v>
      </c>
      <c r="I402" s="2">
        <f>Table3[[#This Row],[Discharge_Date]]-Table3[[#This Row],[Admission_Date]]</f>
        <v>14</v>
      </c>
      <c r="J402">
        <v>260</v>
      </c>
      <c r="K402" t="s">
        <v>46</v>
      </c>
      <c r="L402" t="s">
        <v>16</v>
      </c>
      <c r="M402">
        <f>IF(Table3[[#This Row],[Treatment_Success]]="Yes",1,0)</f>
        <v>1</v>
      </c>
      <c r="N402">
        <v>142438</v>
      </c>
    </row>
    <row r="403" spans="1:14" x14ac:dyDescent="0.35">
      <c r="A403" t="s">
        <v>450</v>
      </c>
      <c r="B403">
        <v>23</v>
      </c>
      <c r="C403" t="str">
        <f>_xlfn.IFS(Table3[[#This Row],[Age]]&lt;=10, "Child",Table3[[#This Row],[Age]]&lt;18, "Teenger", Table3[[#This Row],[Age]]&lt;30, "Middle Age", Table3[[#This Row],[Age]]&lt; 60,"Adult",Table3[[#This Row],[Age]],"Senior Citizen")</f>
        <v>Middle Age</v>
      </c>
      <c r="D403" t="s">
        <v>18</v>
      </c>
      <c r="E403" t="s">
        <v>13</v>
      </c>
      <c r="F403" t="s">
        <v>52</v>
      </c>
      <c r="G403" s="1">
        <v>45583</v>
      </c>
      <c r="H403" s="1">
        <v>45584</v>
      </c>
      <c r="I403" s="2">
        <f>Table3[[#This Row],[Discharge_Date]]-Table3[[#This Row],[Admission_Date]]</f>
        <v>1</v>
      </c>
      <c r="J403">
        <v>128</v>
      </c>
      <c r="K403" t="s">
        <v>15</v>
      </c>
      <c r="L403" t="s">
        <v>26</v>
      </c>
      <c r="M403">
        <f>IF(Table3[[#This Row],[Treatment_Success]]="Yes",1,0)</f>
        <v>0</v>
      </c>
      <c r="N403">
        <v>18253</v>
      </c>
    </row>
    <row r="404" spans="1:14" x14ac:dyDescent="0.35">
      <c r="A404" t="s">
        <v>451</v>
      </c>
      <c r="B404">
        <v>26</v>
      </c>
      <c r="C404" t="str">
        <f>_xlfn.IFS(Table3[[#This Row],[Age]]&lt;=10, "Child",Table3[[#This Row],[Age]]&lt;18, "Teenger", Table3[[#This Row],[Age]]&lt;30, "Middle Age", Table3[[#This Row],[Age]]&lt; 60,"Adult",Table3[[#This Row],[Age]],"Senior Citizen")</f>
        <v>Middle Age</v>
      </c>
      <c r="D404" t="s">
        <v>12</v>
      </c>
      <c r="E404" t="s">
        <v>38</v>
      </c>
      <c r="F404" t="s">
        <v>20</v>
      </c>
      <c r="G404" s="1">
        <v>45476</v>
      </c>
      <c r="H404" s="1">
        <v>45488</v>
      </c>
      <c r="I404" s="2">
        <f>Table3[[#This Row],[Discharge_Date]]-Table3[[#This Row],[Admission_Date]]</f>
        <v>12</v>
      </c>
      <c r="J404">
        <v>259</v>
      </c>
      <c r="K404" t="s">
        <v>46</v>
      </c>
      <c r="L404" t="s">
        <v>16</v>
      </c>
      <c r="M404">
        <f>IF(Table3[[#This Row],[Treatment_Success]]="Yes",1,0)</f>
        <v>1</v>
      </c>
      <c r="N404">
        <v>183565</v>
      </c>
    </row>
    <row r="405" spans="1:14" x14ac:dyDescent="0.35">
      <c r="A405" t="s">
        <v>452</v>
      </c>
      <c r="B405">
        <v>48</v>
      </c>
      <c r="C405" t="str">
        <f>_xlfn.IFS(Table3[[#This Row],[Age]]&lt;=10, "Child",Table3[[#This Row],[Age]]&lt;18, "Teenger", Table3[[#This Row],[Age]]&lt;30, "Middle Age", Table3[[#This Row],[Age]]&lt; 60,"Adult",Table3[[#This Row],[Age]],"Senior Citizen")</f>
        <v>Adult</v>
      </c>
      <c r="D405" t="s">
        <v>12</v>
      </c>
      <c r="E405" t="s">
        <v>28</v>
      </c>
      <c r="F405" t="s">
        <v>20</v>
      </c>
      <c r="G405" s="1">
        <v>45307</v>
      </c>
      <c r="H405" s="1">
        <v>45311</v>
      </c>
      <c r="I405" s="2">
        <f>Table3[[#This Row],[Discharge_Date]]-Table3[[#This Row],[Admission_Date]]</f>
        <v>4</v>
      </c>
      <c r="J405">
        <v>91</v>
      </c>
      <c r="K405" t="s">
        <v>46</v>
      </c>
      <c r="L405" t="s">
        <v>16</v>
      </c>
      <c r="M405">
        <f>IF(Table3[[#This Row],[Treatment_Success]]="Yes",1,0)</f>
        <v>1</v>
      </c>
      <c r="N405">
        <v>95242</v>
      </c>
    </row>
    <row r="406" spans="1:14" x14ac:dyDescent="0.35">
      <c r="A406" t="s">
        <v>453</v>
      </c>
      <c r="B406">
        <v>34</v>
      </c>
      <c r="C406" t="str">
        <f>_xlfn.IFS(Table3[[#This Row],[Age]]&lt;=10, "Child",Table3[[#This Row],[Age]]&lt;18, "Teenger", Table3[[#This Row],[Age]]&lt;30, "Middle Age", Table3[[#This Row],[Age]]&lt; 60,"Adult",Table3[[#This Row],[Age]],"Senior Citizen")</f>
        <v>Adult</v>
      </c>
      <c r="D406" t="s">
        <v>18</v>
      </c>
      <c r="E406" t="s">
        <v>38</v>
      </c>
      <c r="F406" t="s">
        <v>80</v>
      </c>
      <c r="G406" s="1">
        <v>45375</v>
      </c>
      <c r="H406" s="1">
        <v>45389</v>
      </c>
      <c r="I406" s="2">
        <f>Table3[[#This Row],[Discharge_Date]]-Table3[[#This Row],[Admission_Date]]</f>
        <v>14</v>
      </c>
      <c r="J406">
        <v>198</v>
      </c>
      <c r="K406" t="s">
        <v>15</v>
      </c>
      <c r="L406" t="s">
        <v>16</v>
      </c>
      <c r="M406">
        <f>IF(Table3[[#This Row],[Treatment_Success]]="Yes",1,0)</f>
        <v>1</v>
      </c>
      <c r="N406">
        <v>155014</v>
      </c>
    </row>
    <row r="407" spans="1:14" x14ac:dyDescent="0.35">
      <c r="A407" t="s">
        <v>454</v>
      </c>
      <c r="B407">
        <v>29</v>
      </c>
      <c r="C407" t="str">
        <f>_xlfn.IFS(Table3[[#This Row],[Age]]&lt;=10, "Child",Table3[[#This Row],[Age]]&lt;18, "Teenger", Table3[[#This Row],[Age]]&lt;30, "Middle Age", Table3[[#This Row],[Age]]&lt; 60,"Adult",Table3[[#This Row],[Age]],"Senior Citizen")</f>
        <v>Middle Age</v>
      </c>
      <c r="D407" t="s">
        <v>18</v>
      </c>
      <c r="E407" t="s">
        <v>13</v>
      </c>
      <c r="F407" t="s">
        <v>32</v>
      </c>
      <c r="G407" s="1">
        <v>45401</v>
      </c>
      <c r="H407" s="1">
        <v>45415</v>
      </c>
      <c r="I407" s="2">
        <f>Table3[[#This Row],[Discharge_Date]]-Table3[[#This Row],[Admission_Date]]</f>
        <v>14</v>
      </c>
      <c r="J407">
        <v>210</v>
      </c>
      <c r="K407" t="s">
        <v>15</v>
      </c>
      <c r="L407" t="s">
        <v>16</v>
      </c>
      <c r="M407">
        <f>IF(Table3[[#This Row],[Treatment_Success]]="Yes",1,0)</f>
        <v>1</v>
      </c>
      <c r="N407">
        <v>129281</v>
      </c>
    </row>
    <row r="408" spans="1:14" x14ac:dyDescent="0.35">
      <c r="A408" t="s">
        <v>455</v>
      </c>
      <c r="B408">
        <v>23</v>
      </c>
      <c r="C408" t="str">
        <f>_xlfn.IFS(Table3[[#This Row],[Age]]&lt;=10, "Child",Table3[[#This Row],[Age]]&lt;18, "Teenger", Table3[[#This Row],[Age]]&lt;30, "Middle Age", Table3[[#This Row],[Age]]&lt; 60,"Adult",Table3[[#This Row],[Age]],"Senior Citizen")</f>
        <v>Middle Age</v>
      </c>
      <c r="D408" t="s">
        <v>18</v>
      </c>
      <c r="E408" t="s">
        <v>13</v>
      </c>
      <c r="F408" t="s">
        <v>32</v>
      </c>
      <c r="G408" s="1">
        <v>45359</v>
      </c>
      <c r="H408" s="1">
        <v>45370</v>
      </c>
      <c r="I408" s="2">
        <f>Table3[[#This Row],[Discharge_Date]]-Table3[[#This Row],[Admission_Date]]</f>
        <v>11</v>
      </c>
      <c r="J408">
        <v>157</v>
      </c>
      <c r="K408" t="s">
        <v>33</v>
      </c>
      <c r="L408" t="s">
        <v>26</v>
      </c>
      <c r="M408">
        <f>IF(Table3[[#This Row],[Treatment_Success]]="Yes",1,0)</f>
        <v>0</v>
      </c>
      <c r="N408">
        <v>103690</v>
      </c>
    </row>
    <row r="409" spans="1:14" x14ac:dyDescent="0.35">
      <c r="A409" t="s">
        <v>456</v>
      </c>
      <c r="B409">
        <v>33</v>
      </c>
      <c r="C409" t="str">
        <f>_xlfn.IFS(Table3[[#This Row],[Age]]&lt;=10, "Child",Table3[[#This Row],[Age]]&lt;18, "Teenger", Table3[[#This Row],[Age]]&lt;30, "Middle Age", Table3[[#This Row],[Age]]&lt; 60,"Adult",Table3[[#This Row],[Age]],"Senior Citizen")</f>
        <v>Adult</v>
      </c>
      <c r="D409" t="s">
        <v>18</v>
      </c>
      <c r="E409" t="s">
        <v>31</v>
      </c>
      <c r="F409" t="s">
        <v>83</v>
      </c>
      <c r="G409" s="1">
        <v>45470</v>
      </c>
      <c r="H409" s="1">
        <v>45478</v>
      </c>
      <c r="I409" s="2">
        <f>Table3[[#This Row],[Discharge_Date]]-Table3[[#This Row],[Admission_Date]]</f>
        <v>8</v>
      </c>
      <c r="J409">
        <v>267</v>
      </c>
      <c r="K409" t="s">
        <v>46</v>
      </c>
      <c r="L409" t="s">
        <v>16</v>
      </c>
      <c r="M409">
        <f>IF(Table3[[#This Row],[Treatment_Success]]="Yes",1,0)</f>
        <v>1</v>
      </c>
      <c r="N409">
        <v>6926</v>
      </c>
    </row>
    <row r="410" spans="1:14" x14ac:dyDescent="0.35">
      <c r="A410" t="s">
        <v>457</v>
      </c>
      <c r="B410">
        <v>48</v>
      </c>
      <c r="C410" t="str">
        <f>_xlfn.IFS(Table3[[#This Row],[Age]]&lt;=10, "Child",Table3[[#This Row],[Age]]&lt;18, "Teenger", Table3[[#This Row],[Age]]&lt;30, "Middle Age", Table3[[#This Row],[Age]]&lt; 60,"Adult",Table3[[#This Row],[Age]],"Senior Citizen")</f>
        <v>Adult</v>
      </c>
      <c r="D410" t="s">
        <v>12</v>
      </c>
      <c r="E410" t="s">
        <v>38</v>
      </c>
      <c r="F410" t="s">
        <v>54</v>
      </c>
      <c r="G410" s="1">
        <v>45553</v>
      </c>
      <c r="H410" s="1">
        <v>45564</v>
      </c>
      <c r="I410" s="2">
        <f>Table3[[#This Row],[Discharge_Date]]-Table3[[#This Row],[Admission_Date]]</f>
        <v>11</v>
      </c>
      <c r="J410">
        <v>56</v>
      </c>
      <c r="K410" t="s">
        <v>46</v>
      </c>
      <c r="L410" t="s">
        <v>16</v>
      </c>
      <c r="M410">
        <f>IF(Table3[[#This Row],[Treatment_Success]]="Yes",1,0)</f>
        <v>1</v>
      </c>
      <c r="N410">
        <v>93154</v>
      </c>
    </row>
    <row r="411" spans="1:14" x14ac:dyDescent="0.35">
      <c r="A411" t="s">
        <v>458</v>
      </c>
      <c r="B411">
        <v>42</v>
      </c>
      <c r="C411" t="str">
        <f>_xlfn.IFS(Table3[[#This Row],[Age]]&lt;=10, "Child",Table3[[#This Row],[Age]]&lt;18, "Teenger", Table3[[#This Row],[Age]]&lt;30, "Middle Age", Table3[[#This Row],[Age]]&lt; 60,"Adult",Table3[[#This Row],[Age]],"Senior Citizen")</f>
        <v>Adult</v>
      </c>
      <c r="D411" t="s">
        <v>12</v>
      </c>
      <c r="E411" t="s">
        <v>38</v>
      </c>
      <c r="F411" t="s">
        <v>68</v>
      </c>
      <c r="G411" s="1">
        <v>45433</v>
      </c>
      <c r="H411" s="1">
        <v>45444</v>
      </c>
      <c r="I411" s="2">
        <f>Table3[[#This Row],[Discharge_Date]]-Table3[[#This Row],[Admission_Date]]</f>
        <v>11</v>
      </c>
      <c r="J411">
        <v>153</v>
      </c>
      <c r="K411" t="s">
        <v>36</v>
      </c>
      <c r="L411" t="s">
        <v>16</v>
      </c>
      <c r="M411">
        <f>IF(Table3[[#This Row],[Treatment_Success]]="Yes",1,0)</f>
        <v>1</v>
      </c>
      <c r="N411">
        <v>140605</v>
      </c>
    </row>
    <row r="412" spans="1:14" x14ac:dyDescent="0.35">
      <c r="A412" t="s">
        <v>459</v>
      </c>
      <c r="B412">
        <v>8</v>
      </c>
      <c r="C412" t="str">
        <f>_xlfn.IFS(Table3[[#This Row],[Age]]&lt;=10, "Child",Table3[[#This Row],[Age]]&lt;18, "Teenger", Table3[[#This Row],[Age]]&lt;30, "Middle Age", Table3[[#This Row],[Age]]&lt; 60,"Adult",Table3[[#This Row],[Age]],"Senior Citizen")</f>
        <v>Child</v>
      </c>
      <c r="D412" t="s">
        <v>12</v>
      </c>
      <c r="E412" t="s">
        <v>38</v>
      </c>
      <c r="F412" t="s">
        <v>54</v>
      </c>
      <c r="G412" s="1">
        <v>45415</v>
      </c>
      <c r="H412" s="1">
        <v>45430</v>
      </c>
      <c r="I412" s="2">
        <f>Table3[[#This Row],[Discharge_Date]]-Table3[[#This Row],[Admission_Date]]</f>
        <v>15</v>
      </c>
      <c r="J412">
        <v>72</v>
      </c>
      <c r="K412" t="s">
        <v>15</v>
      </c>
      <c r="L412" t="s">
        <v>26</v>
      </c>
      <c r="M412">
        <f>IF(Table3[[#This Row],[Treatment_Success]]="Yes",1,0)</f>
        <v>0</v>
      </c>
      <c r="N412">
        <v>82490</v>
      </c>
    </row>
    <row r="413" spans="1:14" x14ac:dyDescent="0.35">
      <c r="A413" t="s">
        <v>460</v>
      </c>
      <c r="B413">
        <v>54</v>
      </c>
      <c r="C413" t="str">
        <f>_xlfn.IFS(Table3[[#This Row],[Age]]&lt;=10, "Child",Table3[[#This Row],[Age]]&lt;18, "Teenger", Table3[[#This Row],[Age]]&lt;30, "Middle Age", Table3[[#This Row],[Age]]&lt; 60,"Adult",Table3[[#This Row],[Age]],"Senior Citizen")</f>
        <v>Adult</v>
      </c>
      <c r="D413" t="s">
        <v>12</v>
      </c>
      <c r="E413" t="s">
        <v>31</v>
      </c>
      <c r="F413" t="s">
        <v>25</v>
      </c>
      <c r="G413" s="1">
        <v>45424</v>
      </c>
      <c r="H413" s="1">
        <v>45439</v>
      </c>
      <c r="I413" s="2">
        <f>Table3[[#This Row],[Discharge_Date]]-Table3[[#This Row],[Admission_Date]]</f>
        <v>15</v>
      </c>
      <c r="J413">
        <v>19</v>
      </c>
      <c r="K413" t="s">
        <v>36</v>
      </c>
      <c r="L413" t="s">
        <v>16</v>
      </c>
      <c r="M413">
        <f>IF(Table3[[#This Row],[Treatment_Success]]="Yes",1,0)</f>
        <v>1</v>
      </c>
      <c r="N413">
        <v>195460</v>
      </c>
    </row>
    <row r="414" spans="1:14" x14ac:dyDescent="0.35">
      <c r="A414" t="s">
        <v>461</v>
      </c>
      <c r="B414">
        <v>69</v>
      </c>
      <c r="C414" t="str">
        <f>_xlfn.IFS(Table3[[#This Row],[Age]]&lt;=10, "Child",Table3[[#This Row],[Age]]&lt;18, "Teenger", Table3[[#This Row],[Age]]&lt;30, "Middle Age", Table3[[#This Row],[Age]]&lt; 60,"Adult",Table3[[#This Row],[Age]],"Senior Citizen")</f>
        <v>Senior Citizen</v>
      </c>
      <c r="D414" t="s">
        <v>12</v>
      </c>
      <c r="E414" t="s">
        <v>38</v>
      </c>
      <c r="F414" t="s">
        <v>49</v>
      </c>
      <c r="G414" s="1">
        <v>45405</v>
      </c>
      <c r="H414" s="1">
        <v>45416</v>
      </c>
      <c r="I414" s="2">
        <f>Table3[[#This Row],[Discharge_Date]]-Table3[[#This Row],[Admission_Date]]</f>
        <v>11</v>
      </c>
      <c r="J414">
        <v>154</v>
      </c>
      <c r="K414" t="s">
        <v>36</v>
      </c>
      <c r="L414" t="s">
        <v>16</v>
      </c>
      <c r="M414">
        <f>IF(Table3[[#This Row],[Treatment_Success]]="Yes",1,0)</f>
        <v>1</v>
      </c>
      <c r="N414">
        <v>82013</v>
      </c>
    </row>
    <row r="415" spans="1:14" x14ac:dyDescent="0.35">
      <c r="A415" t="s">
        <v>462</v>
      </c>
      <c r="B415">
        <v>17</v>
      </c>
      <c r="C415" t="str">
        <f>_xlfn.IFS(Table3[[#This Row],[Age]]&lt;=10, "Child",Table3[[#This Row],[Age]]&lt;18, "Teenger", Table3[[#This Row],[Age]]&lt;30, "Middle Age", Table3[[#This Row],[Age]]&lt; 60,"Adult",Table3[[#This Row],[Age]],"Senior Citizen")</f>
        <v>Teenger</v>
      </c>
      <c r="D415" t="s">
        <v>12</v>
      </c>
      <c r="E415" t="s">
        <v>28</v>
      </c>
      <c r="F415" t="s">
        <v>22</v>
      </c>
      <c r="G415" s="1">
        <v>45341</v>
      </c>
      <c r="H415" s="1">
        <v>45349</v>
      </c>
      <c r="I415" s="2">
        <f>Table3[[#This Row],[Discharge_Date]]-Table3[[#This Row],[Admission_Date]]</f>
        <v>8</v>
      </c>
      <c r="J415">
        <v>94</v>
      </c>
      <c r="K415" t="s">
        <v>33</v>
      </c>
      <c r="L415" t="s">
        <v>16</v>
      </c>
      <c r="M415">
        <f>IF(Table3[[#This Row],[Treatment_Success]]="Yes",1,0)</f>
        <v>1</v>
      </c>
      <c r="N415">
        <v>63262</v>
      </c>
    </row>
    <row r="416" spans="1:14" x14ac:dyDescent="0.35">
      <c r="A416" t="s">
        <v>463</v>
      </c>
      <c r="B416">
        <v>40</v>
      </c>
      <c r="C416" t="str">
        <f>_xlfn.IFS(Table3[[#This Row],[Age]]&lt;=10, "Child",Table3[[#This Row],[Age]]&lt;18, "Teenger", Table3[[#This Row],[Age]]&lt;30, "Middle Age", Table3[[#This Row],[Age]]&lt; 60,"Adult",Table3[[#This Row],[Age]],"Senior Citizen")</f>
        <v>Adult</v>
      </c>
      <c r="D416" t="s">
        <v>12</v>
      </c>
      <c r="E416" t="s">
        <v>38</v>
      </c>
      <c r="F416" t="s">
        <v>63</v>
      </c>
      <c r="G416" s="1">
        <v>45473</v>
      </c>
      <c r="H416" s="1">
        <v>45477</v>
      </c>
      <c r="I416" s="2">
        <f>Table3[[#This Row],[Discharge_Date]]-Table3[[#This Row],[Admission_Date]]</f>
        <v>4</v>
      </c>
      <c r="J416">
        <v>134</v>
      </c>
      <c r="K416" t="s">
        <v>33</v>
      </c>
      <c r="L416" t="s">
        <v>26</v>
      </c>
      <c r="M416">
        <f>IF(Table3[[#This Row],[Treatment_Success]]="Yes",1,0)</f>
        <v>0</v>
      </c>
      <c r="N416">
        <v>35875</v>
      </c>
    </row>
    <row r="417" spans="1:14" x14ac:dyDescent="0.35">
      <c r="A417" t="s">
        <v>464</v>
      </c>
      <c r="B417">
        <v>82</v>
      </c>
      <c r="C417" t="str">
        <f>_xlfn.IFS(Table3[[#This Row],[Age]]&lt;=10, "Child",Table3[[#This Row],[Age]]&lt;18, "Teenger", Table3[[#This Row],[Age]]&lt;30, "Middle Age", Table3[[#This Row],[Age]]&lt; 60,"Adult",Table3[[#This Row],[Age]],"Senior Citizen")</f>
        <v>Senior Citizen</v>
      </c>
      <c r="D417" t="s">
        <v>18</v>
      </c>
      <c r="E417" t="s">
        <v>31</v>
      </c>
      <c r="F417" t="s">
        <v>29</v>
      </c>
      <c r="G417" s="1">
        <v>45532</v>
      </c>
      <c r="H417" s="1">
        <v>45533</v>
      </c>
      <c r="I417" s="2">
        <f>Table3[[#This Row],[Discharge_Date]]-Table3[[#This Row],[Admission_Date]]</f>
        <v>1</v>
      </c>
      <c r="J417">
        <v>257</v>
      </c>
      <c r="K417" t="s">
        <v>15</v>
      </c>
      <c r="L417" t="s">
        <v>26</v>
      </c>
      <c r="M417">
        <f>IF(Table3[[#This Row],[Treatment_Success]]="Yes",1,0)</f>
        <v>0</v>
      </c>
      <c r="N417">
        <v>143893</v>
      </c>
    </row>
    <row r="418" spans="1:14" x14ac:dyDescent="0.35">
      <c r="A418" t="s">
        <v>465</v>
      </c>
      <c r="B418">
        <v>7</v>
      </c>
      <c r="C418" t="str">
        <f>_xlfn.IFS(Table3[[#This Row],[Age]]&lt;=10, "Child",Table3[[#This Row],[Age]]&lt;18, "Teenger", Table3[[#This Row],[Age]]&lt;30, "Middle Age", Table3[[#This Row],[Age]]&lt; 60,"Adult",Table3[[#This Row],[Age]],"Senior Citizen")</f>
        <v>Child</v>
      </c>
      <c r="D418" t="s">
        <v>18</v>
      </c>
      <c r="E418" t="s">
        <v>13</v>
      </c>
      <c r="F418" t="s">
        <v>29</v>
      </c>
      <c r="G418" s="1">
        <v>45444</v>
      </c>
      <c r="H418" s="1">
        <v>45451</v>
      </c>
      <c r="I418" s="2">
        <f>Table3[[#This Row],[Discharge_Date]]-Table3[[#This Row],[Admission_Date]]</f>
        <v>7</v>
      </c>
      <c r="J418">
        <v>176</v>
      </c>
      <c r="K418" t="s">
        <v>46</v>
      </c>
      <c r="L418" t="s">
        <v>26</v>
      </c>
      <c r="M418">
        <f>IF(Table3[[#This Row],[Treatment_Success]]="Yes",1,0)</f>
        <v>0</v>
      </c>
      <c r="N418">
        <v>42545</v>
      </c>
    </row>
    <row r="419" spans="1:14" x14ac:dyDescent="0.35">
      <c r="A419" t="s">
        <v>466</v>
      </c>
      <c r="B419">
        <v>24</v>
      </c>
      <c r="C419" t="str">
        <f>_xlfn.IFS(Table3[[#This Row],[Age]]&lt;=10, "Child",Table3[[#This Row],[Age]]&lt;18, "Teenger", Table3[[#This Row],[Age]]&lt;30, "Middle Age", Table3[[#This Row],[Age]]&lt; 60,"Adult",Table3[[#This Row],[Age]],"Senior Citizen")</f>
        <v>Middle Age</v>
      </c>
      <c r="D419" t="s">
        <v>18</v>
      </c>
      <c r="E419" t="s">
        <v>31</v>
      </c>
      <c r="F419" t="s">
        <v>95</v>
      </c>
      <c r="G419" s="1">
        <v>45453</v>
      </c>
      <c r="H419" s="1">
        <v>45467</v>
      </c>
      <c r="I419" s="2">
        <f>Table3[[#This Row],[Discharge_Date]]-Table3[[#This Row],[Admission_Date]]</f>
        <v>14</v>
      </c>
      <c r="J419">
        <v>91</v>
      </c>
      <c r="K419" t="s">
        <v>33</v>
      </c>
      <c r="L419" t="s">
        <v>16</v>
      </c>
      <c r="M419">
        <f>IF(Table3[[#This Row],[Treatment_Success]]="Yes",1,0)</f>
        <v>1</v>
      </c>
      <c r="N419">
        <v>6235</v>
      </c>
    </row>
    <row r="420" spans="1:14" x14ac:dyDescent="0.35">
      <c r="A420" t="s">
        <v>467</v>
      </c>
      <c r="B420">
        <v>27</v>
      </c>
      <c r="C420" t="str">
        <f>_xlfn.IFS(Table3[[#This Row],[Age]]&lt;=10, "Child",Table3[[#This Row],[Age]]&lt;18, "Teenger", Table3[[#This Row],[Age]]&lt;30, "Middle Age", Table3[[#This Row],[Age]]&lt; 60,"Adult",Table3[[#This Row],[Age]],"Senior Citizen")</f>
        <v>Middle Age</v>
      </c>
      <c r="D420" t="s">
        <v>18</v>
      </c>
      <c r="E420" t="s">
        <v>28</v>
      </c>
      <c r="F420" t="s">
        <v>22</v>
      </c>
      <c r="G420" s="1">
        <v>45523</v>
      </c>
      <c r="H420" s="1">
        <v>45528</v>
      </c>
      <c r="I420" s="2">
        <f>Table3[[#This Row],[Discharge_Date]]-Table3[[#This Row],[Admission_Date]]</f>
        <v>5</v>
      </c>
      <c r="J420">
        <v>82</v>
      </c>
      <c r="K420" t="s">
        <v>46</v>
      </c>
      <c r="L420" t="s">
        <v>16</v>
      </c>
      <c r="M420">
        <f>IF(Table3[[#This Row],[Treatment_Success]]="Yes",1,0)</f>
        <v>1</v>
      </c>
      <c r="N420">
        <v>38922</v>
      </c>
    </row>
    <row r="421" spans="1:14" x14ac:dyDescent="0.35">
      <c r="A421" t="s">
        <v>468</v>
      </c>
      <c r="B421">
        <v>82</v>
      </c>
      <c r="C421" t="str">
        <f>_xlfn.IFS(Table3[[#This Row],[Age]]&lt;=10, "Child",Table3[[#This Row],[Age]]&lt;18, "Teenger", Table3[[#This Row],[Age]]&lt;30, "Middle Age", Table3[[#This Row],[Age]]&lt; 60,"Adult",Table3[[#This Row],[Age]],"Senior Citizen")</f>
        <v>Senior Citizen</v>
      </c>
      <c r="D421" t="s">
        <v>12</v>
      </c>
      <c r="E421" t="s">
        <v>31</v>
      </c>
      <c r="F421" t="s">
        <v>93</v>
      </c>
      <c r="G421" s="1">
        <v>45606</v>
      </c>
      <c r="H421" s="1">
        <v>45613</v>
      </c>
      <c r="I421" s="2">
        <f>Table3[[#This Row],[Discharge_Date]]-Table3[[#This Row],[Admission_Date]]</f>
        <v>7</v>
      </c>
      <c r="J421">
        <v>245</v>
      </c>
      <c r="K421" t="s">
        <v>46</v>
      </c>
      <c r="L421" t="s">
        <v>16</v>
      </c>
      <c r="M421">
        <f>IF(Table3[[#This Row],[Treatment_Success]]="Yes",1,0)</f>
        <v>1</v>
      </c>
      <c r="N421">
        <v>14889</v>
      </c>
    </row>
    <row r="422" spans="1:14" x14ac:dyDescent="0.35">
      <c r="A422" t="s">
        <v>469</v>
      </c>
      <c r="B422">
        <v>48</v>
      </c>
      <c r="C422" t="str">
        <f>_xlfn.IFS(Table3[[#This Row],[Age]]&lt;=10, "Child",Table3[[#This Row],[Age]]&lt;18, "Teenger", Table3[[#This Row],[Age]]&lt;30, "Middle Age", Table3[[#This Row],[Age]]&lt; 60,"Adult",Table3[[#This Row],[Age]],"Senior Citizen")</f>
        <v>Adult</v>
      </c>
      <c r="D422" t="s">
        <v>18</v>
      </c>
      <c r="E422" t="s">
        <v>38</v>
      </c>
      <c r="F422" t="s">
        <v>22</v>
      </c>
      <c r="G422" s="1">
        <v>45565</v>
      </c>
      <c r="H422" s="1">
        <v>45569</v>
      </c>
      <c r="I422" s="2">
        <f>Table3[[#This Row],[Discharge_Date]]-Table3[[#This Row],[Admission_Date]]</f>
        <v>4</v>
      </c>
      <c r="J422">
        <v>272</v>
      </c>
      <c r="K422" t="s">
        <v>36</v>
      </c>
      <c r="L422" t="s">
        <v>16</v>
      </c>
      <c r="M422">
        <f>IF(Table3[[#This Row],[Treatment_Success]]="Yes",1,0)</f>
        <v>1</v>
      </c>
      <c r="N422">
        <v>182405</v>
      </c>
    </row>
    <row r="423" spans="1:14" x14ac:dyDescent="0.35">
      <c r="A423" t="s">
        <v>470</v>
      </c>
      <c r="B423">
        <v>32</v>
      </c>
      <c r="C423" t="str">
        <f>_xlfn.IFS(Table3[[#This Row],[Age]]&lt;=10, "Child",Table3[[#This Row],[Age]]&lt;18, "Teenger", Table3[[#This Row],[Age]]&lt;30, "Middle Age", Table3[[#This Row],[Age]]&lt; 60,"Adult",Table3[[#This Row],[Age]],"Senior Citizen")</f>
        <v>Adult</v>
      </c>
      <c r="D423" t="s">
        <v>18</v>
      </c>
      <c r="E423" t="s">
        <v>38</v>
      </c>
      <c r="F423" t="s">
        <v>83</v>
      </c>
      <c r="G423" s="1">
        <v>45294</v>
      </c>
      <c r="H423" s="1">
        <v>45305</v>
      </c>
      <c r="I423" s="2">
        <f>Table3[[#This Row],[Discharge_Date]]-Table3[[#This Row],[Admission_Date]]</f>
        <v>11</v>
      </c>
      <c r="J423">
        <v>67</v>
      </c>
      <c r="K423" t="s">
        <v>15</v>
      </c>
      <c r="L423" t="s">
        <v>26</v>
      </c>
      <c r="M423">
        <f>IF(Table3[[#This Row],[Treatment_Success]]="Yes",1,0)</f>
        <v>0</v>
      </c>
      <c r="N423">
        <v>136946</v>
      </c>
    </row>
    <row r="424" spans="1:14" x14ac:dyDescent="0.35">
      <c r="A424" t="s">
        <v>471</v>
      </c>
      <c r="B424">
        <v>22</v>
      </c>
      <c r="C424" t="str">
        <f>_xlfn.IFS(Table3[[#This Row],[Age]]&lt;=10, "Child",Table3[[#This Row],[Age]]&lt;18, "Teenger", Table3[[#This Row],[Age]]&lt;30, "Middle Age", Table3[[#This Row],[Age]]&lt; 60,"Adult",Table3[[#This Row],[Age]],"Senior Citizen")</f>
        <v>Middle Age</v>
      </c>
      <c r="D424" t="s">
        <v>18</v>
      </c>
      <c r="E424" t="s">
        <v>24</v>
      </c>
      <c r="F424" t="s">
        <v>83</v>
      </c>
      <c r="G424" s="1">
        <v>45593</v>
      </c>
      <c r="H424" s="1">
        <v>45598</v>
      </c>
      <c r="I424" s="2">
        <f>Table3[[#This Row],[Discharge_Date]]-Table3[[#This Row],[Admission_Date]]</f>
        <v>5</v>
      </c>
      <c r="J424">
        <v>149</v>
      </c>
      <c r="K424" t="s">
        <v>46</v>
      </c>
      <c r="L424" t="s">
        <v>16</v>
      </c>
      <c r="M424">
        <f>IF(Table3[[#This Row],[Treatment_Success]]="Yes",1,0)</f>
        <v>1</v>
      </c>
      <c r="N424">
        <v>118682</v>
      </c>
    </row>
    <row r="425" spans="1:14" x14ac:dyDescent="0.35">
      <c r="A425" t="s">
        <v>472</v>
      </c>
      <c r="B425">
        <v>44</v>
      </c>
      <c r="C425" t="str">
        <f>_xlfn.IFS(Table3[[#This Row],[Age]]&lt;=10, "Child",Table3[[#This Row],[Age]]&lt;18, "Teenger", Table3[[#This Row],[Age]]&lt;30, "Middle Age", Table3[[#This Row],[Age]]&lt; 60,"Adult",Table3[[#This Row],[Age]],"Senior Citizen")</f>
        <v>Adult</v>
      </c>
      <c r="D425" t="s">
        <v>12</v>
      </c>
      <c r="E425" t="s">
        <v>38</v>
      </c>
      <c r="F425" t="s">
        <v>22</v>
      </c>
      <c r="G425" s="1">
        <v>45643</v>
      </c>
      <c r="H425" s="1">
        <v>45646</v>
      </c>
      <c r="I425" s="2">
        <f>Table3[[#This Row],[Discharge_Date]]-Table3[[#This Row],[Admission_Date]]</f>
        <v>3</v>
      </c>
      <c r="J425">
        <v>97</v>
      </c>
      <c r="K425" t="s">
        <v>36</v>
      </c>
      <c r="L425" t="s">
        <v>26</v>
      </c>
      <c r="M425">
        <f>IF(Table3[[#This Row],[Treatment_Success]]="Yes",1,0)</f>
        <v>0</v>
      </c>
      <c r="N425">
        <v>10013</v>
      </c>
    </row>
    <row r="426" spans="1:14" x14ac:dyDescent="0.35">
      <c r="A426" t="s">
        <v>473</v>
      </c>
      <c r="B426">
        <v>17</v>
      </c>
      <c r="C426" t="str">
        <f>_xlfn.IFS(Table3[[#This Row],[Age]]&lt;=10, "Child",Table3[[#This Row],[Age]]&lt;18, "Teenger", Table3[[#This Row],[Age]]&lt;30, "Middle Age", Table3[[#This Row],[Age]]&lt; 60,"Adult",Table3[[#This Row],[Age]],"Senior Citizen")</f>
        <v>Teenger</v>
      </c>
      <c r="D426" t="s">
        <v>18</v>
      </c>
      <c r="E426" t="s">
        <v>24</v>
      </c>
      <c r="F426" t="s">
        <v>58</v>
      </c>
      <c r="G426" s="1">
        <v>45408</v>
      </c>
      <c r="H426" s="1">
        <v>45412</v>
      </c>
      <c r="I426" s="2">
        <f>Table3[[#This Row],[Discharge_Date]]-Table3[[#This Row],[Admission_Date]]</f>
        <v>4</v>
      </c>
      <c r="J426">
        <v>259</v>
      </c>
      <c r="K426" t="s">
        <v>36</v>
      </c>
      <c r="L426" t="s">
        <v>16</v>
      </c>
      <c r="M426">
        <f>IF(Table3[[#This Row],[Treatment_Success]]="Yes",1,0)</f>
        <v>1</v>
      </c>
      <c r="N426">
        <v>101099</v>
      </c>
    </row>
    <row r="427" spans="1:14" x14ac:dyDescent="0.35">
      <c r="A427" t="s">
        <v>474</v>
      </c>
      <c r="B427">
        <v>5</v>
      </c>
      <c r="C427" t="str">
        <f>_xlfn.IFS(Table3[[#This Row],[Age]]&lt;=10, "Child",Table3[[#This Row],[Age]]&lt;18, "Teenger", Table3[[#This Row],[Age]]&lt;30, "Middle Age", Table3[[#This Row],[Age]]&lt; 60,"Adult",Table3[[#This Row],[Age]],"Senior Citizen")</f>
        <v>Child</v>
      </c>
      <c r="D427" t="s">
        <v>12</v>
      </c>
      <c r="E427" t="s">
        <v>38</v>
      </c>
      <c r="F427" t="s">
        <v>22</v>
      </c>
      <c r="G427" s="1">
        <v>45656</v>
      </c>
      <c r="H427" s="1">
        <v>45667</v>
      </c>
      <c r="I427" s="2">
        <f>Table3[[#This Row],[Discharge_Date]]-Table3[[#This Row],[Admission_Date]]</f>
        <v>11</v>
      </c>
      <c r="J427">
        <v>274</v>
      </c>
      <c r="K427" t="s">
        <v>15</v>
      </c>
      <c r="L427" t="s">
        <v>16</v>
      </c>
      <c r="M427">
        <f>IF(Table3[[#This Row],[Treatment_Success]]="Yes",1,0)</f>
        <v>1</v>
      </c>
      <c r="N427">
        <v>178531</v>
      </c>
    </row>
    <row r="428" spans="1:14" x14ac:dyDescent="0.35">
      <c r="A428" t="s">
        <v>475</v>
      </c>
      <c r="B428">
        <v>3</v>
      </c>
      <c r="C428" t="str">
        <f>_xlfn.IFS(Table3[[#This Row],[Age]]&lt;=10, "Child",Table3[[#This Row],[Age]]&lt;18, "Teenger", Table3[[#This Row],[Age]]&lt;30, "Middle Age", Table3[[#This Row],[Age]]&lt; 60,"Adult",Table3[[#This Row],[Age]],"Senior Citizen")</f>
        <v>Child</v>
      </c>
      <c r="D428" t="s">
        <v>18</v>
      </c>
      <c r="E428" t="s">
        <v>24</v>
      </c>
      <c r="F428" t="s">
        <v>93</v>
      </c>
      <c r="G428" s="1">
        <v>45347</v>
      </c>
      <c r="H428" s="1">
        <v>45358</v>
      </c>
      <c r="I428" s="2">
        <f>Table3[[#This Row],[Discharge_Date]]-Table3[[#This Row],[Admission_Date]]</f>
        <v>11</v>
      </c>
      <c r="J428">
        <v>228</v>
      </c>
      <c r="K428" t="s">
        <v>46</v>
      </c>
      <c r="L428" t="s">
        <v>16</v>
      </c>
      <c r="M428">
        <f>IF(Table3[[#This Row],[Treatment_Success]]="Yes",1,0)</f>
        <v>1</v>
      </c>
      <c r="N428">
        <v>148466</v>
      </c>
    </row>
    <row r="429" spans="1:14" x14ac:dyDescent="0.35">
      <c r="A429" t="s">
        <v>476</v>
      </c>
      <c r="B429">
        <v>90</v>
      </c>
      <c r="C429" t="str">
        <f>_xlfn.IFS(Table3[[#This Row],[Age]]&lt;=10, "Child",Table3[[#This Row],[Age]]&lt;18, "Teenger", Table3[[#This Row],[Age]]&lt;30, "Middle Age", Table3[[#This Row],[Age]]&lt; 60,"Adult",Table3[[#This Row],[Age]],"Senior Citizen")</f>
        <v>Senior Citizen</v>
      </c>
      <c r="D429" t="s">
        <v>18</v>
      </c>
      <c r="E429" t="s">
        <v>13</v>
      </c>
      <c r="F429" t="s">
        <v>40</v>
      </c>
      <c r="G429" s="1">
        <v>45421</v>
      </c>
      <c r="H429" s="1">
        <v>45429</v>
      </c>
      <c r="I429" s="2">
        <f>Table3[[#This Row],[Discharge_Date]]-Table3[[#This Row],[Admission_Date]]</f>
        <v>8</v>
      </c>
      <c r="J429">
        <v>5</v>
      </c>
      <c r="K429" t="s">
        <v>33</v>
      </c>
      <c r="L429" t="s">
        <v>26</v>
      </c>
      <c r="M429">
        <f>IF(Table3[[#This Row],[Treatment_Success]]="Yes",1,0)</f>
        <v>0</v>
      </c>
      <c r="N429">
        <v>178451</v>
      </c>
    </row>
    <row r="430" spans="1:14" x14ac:dyDescent="0.35">
      <c r="A430" t="s">
        <v>477</v>
      </c>
      <c r="B430">
        <v>67</v>
      </c>
      <c r="C430" t="str">
        <f>_xlfn.IFS(Table3[[#This Row],[Age]]&lt;=10, "Child",Table3[[#This Row],[Age]]&lt;18, "Teenger", Table3[[#This Row],[Age]]&lt;30, "Middle Age", Table3[[#This Row],[Age]]&lt; 60,"Adult",Table3[[#This Row],[Age]],"Senior Citizen")</f>
        <v>Senior Citizen</v>
      </c>
      <c r="D430" t="s">
        <v>12</v>
      </c>
      <c r="E430" t="s">
        <v>28</v>
      </c>
      <c r="F430" t="s">
        <v>35</v>
      </c>
      <c r="G430" s="1">
        <v>45343</v>
      </c>
      <c r="H430" s="1">
        <v>45354</v>
      </c>
      <c r="I430" s="2">
        <f>Table3[[#This Row],[Discharge_Date]]-Table3[[#This Row],[Admission_Date]]</f>
        <v>11</v>
      </c>
      <c r="J430">
        <v>71</v>
      </c>
      <c r="K430" t="s">
        <v>46</v>
      </c>
      <c r="L430" t="s">
        <v>16</v>
      </c>
      <c r="M430">
        <f>IF(Table3[[#This Row],[Treatment_Success]]="Yes",1,0)</f>
        <v>1</v>
      </c>
      <c r="N430">
        <v>139108</v>
      </c>
    </row>
    <row r="431" spans="1:14" x14ac:dyDescent="0.35">
      <c r="A431" t="s">
        <v>478</v>
      </c>
      <c r="B431">
        <v>37</v>
      </c>
      <c r="C431" t="str">
        <f>_xlfn.IFS(Table3[[#This Row],[Age]]&lt;=10, "Child",Table3[[#This Row],[Age]]&lt;18, "Teenger", Table3[[#This Row],[Age]]&lt;30, "Middle Age", Table3[[#This Row],[Age]]&lt; 60,"Adult",Table3[[#This Row],[Age]],"Senior Citizen")</f>
        <v>Adult</v>
      </c>
      <c r="D431" t="s">
        <v>18</v>
      </c>
      <c r="E431" t="s">
        <v>24</v>
      </c>
      <c r="F431" t="s">
        <v>43</v>
      </c>
      <c r="G431" s="1">
        <v>45608</v>
      </c>
      <c r="H431" s="1">
        <v>45610</v>
      </c>
      <c r="I431" s="2">
        <f>Table3[[#This Row],[Discharge_Date]]-Table3[[#This Row],[Admission_Date]]</f>
        <v>2</v>
      </c>
      <c r="J431">
        <v>102</v>
      </c>
      <c r="K431" t="s">
        <v>36</v>
      </c>
      <c r="L431" t="s">
        <v>16</v>
      </c>
      <c r="M431">
        <f>IF(Table3[[#This Row],[Treatment_Success]]="Yes",1,0)</f>
        <v>1</v>
      </c>
      <c r="N431">
        <v>142139</v>
      </c>
    </row>
    <row r="432" spans="1:14" x14ac:dyDescent="0.35">
      <c r="A432" t="s">
        <v>479</v>
      </c>
      <c r="B432">
        <v>53</v>
      </c>
      <c r="C432" t="str">
        <f>_xlfn.IFS(Table3[[#This Row],[Age]]&lt;=10, "Child",Table3[[#This Row],[Age]]&lt;18, "Teenger", Table3[[#This Row],[Age]]&lt;30, "Middle Age", Table3[[#This Row],[Age]]&lt; 60,"Adult",Table3[[#This Row],[Age]],"Senior Citizen")</f>
        <v>Adult</v>
      </c>
      <c r="D432" t="s">
        <v>12</v>
      </c>
      <c r="E432" t="s">
        <v>13</v>
      </c>
      <c r="F432" t="s">
        <v>52</v>
      </c>
      <c r="G432" s="1">
        <v>45395</v>
      </c>
      <c r="H432" s="1">
        <v>45401</v>
      </c>
      <c r="I432" s="2">
        <f>Table3[[#This Row],[Discharge_Date]]-Table3[[#This Row],[Admission_Date]]</f>
        <v>6</v>
      </c>
      <c r="J432">
        <v>281</v>
      </c>
      <c r="K432" t="s">
        <v>46</v>
      </c>
      <c r="L432" t="s">
        <v>16</v>
      </c>
      <c r="M432">
        <f>IF(Table3[[#This Row],[Treatment_Success]]="Yes",1,0)</f>
        <v>1</v>
      </c>
      <c r="N432">
        <v>185408</v>
      </c>
    </row>
    <row r="433" spans="1:14" x14ac:dyDescent="0.35">
      <c r="A433" t="s">
        <v>480</v>
      </c>
      <c r="B433">
        <v>31</v>
      </c>
      <c r="C433" t="str">
        <f>_xlfn.IFS(Table3[[#This Row],[Age]]&lt;=10, "Child",Table3[[#This Row],[Age]]&lt;18, "Teenger", Table3[[#This Row],[Age]]&lt;30, "Middle Age", Table3[[#This Row],[Age]]&lt; 60,"Adult",Table3[[#This Row],[Age]],"Senior Citizen")</f>
        <v>Adult</v>
      </c>
      <c r="D433" t="s">
        <v>18</v>
      </c>
      <c r="E433" t="s">
        <v>24</v>
      </c>
      <c r="F433" t="s">
        <v>54</v>
      </c>
      <c r="G433" s="1">
        <v>45538</v>
      </c>
      <c r="H433" s="1">
        <v>45544</v>
      </c>
      <c r="I433" s="2">
        <f>Table3[[#This Row],[Discharge_Date]]-Table3[[#This Row],[Admission_Date]]</f>
        <v>6</v>
      </c>
      <c r="J433">
        <v>46</v>
      </c>
      <c r="K433" t="s">
        <v>15</v>
      </c>
      <c r="L433" t="s">
        <v>26</v>
      </c>
      <c r="M433">
        <f>IF(Table3[[#This Row],[Treatment_Success]]="Yes",1,0)</f>
        <v>0</v>
      </c>
      <c r="N433">
        <v>44097</v>
      </c>
    </row>
    <row r="434" spans="1:14" x14ac:dyDescent="0.35">
      <c r="A434" t="s">
        <v>481</v>
      </c>
      <c r="B434">
        <v>66</v>
      </c>
      <c r="C434" t="str">
        <f>_xlfn.IFS(Table3[[#This Row],[Age]]&lt;=10, "Child",Table3[[#This Row],[Age]]&lt;18, "Teenger", Table3[[#This Row],[Age]]&lt;30, "Middle Age", Table3[[#This Row],[Age]]&lt; 60,"Adult",Table3[[#This Row],[Age]],"Senior Citizen")</f>
        <v>Senior Citizen</v>
      </c>
      <c r="D434" t="s">
        <v>18</v>
      </c>
      <c r="E434" t="s">
        <v>24</v>
      </c>
      <c r="F434" t="s">
        <v>32</v>
      </c>
      <c r="G434" s="1">
        <v>45338</v>
      </c>
      <c r="H434" s="1">
        <v>45351</v>
      </c>
      <c r="I434" s="2">
        <f>Table3[[#This Row],[Discharge_Date]]-Table3[[#This Row],[Admission_Date]]</f>
        <v>13</v>
      </c>
      <c r="J434">
        <v>119</v>
      </c>
      <c r="K434" t="s">
        <v>46</v>
      </c>
      <c r="L434" t="s">
        <v>16</v>
      </c>
      <c r="M434">
        <f>IF(Table3[[#This Row],[Treatment_Success]]="Yes",1,0)</f>
        <v>1</v>
      </c>
      <c r="N434">
        <v>74238</v>
      </c>
    </row>
    <row r="435" spans="1:14" x14ac:dyDescent="0.35">
      <c r="A435" t="s">
        <v>482</v>
      </c>
      <c r="B435">
        <v>13</v>
      </c>
      <c r="C435" t="str">
        <f>_xlfn.IFS(Table3[[#This Row],[Age]]&lt;=10, "Child",Table3[[#This Row],[Age]]&lt;18, "Teenger", Table3[[#This Row],[Age]]&lt;30, "Middle Age", Table3[[#This Row],[Age]]&lt; 60,"Adult",Table3[[#This Row],[Age]],"Senior Citizen")</f>
        <v>Teenger</v>
      </c>
      <c r="D435" t="s">
        <v>18</v>
      </c>
      <c r="E435" t="s">
        <v>24</v>
      </c>
      <c r="F435" t="s">
        <v>83</v>
      </c>
      <c r="G435" s="1">
        <v>45529</v>
      </c>
      <c r="H435" s="1">
        <v>45530</v>
      </c>
      <c r="I435" s="2">
        <f>Table3[[#This Row],[Discharge_Date]]-Table3[[#This Row],[Admission_Date]]</f>
        <v>1</v>
      </c>
      <c r="J435">
        <v>185</v>
      </c>
      <c r="K435" t="s">
        <v>33</v>
      </c>
      <c r="L435" t="s">
        <v>26</v>
      </c>
      <c r="M435">
        <f>IF(Table3[[#This Row],[Treatment_Success]]="Yes",1,0)</f>
        <v>0</v>
      </c>
      <c r="N435">
        <v>198603</v>
      </c>
    </row>
    <row r="436" spans="1:14" x14ac:dyDescent="0.35">
      <c r="A436" t="s">
        <v>483</v>
      </c>
      <c r="B436">
        <v>6</v>
      </c>
      <c r="C436" t="str">
        <f>_xlfn.IFS(Table3[[#This Row],[Age]]&lt;=10, "Child",Table3[[#This Row],[Age]]&lt;18, "Teenger", Table3[[#This Row],[Age]]&lt;30, "Middle Age", Table3[[#This Row],[Age]]&lt; 60,"Adult",Table3[[#This Row],[Age]],"Senior Citizen")</f>
        <v>Child</v>
      </c>
      <c r="D436" t="s">
        <v>18</v>
      </c>
      <c r="E436" t="s">
        <v>13</v>
      </c>
      <c r="F436" t="s">
        <v>54</v>
      </c>
      <c r="G436" s="1">
        <v>45351</v>
      </c>
      <c r="H436" s="1">
        <v>45353</v>
      </c>
      <c r="I436" s="2">
        <f>Table3[[#This Row],[Discharge_Date]]-Table3[[#This Row],[Admission_Date]]</f>
        <v>2</v>
      </c>
      <c r="J436">
        <v>88</v>
      </c>
      <c r="K436" t="s">
        <v>33</v>
      </c>
      <c r="L436" t="s">
        <v>16</v>
      </c>
      <c r="M436">
        <f>IF(Table3[[#This Row],[Treatment_Success]]="Yes",1,0)</f>
        <v>1</v>
      </c>
      <c r="N436">
        <v>119744</v>
      </c>
    </row>
    <row r="437" spans="1:14" x14ac:dyDescent="0.35">
      <c r="A437" t="s">
        <v>484</v>
      </c>
      <c r="B437">
        <v>12</v>
      </c>
      <c r="C437" t="str">
        <f>_xlfn.IFS(Table3[[#This Row],[Age]]&lt;=10, "Child",Table3[[#This Row],[Age]]&lt;18, "Teenger", Table3[[#This Row],[Age]]&lt;30, "Middle Age", Table3[[#This Row],[Age]]&lt; 60,"Adult",Table3[[#This Row],[Age]],"Senior Citizen")</f>
        <v>Teenger</v>
      </c>
      <c r="D437" t="s">
        <v>12</v>
      </c>
      <c r="E437" t="s">
        <v>38</v>
      </c>
      <c r="F437" t="s">
        <v>66</v>
      </c>
      <c r="G437" s="1">
        <v>45610</v>
      </c>
      <c r="H437" s="1">
        <v>45615</v>
      </c>
      <c r="I437" s="2">
        <f>Table3[[#This Row],[Discharge_Date]]-Table3[[#This Row],[Admission_Date]]</f>
        <v>5</v>
      </c>
      <c r="J437">
        <v>59</v>
      </c>
      <c r="K437" t="s">
        <v>46</v>
      </c>
      <c r="L437" t="s">
        <v>26</v>
      </c>
      <c r="M437">
        <f>IF(Table3[[#This Row],[Treatment_Success]]="Yes",1,0)</f>
        <v>0</v>
      </c>
      <c r="N437">
        <v>124678</v>
      </c>
    </row>
    <row r="438" spans="1:14" x14ac:dyDescent="0.35">
      <c r="A438" t="s">
        <v>485</v>
      </c>
      <c r="B438">
        <v>50</v>
      </c>
      <c r="C438" t="str">
        <f>_xlfn.IFS(Table3[[#This Row],[Age]]&lt;=10, "Child",Table3[[#This Row],[Age]]&lt;18, "Teenger", Table3[[#This Row],[Age]]&lt;30, "Middle Age", Table3[[#This Row],[Age]]&lt; 60,"Adult",Table3[[#This Row],[Age]],"Senior Citizen")</f>
        <v>Adult</v>
      </c>
      <c r="D438" t="s">
        <v>12</v>
      </c>
      <c r="E438" t="s">
        <v>31</v>
      </c>
      <c r="F438" t="s">
        <v>68</v>
      </c>
      <c r="G438" s="1">
        <v>45431</v>
      </c>
      <c r="H438" s="1">
        <v>45445</v>
      </c>
      <c r="I438" s="2">
        <f>Table3[[#This Row],[Discharge_Date]]-Table3[[#This Row],[Admission_Date]]</f>
        <v>14</v>
      </c>
      <c r="J438">
        <v>86</v>
      </c>
      <c r="K438" t="s">
        <v>15</v>
      </c>
      <c r="L438" t="s">
        <v>16</v>
      </c>
      <c r="M438">
        <f>IF(Table3[[#This Row],[Treatment_Success]]="Yes",1,0)</f>
        <v>1</v>
      </c>
      <c r="N438">
        <v>187496</v>
      </c>
    </row>
    <row r="439" spans="1:14" x14ac:dyDescent="0.35">
      <c r="A439" t="s">
        <v>486</v>
      </c>
      <c r="B439">
        <v>21</v>
      </c>
      <c r="C439" t="str">
        <f>_xlfn.IFS(Table3[[#This Row],[Age]]&lt;=10, "Child",Table3[[#This Row],[Age]]&lt;18, "Teenger", Table3[[#This Row],[Age]]&lt;30, "Middle Age", Table3[[#This Row],[Age]]&lt; 60,"Adult",Table3[[#This Row],[Age]],"Senior Citizen")</f>
        <v>Middle Age</v>
      </c>
      <c r="D439" t="s">
        <v>18</v>
      </c>
      <c r="E439" t="s">
        <v>31</v>
      </c>
      <c r="F439" t="s">
        <v>58</v>
      </c>
      <c r="G439" s="1">
        <v>45322</v>
      </c>
      <c r="H439" s="1">
        <v>45336</v>
      </c>
      <c r="I439" s="2">
        <f>Table3[[#This Row],[Discharge_Date]]-Table3[[#This Row],[Admission_Date]]</f>
        <v>14</v>
      </c>
      <c r="J439">
        <v>248</v>
      </c>
      <c r="K439" t="s">
        <v>46</v>
      </c>
      <c r="L439" t="s">
        <v>16</v>
      </c>
      <c r="M439">
        <f>IF(Table3[[#This Row],[Treatment_Success]]="Yes",1,0)</f>
        <v>1</v>
      </c>
      <c r="N439">
        <v>165254</v>
      </c>
    </row>
    <row r="440" spans="1:14" x14ac:dyDescent="0.35">
      <c r="A440" t="s">
        <v>487</v>
      </c>
      <c r="B440">
        <v>46</v>
      </c>
      <c r="C440" t="str">
        <f>_xlfn.IFS(Table3[[#This Row],[Age]]&lt;=10, "Child",Table3[[#This Row],[Age]]&lt;18, "Teenger", Table3[[#This Row],[Age]]&lt;30, "Middle Age", Table3[[#This Row],[Age]]&lt; 60,"Adult",Table3[[#This Row],[Age]],"Senior Citizen")</f>
        <v>Adult</v>
      </c>
      <c r="D440" t="s">
        <v>18</v>
      </c>
      <c r="E440" t="s">
        <v>13</v>
      </c>
      <c r="F440" t="s">
        <v>43</v>
      </c>
      <c r="G440" s="1">
        <v>45486</v>
      </c>
      <c r="H440" s="1">
        <v>45499</v>
      </c>
      <c r="I440" s="2">
        <f>Table3[[#This Row],[Discharge_Date]]-Table3[[#This Row],[Admission_Date]]</f>
        <v>13</v>
      </c>
      <c r="J440">
        <v>250</v>
      </c>
      <c r="K440" t="s">
        <v>15</v>
      </c>
      <c r="L440" t="s">
        <v>26</v>
      </c>
      <c r="M440">
        <f>IF(Table3[[#This Row],[Treatment_Success]]="Yes",1,0)</f>
        <v>0</v>
      </c>
      <c r="N440">
        <v>120523</v>
      </c>
    </row>
    <row r="441" spans="1:14" x14ac:dyDescent="0.35">
      <c r="A441" t="s">
        <v>488</v>
      </c>
      <c r="B441">
        <v>34</v>
      </c>
      <c r="C441" t="str">
        <f>_xlfn.IFS(Table3[[#This Row],[Age]]&lt;=10, "Child",Table3[[#This Row],[Age]]&lt;18, "Teenger", Table3[[#This Row],[Age]]&lt;30, "Middle Age", Table3[[#This Row],[Age]]&lt; 60,"Adult",Table3[[#This Row],[Age]],"Senior Citizen")</f>
        <v>Adult</v>
      </c>
      <c r="D441" t="s">
        <v>12</v>
      </c>
      <c r="E441" t="s">
        <v>24</v>
      </c>
      <c r="F441" t="s">
        <v>40</v>
      </c>
      <c r="G441" s="1">
        <v>45315</v>
      </c>
      <c r="H441" s="1">
        <v>45317</v>
      </c>
      <c r="I441" s="2">
        <f>Table3[[#This Row],[Discharge_Date]]-Table3[[#This Row],[Admission_Date]]</f>
        <v>2</v>
      </c>
      <c r="J441">
        <v>269</v>
      </c>
      <c r="K441" t="s">
        <v>36</v>
      </c>
      <c r="L441" t="s">
        <v>16</v>
      </c>
      <c r="M441">
        <f>IF(Table3[[#This Row],[Treatment_Success]]="Yes",1,0)</f>
        <v>1</v>
      </c>
      <c r="N441">
        <v>141078</v>
      </c>
    </row>
    <row r="442" spans="1:14" x14ac:dyDescent="0.35">
      <c r="A442" t="s">
        <v>489</v>
      </c>
      <c r="B442">
        <v>90</v>
      </c>
      <c r="C442" t="str">
        <f>_xlfn.IFS(Table3[[#This Row],[Age]]&lt;=10, "Child",Table3[[#This Row],[Age]]&lt;18, "Teenger", Table3[[#This Row],[Age]]&lt;30, "Middle Age", Table3[[#This Row],[Age]]&lt; 60,"Adult",Table3[[#This Row],[Age]],"Senior Citizen")</f>
        <v>Senior Citizen</v>
      </c>
      <c r="D442" t="s">
        <v>18</v>
      </c>
      <c r="E442" t="s">
        <v>31</v>
      </c>
      <c r="F442" t="s">
        <v>54</v>
      </c>
      <c r="G442" s="1">
        <v>45559</v>
      </c>
      <c r="H442" s="1">
        <v>45571</v>
      </c>
      <c r="I442" s="2">
        <f>Table3[[#This Row],[Discharge_Date]]-Table3[[#This Row],[Admission_Date]]</f>
        <v>12</v>
      </c>
      <c r="J442">
        <v>128</v>
      </c>
      <c r="K442" t="s">
        <v>46</v>
      </c>
      <c r="L442" t="s">
        <v>16</v>
      </c>
      <c r="M442">
        <f>IF(Table3[[#This Row],[Treatment_Success]]="Yes",1,0)</f>
        <v>1</v>
      </c>
      <c r="N442">
        <v>178987</v>
      </c>
    </row>
    <row r="443" spans="1:14" x14ac:dyDescent="0.35">
      <c r="A443" t="s">
        <v>490</v>
      </c>
      <c r="B443">
        <v>50</v>
      </c>
      <c r="C443" t="str">
        <f>_xlfn.IFS(Table3[[#This Row],[Age]]&lt;=10, "Child",Table3[[#This Row],[Age]]&lt;18, "Teenger", Table3[[#This Row],[Age]]&lt;30, "Middle Age", Table3[[#This Row],[Age]]&lt; 60,"Adult",Table3[[#This Row],[Age]],"Senior Citizen")</f>
        <v>Adult</v>
      </c>
      <c r="D443" t="s">
        <v>18</v>
      </c>
      <c r="E443" t="s">
        <v>28</v>
      </c>
      <c r="F443" t="s">
        <v>35</v>
      </c>
      <c r="G443" s="1">
        <v>45638</v>
      </c>
      <c r="H443" s="1">
        <v>45649</v>
      </c>
      <c r="I443" s="2">
        <f>Table3[[#This Row],[Discharge_Date]]-Table3[[#This Row],[Admission_Date]]</f>
        <v>11</v>
      </c>
      <c r="J443">
        <v>28</v>
      </c>
      <c r="K443" t="s">
        <v>15</v>
      </c>
      <c r="L443" t="s">
        <v>16</v>
      </c>
      <c r="M443">
        <f>IF(Table3[[#This Row],[Treatment_Success]]="Yes",1,0)</f>
        <v>1</v>
      </c>
      <c r="N443">
        <v>137531</v>
      </c>
    </row>
    <row r="444" spans="1:14" x14ac:dyDescent="0.35">
      <c r="A444" t="s">
        <v>491</v>
      </c>
      <c r="B444">
        <v>64</v>
      </c>
      <c r="C444" t="str">
        <f>_xlfn.IFS(Table3[[#This Row],[Age]]&lt;=10, "Child",Table3[[#This Row],[Age]]&lt;18, "Teenger", Table3[[#This Row],[Age]]&lt;30, "Middle Age", Table3[[#This Row],[Age]]&lt; 60,"Adult",Table3[[#This Row],[Age]],"Senior Citizen")</f>
        <v>Senior Citizen</v>
      </c>
      <c r="D444" t="s">
        <v>18</v>
      </c>
      <c r="E444" t="s">
        <v>24</v>
      </c>
      <c r="F444" t="s">
        <v>22</v>
      </c>
      <c r="G444" s="1">
        <v>45532</v>
      </c>
      <c r="H444" s="1">
        <v>45546</v>
      </c>
      <c r="I444" s="2">
        <f>Table3[[#This Row],[Discharge_Date]]-Table3[[#This Row],[Admission_Date]]</f>
        <v>14</v>
      </c>
      <c r="J444">
        <v>252</v>
      </c>
      <c r="K444" t="s">
        <v>33</v>
      </c>
      <c r="L444" t="s">
        <v>16</v>
      </c>
      <c r="M444">
        <f>IF(Table3[[#This Row],[Treatment_Success]]="Yes",1,0)</f>
        <v>1</v>
      </c>
      <c r="N444">
        <v>91742</v>
      </c>
    </row>
    <row r="445" spans="1:14" x14ac:dyDescent="0.35">
      <c r="A445" t="s">
        <v>492</v>
      </c>
      <c r="B445">
        <v>65</v>
      </c>
      <c r="C445" t="str">
        <f>_xlfn.IFS(Table3[[#This Row],[Age]]&lt;=10, "Child",Table3[[#This Row],[Age]]&lt;18, "Teenger", Table3[[#This Row],[Age]]&lt;30, "Middle Age", Table3[[#This Row],[Age]]&lt; 60,"Adult",Table3[[#This Row],[Age]],"Senior Citizen")</f>
        <v>Senior Citizen</v>
      </c>
      <c r="D445" t="s">
        <v>18</v>
      </c>
      <c r="E445" t="s">
        <v>28</v>
      </c>
      <c r="F445" t="s">
        <v>68</v>
      </c>
      <c r="G445" s="1">
        <v>45434</v>
      </c>
      <c r="H445" s="1">
        <v>45435</v>
      </c>
      <c r="I445" s="2">
        <f>Table3[[#This Row],[Discharge_Date]]-Table3[[#This Row],[Admission_Date]]</f>
        <v>1</v>
      </c>
      <c r="J445">
        <v>194</v>
      </c>
      <c r="K445" t="s">
        <v>46</v>
      </c>
      <c r="L445" t="s">
        <v>16</v>
      </c>
      <c r="M445">
        <f>IF(Table3[[#This Row],[Treatment_Success]]="Yes",1,0)</f>
        <v>1</v>
      </c>
      <c r="N445">
        <v>25664</v>
      </c>
    </row>
    <row r="446" spans="1:14" x14ac:dyDescent="0.35">
      <c r="A446" t="s">
        <v>493</v>
      </c>
      <c r="B446">
        <v>74</v>
      </c>
      <c r="C446" t="str">
        <f>_xlfn.IFS(Table3[[#This Row],[Age]]&lt;=10, "Child",Table3[[#This Row],[Age]]&lt;18, "Teenger", Table3[[#This Row],[Age]]&lt;30, "Middle Age", Table3[[#This Row],[Age]]&lt; 60,"Adult",Table3[[#This Row],[Age]],"Senior Citizen")</f>
        <v>Senior Citizen</v>
      </c>
      <c r="D446" t="s">
        <v>12</v>
      </c>
      <c r="E446" t="s">
        <v>24</v>
      </c>
      <c r="F446" t="s">
        <v>43</v>
      </c>
      <c r="G446" s="1">
        <v>45527</v>
      </c>
      <c r="H446" s="1">
        <v>45535</v>
      </c>
      <c r="I446" s="2">
        <f>Table3[[#This Row],[Discharge_Date]]-Table3[[#This Row],[Admission_Date]]</f>
        <v>8</v>
      </c>
      <c r="J446">
        <v>229</v>
      </c>
      <c r="K446" t="s">
        <v>33</v>
      </c>
      <c r="L446" t="s">
        <v>16</v>
      </c>
      <c r="M446">
        <f>IF(Table3[[#This Row],[Treatment_Success]]="Yes",1,0)</f>
        <v>1</v>
      </c>
      <c r="N446">
        <v>135383</v>
      </c>
    </row>
    <row r="447" spans="1:14" x14ac:dyDescent="0.35">
      <c r="A447" t="s">
        <v>494</v>
      </c>
      <c r="B447">
        <v>14</v>
      </c>
      <c r="C447" t="str">
        <f>_xlfn.IFS(Table3[[#This Row],[Age]]&lt;=10, "Child",Table3[[#This Row],[Age]]&lt;18, "Teenger", Table3[[#This Row],[Age]]&lt;30, "Middle Age", Table3[[#This Row],[Age]]&lt; 60,"Adult",Table3[[#This Row],[Age]],"Senior Citizen")</f>
        <v>Teenger</v>
      </c>
      <c r="D447" t="s">
        <v>12</v>
      </c>
      <c r="E447" t="s">
        <v>31</v>
      </c>
      <c r="F447" t="s">
        <v>52</v>
      </c>
      <c r="G447" s="1">
        <v>45626</v>
      </c>
      <c r="H447" s="1">
        <v>45627</v>
      </c>
      <c r="I447" s="2">
        <f>Table3[[#This Row],[Discharge_Date]]-Table3[[#This Row],[Admission_Date]]</f>
        <v>1</v>
      </c>
      <c r="J447">
        <v>286</v>
      </c>
      <c r="K447" t="s">
        <v>15</v>
      </c>
      <c r="L447" t="s">
        <v>16</v>
      </c>
      <c r="M447">
        <f>IF(Table3[[#This Row],[Treatment_Success]]="Yes",1,0)</f>
        <v>1</v>
      </c>
      <c r="N447">
        <v>163388</v>
      </c>
    </row>
    <row r="448" spans="1:14" x14ac:dyDescent="0.35">
      <c r="A448" t="s">
        <v>495</v>
      </c>
      <c r="B448">
        <v>39</v>
      </c>
      <c r="C448" t="str">
        <f>_xlfn.IFS(Table3[[#This Row],[Age]]&lt;=10, "Child",Table3[[#This Row],[Age]]&lt;18, "Teenger", Table3[[#This Row],[Age]]&lt;30, "Middle Age", Table3[[#This Row],[Age]]&lt; 60,"Adult",Table3[[#This Row],[Age]],"Senior Citizen")</f>
        <v>Adult</v>
      </c>
      <c r="D448" t="s">
        <v>18</v>
      </c>
      <c r="E448" t="s">
        <v>31</v>
      </c>
      <c r="F448" t="s">
        <v>95</v>
      </c>
      <c r="G448" s="1">
        <v>45608</v>
      </c>
      <c r="H448" s="1">
        <v>45619</v>
      </c>
      <c r="I448" s="2">
        <f>Table3[[#This Row],[Discharge_Date]]-Table3[[#This Row],[Admission_Date]]</f>
        <v>11</v>
      </c>
      <c r="J448">
        <v>187</v>
      </c>
      <c r="K448" t="s">
        <v>15</v>
      </c>
      <c r="L448" t="s">
        <v>16</v>
      </c>
      <c r="M448">
        <f>IF(Table3[[#This Row],[Treatment_Success]]="Yes",1,0)</f>
        <v>1</v>
      </c>
      <c r="N448">
        <v>124133</v>
      </c>
    </row>
    <row r="449" spans="1:14" x14ac:dyDescent="0.35">
      <c r="A449" t="s">
        <v>496</v>
      </c>
      <c r="B449">
        <v>80</v>
      </c>
      <c r="C449" t="str">
        <f>_xlfn.IFS(Table3[[#This Row],[Age]]&lt;=10, "Child",Table3[[#This Row],[Age]]&lt;18, "Teenger", Table3[[#This Row],[Age]]&lt;30, "Middle Age", Table3[[#This Row],[Age]]&lt; 60,"Adult",Table3[[#This Row],[Age]],"Senior Citizen")</f>
        <v>Senior Citizen</v>
      </c>
      <c r="D449" t="s">
        <v>12</v>
      </c>
      <c r="E449" t="s">
        <v>38</v>
      </c>
      <c r="F449" t="s">
        <v>40</v>
      </c>
      <c r="G449" s="1">
        <v>45461</v>
      </c>
      <c r="H449" s="1">
        <v>45470</v>
      </c>
      <c r="I449" s="2">
        <f>Table3[[#This Row],[Discharge_Date]]-Table3[[#This Row],[Admission_Date]]</f>
        <v>9</v>
      </c>
      <c r="J449">
        <v>232</v>
      </c>
      <c r="K449" t="s">
        <v>15</v>
      </c>
      <c r="L449" t="s">
        <v>16</v>
      </c>
      <c r="M449">
        <f>IF(Table3[[#This Row],[Treatment_Success]]="Yes",1,0)</f>
        <v>1</v>
      </c>
      <c r="N449">
        <v>177729</v>
      </c>
    </row>
    <row r="450" spans="1:14" x14ac:dyDescent="0.35">
      <c r="A450" t="s">
        <v>497</v>
      </c>
      <c r="B450">
        <v>44</v>
      </c>
      <c r="C450" t="str">
        <f>_xlfn.IFS(Table3[[#This Row],[Age]]&lt;=10, "Child",Table3[[#This Row],[Age]]&lt;18, "Teenger", Table3[[#This Row],[Age]]&lt;30, "Middle Age", Table3[[#This Row],[Age]]&lt; 60,"Adult",Table3[[#This Row],[Age]],"Senior Citizen")</f>
        <v>Adult</v>
      </c>
      <c r="D450" t="s">
        <v>12</v>
      </c>
      <c r="E450" t="s">
        <v>38</v>
      </c>
      <c r="F450" t="s">
        <v>61</v>
      </c>
      <c r="G450" s="1">
        <v>45405</v>
      </c>
      <c r="H450" s="1">
        <v>45406</v>
      </c>
      <c r="I450" s="2">
        <f>Table3[[#This Row],[Discharge_Date]]-Table3[[#This Row],[Admission_Date]]</f>
        <v>1</v>
      </c>
      <c r="J450">
        <v>268</v>
      </c>
      <c r="K450" t="s">
        <v>33</v>
      </c>
      <c r="L450" t="s">
        <v>16</v>
      </c>
      <c r="M450">
        <f>IF(Table3[[#This Row],[Treatment_Success]]="Yes",1,0)</f>
        <v>1</v>
      </c>
      <c r="N450">
        <v>17000</v>
      </c>
    </row>
    <row r="451" spans="1:14" x14ac:dyDescent="0.35">
      <c r="A451" t="s">
        <v>498</v>
      </c>
      <c r="B451">
        <v>18</v>
      </c>
      <c r="C451" t="str">
        <f>_xlfn.IFS(Table3[[#This Row],[Age]]&lt;=10, "Child",Table3[[#This Row],[Age]]&lt;18, "Teenger", Table3[[#This Row],[Age]]&lt;30, "Middle Age", Table3[[#This Row],[Age]]&lt; 60,"Adult",Table3[[#This Row],[Age]],"Senior Citizen")</f>
        <v>Middle Age</v>
      </c>
      <c r="D451" t="s">
        <v>12</v>
      </c>
      <c r="E451" t="s">
        <v>24</v>
      </c>
      <c r="F451" t="s">
        <v>32</v>
      </c>
      <c r="G451" s="1">
        <v>45376</v>
      </c>
      <c r="H451" s="1">
        <v>45384</v>
      </c>
      <c r="I451" s="2">
        <f>Table3[[#This Row],[Discharge_Date]]-Table3[[#This Row],[Admission_Date]]</f>
        <v>8</v>
      </c>
      <c r="J451">
        <v>101</v>
      </c>
      <c r="K451" t="s">
        <v>36</v>
      </c>
      <c r="L451" t="s">
        <v>16</v>
      </c>
      <c r="M451">
        <f>IF(Table3[[#This Row],[Treatment_Success]]="Yes",1,0)</f>
        <v>1</v>
      </c>
      <c r="N451">
        <v>107995</v>
      </c>
    </row>
    <row r="452" spans="1:14" x14ac:dyDescent="0.35">
      <c r="A452" t="s">
        <v>499</v>
      </c>
      <c r="B452">
        <v>25</v>
      </c>
      <c r="C452" t="str">
        <f>_xlfn.IFS(Table3[[#This Row],[Age]]&lt;=10, "Child",Table3[[#This Row],[Age]]&lt;18, "Teenger", Table3[[#This Row],[Age]]&lt;30, "Middle Age", Table3[[#This Row],[Age]]&lt; 60,"Adult",Table3[[#This Row],[Age]],"Senior Citizen")</f>
        <v>Middle Age</v>
      </c>
      <c r="D452" t="s">
        <v>12</v>
      </c>
      <c r="E452" t="s">
        <v>24</v>
      </c>
      <c r="F452" t="s">
        <v>22</v>
      </c>
      <c r="G452" s="1">
        <v>45402</v>
      </c>
      <c r="H452" s="1">
        <v>45410</v>
      </c>
      <c r="I452" s="2">
        <f>Table3[[#This Row],[Discharge_Date]]-Table3[[#This Row],[Admission_Date]]</f>
        <v>8</v>
      </c>
      <c r="J452">
        <v>213</v>
      </c>
      <c r="K452" t="s">
        <v>15</v>
      </c>
      <c r="L452" t="s">
        <v>16</v>
      </c>
      <c r="M452">
        <f>IF(Table3[[#This Row],[Treatment_Success]]="Yes",1,0)</f>
        <v>1</v>
      </c>
      <c r="N452">
        <v>123097</v>
      </c>
    </row>
    <row r="453" spans="1:14" x14ac:dyDescent="0.35">
      <c r="A453" t="s">
        <v>500</v>
      </c>
      <c r="B453">
        <v>76</v>
      </c>
      <c r="C453" t="str">
        <f>_xlfn.IFS(Table3[[#This Row],[Age]]&lt;=10, "Child",Table3[[#This Row],[Age]]&lt;18, "Teenger", Table3[[#This Row],[Age]]&lt;30, "Middle Age", Table3[[#This Row],[Age]]&lt; 60,"Adult",Table3[[#This Row],[Age]],"Senior Citizen")</f>
        <v>Senior Citizen</v>
      </c>
      <c r="D453" t="s">
        <v>18</v>
      </c>
      <c r="E453" t="s">
        <v>31</v>
      </c>
      <c r="F453" t="s">
        <v>80</v>
      </c>
      <c r="G453" s="1">
        <v>45526</v>
      </c>
      <c r="H453" s="1">
        <v>45537</v>
      </c>
      <c r="I453" s="2">
        <f>Table3[[#This Row],[Discharge_Date]]-Table3[[#This Row],[Admission_Date]]</f>
        <v>11</v>
      </c>
      <c r="J453">
        <v>272</v>
      </c>
      <c r="K453" t="s">
        <v>15</v>
      </c>
      <c r="L453" t="s">
        <v>26</v>
      </c>
      <c r="M453">
        <f>IF(Table3[[#This Row],[Treatment_Success]]="Yes",1,0)</f>
        <v>0</v>
      </c>
      <c r="N453">
        <v>158385</v>
      </c>
    </row>
    <row r="454" spans="1:14" x14ac:dyDescent="0.35">
      <c r="A454" t="s">
        <v>501</v>
      </c>
      <c r="B454">
        <v>66</v>
      </c>
      <c r="C454" t="str">
        <f>_xlfn.IFS(Table3[[#This Row],[Age]]&lt;=10, "Child",Table3[[#This Row],[Age]]&lt;18, "Teenger", Table3[[#This Row],[Age]]&lt;30, "Middle Age", Table3[[#This Row],[Age]]&lt; 60,"Adult",Table3[[#This Row],[Age]],"Senior Citizen")</f>
        <v>Senior Citizen</v>
      </c>
      <c r="D454" t="s">
        <v>18</v>
      </c>
      <c r="E454" t="s">
        <v>28</v>
      </c>
      <c r="F454" t="s">
        <v>66</v>
      </c>
      <c r="G454" s="1">
        <v>45539</v>
      </c>
      <c r="H454" s="1">
        <v>45554</v>
      </c>
      <c r="I454" s="2">
        <f>Table3[[#This Row],[Discharge_Date]]-Table3[[#This Row],[Admission_Date]]</f>
        <v>15</v>
      </c>
      <c r="J454">
        <v>66</v>
      </c>
      <c r="K454" t="s">
        <v>15</v>
      </c>
      <c r="L454" t="s">
        <v>26</v>
      </c>
      <c r="M454">
        <f>IF(Table3[[#This Row],[Treatment_Success]]="Yes",1,0)</f>
        <v>0</v>
      </c>
      <c r="N454">
        <v>177365</v>
      </c>
    </row>
    <row r="455" spans="1:14" x14ac:dyDescent="0.35">
      <c r="A455" t="s">
        <v>502</v>
      </c>
      <c r="B455">
        <v>42</v>
      </c>
      <c r="C455" t="str">
        <f>_xlfn.IFS(Table3[[#This Row],[Age]]&lt;=10, "Child",Table3[[#This Row],[Age]]&lt;18, "Teenger", Table3[[#This Row],[Age]]&lt;30, "Middle Age", Table3[[#This Row],[Age]]&lt; 60,"Adult",Table3[[#This Row],[Age]],"Senior Citizen")</f>
        <v>Adult</v>
      </c>
      <c r="D455" t="s">
        <v>12</v>
      </c>
      <c r="E455" t="s">
        <v>31</v>
      </c>
      <c r="F455" t="s">
        <v>35</v>
      </c>
      <c r="G455" s="1">
        <v>45599</v>
      </c>
      <c r="H455" s="1">
        <v>45609</v>
      </c>
      <c r="I455" s="2">
        <f>Table3[[#This Row],[Discharge_Date]]-Table3[[#This Row],[Admission_Date]]</f>
        <v>10</v>
      </c>
      <c r="J455">
        <v>128</v>
      </c>
      <c r="K455" t="s">
        <v>33</v>
      </c>
      <c r="L455" t="s">
        <v>26</v>
      </c>
      <c r="M455">
        <f>IF(Table3[[#This Row],[Treatment_Success]]="Yes",1,0)</f>
        <v>0</v>
      </c>
      <c r="N455">
        <v>94878</v>
      </c>
    </row>
    <row r="456" spans="1:14" x14ac:dyDescent="0.35">
      <c r="A456" t="s">
        <v>503</v>
      </c>
      <c r="B456">
        <v>18</v>
      </c>
      <c r="C456" t="str">
        <f>_xlfn.IFS(Table3[[#This Row],[Age]]&lt;=10, "Child",Table3[[#This Row],[Age]]&lt;18, "Teenger", Table3[[#This Row],[Age]]&lt;30, "Middle Age", Table3[[#This Row],[Age]]&lt; 60,"Adult",Table3[[#This Row],[Age]],"Senior Citizen")</f>
        <v>Middle Age</v>
      </c>
      <c r="D456" t="s">
        <v>18</v>
      </c>
      <c r="E456" t="s">
        <v>31</v>
      </c>
      <c r="F456" t="s">
        <v>35</v>
      </c>
      <c r="G456" s="1">
        <v>45442</v>
      </c>
      <c r="H456" s="1">
        <v>45450</v>
      </c>
      <c r="I456" s="2">
        <f>Table3[[#This Row],[Discharge_Date]]-Table3[[#This Row],[Admission_Date]]</f>
        <v>8</v>
      </c>
      <c r="J456">
        <v>263</v>
      </c>
      <c r="K456" t="s">
        <v>33</v>
      </c>
      <c r="L456" t="s">
        <v>16</v>
      </c>
      <c r="M456">
        <f>IF(Table3[[#This Row],[Treatment_Success]]="Yes",1,0)</f>
        <v>1</v>
      </c>
      <c r="N456">
        <v>191613</v>
      </c>
    </row>
    <row r="457" spans="1:14" x14ac:dyDescent="0.35">
      <c r="A457" t="s">
        <v>504</v>
      </c>
      <c r="B457">
        <v>28</v>
      </c>
      <c r="C457" t="str">
        <f>_xlfn.IFS(Table3[[#This Row],[Age]]&lt;=10, "Child",Table3[[#This Row],[Age]]&lt;18, "Teenger", Table3[[#This Row],[Age]]&lt;30, "Middle Age", Table3[[#This Row],[Age]]&lt; 60,"Adult",Table3[[#This Row],[Age]],"Senior Citizen")</f>
        <v>Middle Age</v>
      </c>
      <c r="D457" t="s">
        <v>18</v>
      </c>
      <c r="E457" t="s">
        <v>13</v>
      </c>
      <c r="F457" t="s">
        <v>35</v>
      </c>
      <c r="G457" s="1">
        <v>45575</v>
      </c>
      <c r="H457" s="1">
        <v>45586</v>
      </c>
      <c r="I457" s="2">
        <f>Table3[[#This Row],[Discharge_Date]]-Table3[[#This Row],[Admission_Date]]</f>
        <v>11</v>
      </c>
      <c r="J457">
        <v>149</v>
      </c>
      <c r="K457" t="s">
        <v>33</v>
      </c>
      <c r="L457" t="s">
        <v>16</v>
      </c>
      <c r="M457">
        <f>IF(Table3[[#This Row],[Treatment_Success]]="Yes",1,0)</f>
        <v>1</v>
      </c>
      <c r="N457">
        <v>191226</v>
      </c>
    </row>
    <row r="458" spans="1:14" x14ac:dyDescent="0.35">
      <c r="A458" t="s">
        <v>505</v>
      </c>
      <c r="B458">
        <v>65</v>
      </c>
      <c r="C458" t="str">
        <f>_xlfn.IFS(Table3[[#This Row],[Age]]&lt;=10, "Child",Table3[[#This Row],[Age]]&lt;18, "Teenger", Table3[[#This Row],[Age]]&lt;30, "Middle Age", Table3[[#This Row],[Age]]&lt; 60,"Adult",Table3[[#This Row],[Age]],"Senior Citizen")</f>
        <v>Senior Citizen</v>
      </c>
      <c r="D458" t="s">
        <v>12</v>
      </c>
      <c r="E458" t="s">
        <v>24</v>
      </c>
      <c r="F458" t="s">
        <v>22</v>
      </c>
      <c r="G458" s="1">
        <v>45624</v>
      </c>
      <c r="H458" s="1">
        <v>45627</v>
      </c>
      <c r="I458" s="2">
        <f>Table3[[#This Row],[Discharge_Date]]-Table3[[#This Row],[Admission_Date]]</f>
        <v>3</v>
      </c>
      <c r="J458">
        <v>181</v>
      </c>
      <c r="K458" t="s">
        <v>46</v>
      </c>
      <c r="L458" t="s">
        <v>26</v>
      </c>
      <c r="M458">
        <f>IF(Table3[[#This Row],[Treatment_Success]]="Yes",1,0)</f>
        <v>0</v>
      </c>
      <c r="N458">
        <v>181748</v>
      </c>
    </row>
    <row r="459" spans="1:14" x14ac:dyDescent="0.35">
      <c r="A459" t="s">
        <v>506</v>
      </c>
      <c r="B459">
        <v>55</v>
      </c>
      <c r="C459" t="str">
        <f>_xlfn.IFS(Table3[[#This Row],[Age]]&lt;=10, "Child",Table3[[#This Row],[Age]]&lt;18, "Teenger", Table3[[#This Row],[Age]]&lt;30, "Middle Age", Table3[[#This Row],[Age]]&lt; 60,"Adult",Table3[[#This Row],[Age]],"Senior Citizen")</f>
        <v>Adult</v>
      </c>
      <c r="D459" t="s">
        <v>18</v>
      </c>
      <c r="E459" t="s">
        <v>28</v>
      </c>
      <c r="F459" t="s">
        <v>90</v>
      </c>
      <c r="G459" s="1">
        <v>45565</v>
      </c>
      <c r="H459" s="1">
        <v>45570</v>
      </c>
      <c r="I459" s="2">
        <f>Table3[[#This Row],[Discharge_Date]]-Table3[[#This Row],[Admission_Date]]</f>
        <v>5</v>
      </c>
      <c r="J459">
        <v>13</v>
      </c>
      <c r="K459" t="s">
        <v>46</v>
      </c>
      <c r="L459" t="s">
        <v>16</v>
      </c>
      <c r="M459">
        <f>IF(Table3[[#This Row],[Treatment_Success]]="Yes",1,0)</f>
        <v>1</v>
      </c>
      <c r="N459">
        <v>18910</v>
      </c>
    </row>
    <row r="460" spans="1:14" x14ac:dyDescent="0.35">
      <c r="A460" t="s">
        <v>507</v>
      </c>
      <c r="B460">
        <v>26</v>
      </c>
      <c r="C460" t="str">
        <f>_xlfn.IFS(Table3[[#This Row],[Age]]&lt;=10, "Child",Table3[[#This Row],[Age]]&lt;18, "Teenger", Table3[[#This Row],[Age]]&lt;30, "Middle Age", Table3[[#This Row],[Age]]&lt; 60,"Adult",Table3[[#This Row],[Age]],"Senior Citizen")</f>
        <v>Middle Age</v>
      </c>
      <c r="D460" t="s">
        <v>12</v>
      </c>
      <c r="E460" t="s">
        <v>13</v>
      </c>
      <c r="F460" t="s">
        <v>83</v>
      </c>
      <c r="G460" s="1">
        <v>45635</v>
      </c>
      <c r="H460" s="1">
        <v>45636</v>
      </c>
      <c r="I460" s="2">
        <f>Table3[[#This Row],[Discharge_Date]]-Table3[[#This Row],[Admission_Date]]</f>
        <v>1</v>
      </c>
      <c r="J460">
        <v>129</v>
      </c>
      <c r="K460" t="s">
        <v>36</v>
      </c>
      <c r="L460" t="s">
        <v>16</v>
      </c>
      <c r="M460">
        <f>IF(Table3[[#This Row],[Treatment_Success]]="Yes",1,0)</f>
        <v>1</v>
      </c>
      <c r="N460">
        <v>186035</v>
      </c>
    </row>
    <row r="461" spans="1:14" x14ac:dyDescent="0.35">
      <c r="A461" t="s">
        <v>508</v>
      </c>
      <c r="B461">
        <v>70</v>
      </c>
      <c r="C461" t="str">
        <f>_xlfn.IFS(Table3[[#This Row],[Age]]&lt;=10, "Child",Table3[[#This Row],[Age]]&lt;18, "Teenger", Table3[[#This Row],[Age]]&lt;30, "Middle Age", Table3[[#This Row],[Age]]&lt; 60,"Adult",Table3[[#This Row],[Age]],"Senior Citizen")</f>
        <v>Senior Citizen</v>
      </c>
      <c r="D461" t="s">
        <v>18</v>
      </c>
      <c r="E461" t="s">
        <v>38</v>
      </c>
      <c r="F461" t="s">
        <v>20</v>
      </c>
      <c r="G461" s="1">
        <v>45443</v>
      </c>
      <c r="H461" s="1">
        <v>45447</v>
      </c>
      <c r="I461" s="2">
        <f>Table3[[#This Row],[Discharge_Date]]-Table3[[#This Row],[Admission_Date]]</f>
        <v>4</v>
      </c>
      <c r="J461">
        <v>53</v>
      </c>
      <c r="K461" t="s">
        <v>36</v>
      </c>
      <c r="L461" t="s">
        <v>26</v>
      </c>
      <c r="M461">
        <f>IF(Table3[[#This Row],[Treatment_Success]]="Yes",1,0)</f>
        <v>0</v>
      </c>
      <c r="N461">
        <v>67284</v>
      </c>
    </row>
    <row r="462" spans="1:14" x14ac:dyDescent="0.35">
      <c r="A462" t="s">
        <v>509</v>
      </c>
      <c r="B462">
        <v>90</v>
      </c>
      <c r="C462" t="str">
        <f>_xlfn.IFS(Table3[[#This Row],[Age]]&lt;=10, "Child",Table3[[#This Row],[Age]]&lt;18, "Teenger", Table3[[#This Row],[Age]]&lt;30, "Middle Age", Table3[[#This Row],[Age]]&lt; 60,"Adult",Table3[[#This Row],[Age]],"Senior Citizen")</f>
        <v>Senior Citizen</v>
      </c>
      <c r="D462" t="s">
        <v>12</v>
      </c>
      <c r="E462" t="s">
        <v>24</v>
      </c>
      <c r="F462" t="s">
        <v>56</v>
      </c>
      <c r="G462" s="1">
        <v>45553</v>
      </c>
      <c r="H462" s="1">
        <v>45566</v>
      </c>
      <c r="I462" s="2">
        <f>Table3[[#This Row],[Discharge_Date]]-Table3[[#This Row],[Admission_Date]]</f>
        <v>13</v>
      </c>
      <c r="J462">
        <v>199</v>
      </c>
      <c r="K462" t="s">
        <v>46</v>
      </c>
      <c r="L462" t="s">
        <v>16</v>
      </c>
      <c r="M462">
        <f>IF(Table3[[#This Row],[Treatment_Success]]="Yes",1,0)</f>
        <v>1</v>
      </c>
      <c r="N462">
        <v>149736</v>
      </c>
    </row>
    <row r="463" spans="1:14" x14ac:dyDescent="0.35">
      <c r="A463" t="s">
        <v>510</v>
      </c>
      <c r="B463">
        <v>33</v>
      </c>
      <c r="C463" t="str">
        <f>_xlfn.IFS(Table3[[#This Row],[Age]]&lt;=10, "Child",Table3[[#This Row],[Age]]&lt;18, "Teenger", Table3[[#This Row],[Age]]&lt;30, "Middle Age", Table3[[#This Row],[Age]]&lt; 60,"Adult",Table3[[#This Row],[Age]],"Senior Citizen")</f>
        <v>Adult</v>
      </c>
      <c r="D463" t="s">
        <v>18</v>
      </c>
      <c r="E463" t="s">
        <v>28</v>
      </c>
      <c r="F463" t="s">
        <v>22</v>
      </c>
      <c r="G463" s="1">
        <v>45319</v>
      </c>
      <c r="H463" s="1">
        <v>45320</v>
      </c>
      <c r="I463" s="2">
        <f>Table3[[#This Row],[Discharge_Date]]-Table3[[#This Row],[Admission_Date]]</f>
        <v>1</v>
      </c>
      <c r="J463">
        <v>227</v>
      </c>
      <c r="K463" t="s">
        <v>36</v>
      </c>
      <c r="L463" t="s">
        <v>16</v>
      </c>
      <c r="M463">
        <f>IF(Table3[[#This Row],[Treatment_Success]]="Yes",1,0)</f>
        <v>1</v>
      </c>
      <c r="N463">
        <v>159241</v>
      </c>
    </row>
    <row r="464" spans="1:14" x14ac:dyDescent="0.35">
      <c r="A464" t="s">
        <v>511</v>
      </c>
      <c r="B464">
        <v>78</v>
      </c>
      <c r="C464" t="str">
        <f>_xlfn.IFS(Table3[[#This Row],[Age]]&lt;=10, "Child",Table3[[#This Row],[Age]]&lt;18, "Teenger", Table3[[#This Row],[Age]]&lt;30, "Middle Age", Table3[[#This Row],[Age]]&lt; 60,"Adult",Table3[[#This Row],[Age]],"Senior Citizen")</f>
        <v>Senior Citizen</v>
      </c>
      <c r="D464" t="s">
        <v>18</v>
      </c>
      <c r="E464" t="s">
        <v>13</v>
      </c>
      <c r="F464" t="s">
        <v>83</v>
      </c>
      <c r="G464" s="1">
        <v>45571</v>
      </c>
      <c r="H464" s="1">
        <v>45583</v>
      </c>
      <c r="I464" s="2">
        <f>Table3[[#This Row],[Discharge_Date]]-Table3[[#This Row],[Admission_Date]]</f>
        <v>12</v>
      </c>
      <c r="J464">
        <v>230</v>
      </c>
      <c r="K464" t="s">
        <v>36</v>
      </c>
      <c r="L464" t="s">
        <v>16</v>
      </c>
      <c r="M464">
        <f>IF(Table3[[#This Row],[Treatment_Success]]="Yes",1,0)</f>
        <v>1</v>
      </c>
      <c r="N464">
        <v>54014</v>
      </c>
    </row>
    <row r="465" spans="1:14" x14ac:dyDescent="0.35">
      <c r="A465" t="s">
        <v>512</v>
      </c>
      <c r="B465">
        <v>66</v>
      </c>
      <c r="C465" t="str">
        <f>_xlfn.IFS(Table3[[#This Row],[Age]]&lt;=10, "Child",Table3[[#This Row],[Age]]&lt;18, "Teenger", Table3[[#This Row],[Age]]&lt;30, "Middle Age", Table3[[#This Row],[Age]]&lt; 60,"Adult",Table3[[#This Row],[Age]],"Senior Citizen")</f>
        <v>Senior Citizen</v>
      </c>
      <c r="D465" t="s">
        <v>18</v>
      </c>
      <c r="E465" t="s">
        <v>31</v>
      </c>
      <c r="F465" t="s">
        <v>52</v>
      </c>
      <c r="G465" s="1">
        <v>45380</v>
      </c>
      <c r="H465" s="1">
        <v>45392</v>
      </c>
      <c r="I465" s="2">
        <f>Table3[[#This Row],[Discharge_Date]]-Table3[[#This Row],[Admission_Date]]</f>
        <v>12</v>
      </c>
      <c r="J465">
        <v>220</v>
      </c>
      <c r="K465" t="s">
        <v>33</v>
      </c>
      <c r="L465" t="s">
        <v>16</v>
      </c>
      <c r="M465">
        <f>IF(Table3[[#This Row],[Treatment_Success]]="Yes",1,0)</f>
        <v>1</v>
      </c>
      <c r="N465">
        <v>39096</v>
      </c>
    </row>
    <row r="466" spans="1:14" x14ac:dyDescent="0.35">
      <c r="A466" t="s">
        <v>513</v>
      </c>
      <c r="B466">
        <v>33</v>
      </c>
      <c r="C466" t="str">
        <f>_xlfn.IFS(Table3[[#This Row],[Age]]&lt;=10, "Child",Table3[[#This Row],[Age]]&lt;18, "Teenger", Table3[[#This Row],[Age]]&lt;30, "Middle Age", Table3[[#This Row],[Age]]&lt; 60,"Adult",Table3[[#This Row],[Age]],"Senior Citizen")</f>
        <v>Adult</v>
      </c>
      <c r="D466" t="s">
        <v>18</v>
      </c>
      <c r="E466" t="s">
        <v>38</v>
      </c>
      <c r="F466" t="s">
        <v>20</v>
      </c>
      <c r="G466" s="1">
        <v>45374</v>
      </c>
      <c r="H466" s="1">
        <v>45384</v>
      </c>
      <c r="I466" s="2">
        <f>Table3[[#This Row],[Discharge_Date]]-Table3[[#This Row],[Admission_Date]]</f>
        <v>10</v>
      </c>
      <c r="J466">
        <v>80</v>
      </c>
      <c r="K466" t="s">
        <v>15</v>
      </c>
      <c r="L466" t="s">
        <v>16</v>
      </c>
      <c r="M466">
        <f>IF(Table3[[#This Row],[Treatment_Success]]="Yes",1,0)</f>
        <v>1</v>
      </c>
      <c r="N466">
        <v>89575</v>
      </c>
    </row>
    <row r="467" spans="1:14" x14ac:dyDescent="0.35">
      <c r="A467" t="s">
        <v>514</v>
      </c>
      <c r="B467">
        <v>81</v>
      </c>
      <c r="C467" t="str">
        <f>_xlfn.IFS(Table3[[#This Row],[Age]]&lt;=10, "Child",Table3[[#This Row],[Age]]&lt;18, "Teenger", Table3[[#This Row],[Age]]&lt;30, "Middle Age", Table3[[#This Row],[Age]]&lt; 60,"Adult",Table3[[#This Row],[Age]],"Senior Citizen")</f>
        <v>Senior Citizen</v>
      </c>
      <c r="D467" t="s">
        <v>12</v>
      </c>
      <c r="E467" t="s">
        <v>31</v>
      </c>
      <c r="F467" t="s">
        <v>58</v>
      </c>
      <c r="G467" s="1">
        <v>45597</v>
      </c>
      <c r="H467" s="1">
        <v>45598</v>
      </c>
      <c r="I467" s="2">
        <f>Table3[[#This Row],[Discharge_Date]]-Table3[[#This Row],[Admission_Date]]</f>
        <v>1</v>
      </c>
      <c r="J467">
        <v>282</v>
      </c>
      <c r="K467" t="s">
        <v>33</v>
      </c>
      <c r="L467" t="s">
        <v>16</v>
      </c>
      <c r="M467">
        <f>IF(Table3[[#This Row],[Treatment_Success]]="Yes",1,0)</f>
        <v>1</v>
      </c>
      <c r="N467">
        <v>190514</v>
      </c>
    </row>
    <row r="468" spans="1:14" x14ac:dyDescent="0.35">
      <c r="A468" t="s">
        <v>515</v>
      </c>
      <c r="B468">
        <v>29</v>
      </c>
      <c r="C468" t="str">
        <f>_xlfn.IFS(Table3[[#This Row],[Age]]&lt;=10, "Child",Table3[[#This Row],[Age]]&lt;18, "Teenger", Table3[[#This Row],[Age]]&lt;30, "Middle Age", Table3[[#This Row],[Age]]&lt; 60,"Adult",Table3[[#This Row],[Age]],"Senior Citizen")</f>
        <v>Middle Age</v>
      </c>
      <c r="D468" t="s">
        <v>18</v>
      </c>
      <c r="E468" t="s">
        <v>28</v>
      </c>
      <c r="F468" t="s">
        <v>45</v>
      </c>
      <c r="G468" s="1">
        <v>45454</v>
      </c>
      <c r="H468" s="1">
        <v>45463</v>
      </c>
      <c r="I468" s="2">
        <f>Table3[[#This Row],[Discharge_Date]]-Table3[[#This Row],[Admission_Date]]</f>
        <v>9</v>
      </c>
      <c r="J468">
        <v>259</v>
      </c>
      <c r="K468" t="s">
        <v>36</v>
      </c>
      <c r="L468" t="s">
        <v>26</v>
      </c>
      <c r="M468">
        <f>IF(Table3[[#This Row],[Treatment_Success]]="Yes",1,0)</f>
        <v>0</v>
      </c>
      <c r="N468">
        <v>147365</v>
      </c>
    </row>
    <row r="469" spans="1:14" x14ac:dyDescent="0.35">
      <c r="A469" t="s">
        <v>516</v>
      </c>
      <c r="B469">
        <v>12</v>
      </c>
      <c r="C469" t="str">
        <f>_xlfn.IFS(Table3[[#This Row],[Age]]&lt;=10, "Child",Table3[[#This Row],[Age]]&lt;18, "Teenger", Table3[[#This Row],[Age]]&lt;30, "Middle Age", Table3[[#This Row],[Age]]&lt; 60,"Adult",Table3[[#This Row],[Age]],"Senior Citizen")</f>
        <v>Teenger</v>
      </c>
      <c r="D469" t="s">
        <v>12</v>
      </c>
      <c r="E469" t="s">
        <v>13</v>
      </c>
      <c r="F469" t="s">
        <v>29</v>
      </c>
      <c r="G469" s="1">
        <v>45566</v>
      </c>
      <c r="H469" s="1">
        <v>45573</v>
      </c>
      <c r="I469" s="2">
        <f>Table3[[#This Row],[Discharge_Date]]-Table3[[#This Row],[Admission_Date]]</f>
        <v>7</v>
      </c>
      <c r="J469">
        <v>170</v>
      </c>
      <c r="K469" t="s">
        <v>33</v>
      </c>
      <c r="L469" t="s">
        <v>16</v>
      </c>
      <c r="M469">
        <f>IF(Table3[[#This Row],[Treatment_Success]]="Yes",1,0)</f>
        <v>1</v>
      </c>
      <c r="N469">
        <v>81958</v>
      </c>
    </row>
    <row r="470" spans="1:14" x14ac:dyDescent="0.35">
      <c r="A470" t="s">
        <v>517</v>
      </c>
      <c r="B470">
        <v>80</v>
      </c>
      <c r="C470" t="str">
        <f>_xlfn.IFS(Table3[[#This Row],[Age]]&lt;=10, "Child",Table3[[#This Row],[Age]]&lt;18, "Teenger", Table3[[#This Row],[Age]]&lt;30, "Middle Age", Table3[[#This Row],[Age]]&lt; 60,"Adult",Table3[[#This Row],[Age]],"Senior Citizen")</f>
        <v>Senior Citizen</v>
      </c>
      <c r="D470" t="s">
        <v>12</v>
      </c>
      <c r="E470" t="s">
        <v>28</v>
      </c>
      <c r="F470" t="s">
        <v>22</v>
      </c>
      <c r="G470" s="1">
        <v>45403</v>
      </c>
      <c r="H470" s="1">
        <v>45416</v>
      </c>
      <c r="I470" s="2">
        <f>Table3[[#This Row],[Discharge_Date]]-Table3[[#This Row],[Admission_Date]]</f>
        <v>13</v>
      </c>
      <c r="J470">
        <v>5</v>
      </c>
      <c r="K470" t="s">
        <v>15</v>
      </c>
      <c r="L470" t="s">
        <v>16</v>
      </c>
      <c r="M470">
        <f>IF(Table3[[#This Row],[Treatment_Success]]="Yes",1,0)</f>
        <v>1</v>
      </c>
      <c r="N470">
        <v>121828</v>
      </c>
    </row>
    <row r="471" spans="1:14" x14ac:dyDescent="0.35">
      <c r="A471" t="s">
        <v>518</v>
      </c>
      <c r="B471">
        <v>83</v>
      </c>
      <c r="C471" t="str">
        <f>_xlfn.IFS(Table3[[#This Row],[Age]]&lt;=10, "Child",Table3[[#This Row],[Age]]&lt;18, "Teenger", Table3[[#This Row],[Age]]&lt;30, "Middle Age", Table3[[#This Row],[Age]]&lt; 60,"Adult",Table3[[#This Row],[Age]],"Senior Citizen")</f>
        <v>Senior Citizen</v>
      </c>
      <c r="D471" t="s">
        <v>18</v>
      </c>
      <c r="E471" t="s">
        <v>24</v>
      </c>
      <c r="F471" t="s">
        <v>54</v>
      </c>
      <c r="G471" s="1">
        <v>45415</v>
      </c>
      <c r="H471" s="1">
        <v>45430</v>
      </c>
      <c r="I471" s="2">
        <f>Table3[[#This Row],[Discharge_Date]]-Table3[[#This Row],[Admission_Date]]</f>
        <v>15</v>
      </c>
      <c r="J471">
        <v>165</v>
      </c>
      <c r="K471" t="s">
        <v>46</v>
      </c>
      <c r="L471" t="s">
        <v>16</v>
      </c>
      <c r="M471">
        <f>IF(Table3[[#This Row],[Treatment_Success]]="Yes",1,0)</f>
        <v>1</v>
      </c>
      <c r="N471">
        <v>106155</v>
      </c>
    </row>
    <row r="472" spans="1:14" x14ac:dyDescent="0.35">
      <c r="A472" t="s">
        <v>519</v>
      </c>
      <c r="B472">
        <v>37</v>
      </c>
      <c r="C472" t="str">
        <f>_xlfn.IFS(Table3[[#This Row],[Age]]&lt;=10, "Child",Table3[[#This Row],[Age]]&lt;18, "Teenger", Table3[[#This Row],[Age]]&lt;30, "Middle Age", Table3[[#This Row],[Age]]&lt; 60,"Adult",Table3[[#This Row],[Age]],"Senior Citizen")</f>
        <v>Adult</v>
      </c>
      <c r="D472" t="s">
        <v>18</v>
      </c>
      <c r="E472" t="s">
        <v>28</v>
      </c>
      <c r="F472" t="s">
        <v>22</v>
      </c>
      <c r="G472" s="1">
        <v>45423</v>
      </c>
      <c r="H472" s="1">
        <v>45432</v>
      </c>
      <c r="I472" s="2">
        <f>Table3[[#This Row],[Discharge_Date]]-Table3[[#This Row],[Admission_Date]]</f>
        <v>9</v>
      </c>
      <c r="J472">
        <v>192</v>
      </c>
      <c r="K472" t="s">
        <v>46</v>
      </c>
      <c r="L472" t="s">
        <v>26</v>
      </c>
      <c r="M472">
        <f>IF(Table3[[#This Row],[Treatment_Success]]="Yes",1,0)</f>
        <v>0</v>
      </c>
      <c r="N472">
        <v>16495</v>
      </c>
    </row>
    <row r="473" spans="1:14" x14ac:dyDescent="0.35">
      <c r="A473" t="s">
        <v>520</v>
      </c>
      <c r="B473">
        <v>84</v>
      </c>
      <c r="C473" t="str">
        <f>_xlfn.IFS(Table3[[#This Row],[Age]]&lt;=10, "Child",Table3[[#This Row],[Age]]&lt;18, "Teenger", Table3[[#This Row],[Age]]&lt;30, "Middle Age", Table3[[#This Row],[Age]]&lt; 60,"Adult",Table3[[#This Row],[Age]],"Senior Citizen")</f>
        <v>Senior Citizen</v>
      </c>
      <c r="D473" t="s">
        <v>18</v>
      </c>
      <c r="E473" t="s">
        <v>38</v>
      </c>
      <c r="F473" t="s">
        <v>49</v>
      </c>
      <c r="G473" s="1">
        <v>45443</v>
      </c>
      <c r="H473" s="1">
        <v>45458</v>
      </c>
      <c r="I473" s="2">
        <f>Table3[[#This Row],[Discharge_Date]]-Table3[[#This Row],[Admission_Date]]</f>
        <v>15</v>
      </c>
      <c r="J473">
        <v>43</v>
      </c>
      <c r="K473" t="s">
        <v>15</v>
      </c>
      <c r="L473" t="s">
        <v>16</v>
      </c>
      <c r="M473">
        <f>IF(Table3[[#This Row],[Treatment_Success]]="Yes",1,0)</f>
        <v>1</v>
      </c>
      <c r="N473">
        <v>146026</v>
      </c>
    </row>
    <row r="474" spans="1:14" x14ac:dyDescent="0.35">
      <c r="A474" t="s">
        <v>521</v>
      </c>
      <c r="B474">
        <v>81</v>
      </c>
      <c r="C474" t="str">
        <f>_xlfn.IFS(Table3[[#This Row],[Age]]&lt;=10, "Child",Table3[[#This Row],[Age]]&lt;18, "Teenger", Table3[[#This Row],[Age]]&lt;30, "Middle Age", Table3[[#This Row],[Age]]&lt; 60,"Adult",Table3[[#This Row],[Age]],"Senior Citizen")</f>
        <v>Senior Citizen</v>
      </c>
      <c r="D474" t="s">
        <v>18</v>
      </c>
      <c r="E474" t="s">
        <v>13</v>
      </c>
      <c r="F474" t="s">
        <v>54</v>
      </c>
      <c r="G474" s="1">
        <v>45565</v>
      </c>
      <c r="H474" s="1">
        <v>45566</v>
      </c>
      <c r="I474" s="2">
        <f>Table3[[#This Row],[Discharge_Date]]-Table3[[#This Row],[Admission_Date]]</f>
        <v>1</v>
      </c>
      <c r="J474">
        <v>110</v>
      </c>
      <c r="K474" t="s">
        <v>46</v>
      </c>
      <c r="L474" t="s">
        <v>16</v>
      </c>
      <c r="M474">
        <f>IF(Table3[[#This Row],[Treatment_Success]]="Yes",1,0)</f>
        <v>1</v>
      </c>
      <c r="N474">
        <v>58891</v>
      </c>
    </row>
    <row r="475" spans="1:14" x14ac:dyDescent="0.35">
      <c r="A475" t="s">
        <v>522</v>
      </c>
      <c r="B475">
        <v>90</v>
      </c>
      <c r="C475" t="str">
        <f>_xlfn.IFS(Table3[[#This Row],[Age]]&lt;=10, "Child",Table3[[#This Row],[Age]]&lt;18, "Teenger", Table3[[#This Row],[Age]]&lt;30, "Middle Age", Table3[[#This Row],[Age]]&lt; 60,"Adult",Table3[[#This Row],[Age]],"Senior Citizen")</f>
        <v>Senior Citizen</v>
      </c>
      <c r="D475" t="s">
        <v>12</v>
      </c>
      <c r="E475" t="s">
        <v>24</v>
      </c>
      <c r="F475" t="s">
        <v>25</v>
      </c>
      <c r="G475" s="1">
        <v>45567</v>
      </c>
      <c r="H475" s="1">
        <v>45581</v>
      </c>
      <c r="I475" s="2">
        <f>Table3[[#This Row],[Discharge_Date]]-Table3[[#This Row],[Admission_Date]]</f>
        <v>14</v>
      </c>
      <c r="J475">
        <v>79</v>
      </c>
      <c r="K475" t="s">
        <v>15</v>
      </c>
      <c r="L475" t="s">
        <v>26</v>
      </c>
      <c r="M475">
        <f>IF(Table3[[#This Row],[Treatment_Success]]="Yes",1,0)</f>
        <v>0</v>
      </c>
      <c r="N475">
        <v>192922</v>
      </c>
    </row>
    <row r="476" spans="1:14" x14ac:dyDescent="0.35">
      <c r="A476" t="s">
        <v>523</v>
      </c>
      <c r="B476">
        <v>12</v>
      </c>
      <c r="C476" t="str">
        <f>_xlfn.IFS(Table3[[#This Row],[Age]]&lt;=10, "Child",Table3[[#This Row],[Age]]&lt;18, "Teenger", Table3[[#This Row],[Age]]&lt;30, "Middle Age", Table3[[#This Row],[Age]]&lt; 60,"Adult",Table3[[#This Row],[Age]],"Senior Citizen")</f>
        <v>Teenger</v>
      </c>
      <c r="D476" t="s">
        <v>18</v>
      </c>
      <c r="E476" t="s">
        <v>24</v>
      </c>
      <c r="F476" t="s">
        <v>66</v>
      </c>
      <c r="G476" s="1">
        <v>45461</v>
      </c>
      <c r="H476" s="1">
        <v>45462</v>
      </c>
      <c r="I476" s="2">
        <f>Table3[[#This Row],[Discharge_Date]]-Table3[[#This Row],[Admission_Date]]</f>
        <v>1</v>
      </c>
      <c r="J476">
        <v>129</v>
      </c>
      <c r="K476" t="s">
        <v>15</v>
      </c>
      <c r="L476" t="s">
        <v>16</v>
      </c>
      <c r="M476">
        <f>IF(Table3[[#This Row],[Treatment_Success]]="Yes",1,0)</f>
        <v>1</v>
      </c>
      <c r="N476">
        <v>72803</v>
      </c>
    </row>
    <row r="477" spans="1:14" x14ac:dyDescent="0.35">
      <c r="A477" t="s">
        <v>524</v>
      </c>
      <c r="B477">
        <v>58</v>
      </c>
      <c r="C477" t="str">
        <f>_xlfn.IFS(Table3[[#This Row],[Age]]&lt;=10, "Child",Table3[[#This Row],[Age]]&lt;18, "Teenger", Table3[[#This Row],[Age]]&lt;30, "Middle Age", Table3[[#This Row],[Age]]&lt; 60,"Adult",Table3[[#This Row],[Age]],"Senior Citizen")</f>
        <v>Adult</v>
      </c>
      <c r="D477" t="s">
        <v>12</v>
      </c>
      <c r="E477" t="s">
        <v>31</v>
      </c>
      <c r="F477" t="s">
        <v>95</v>
      </c>
      <c r="G477" s="1">
        <v>45500</v>
      </c>
      <c r="H477" s="1">
        <v>45507</v>
      </c>
      <c r="I477" s="2">
        <f>Table3[[#This Row],[Discharge_Date]]-Table3[[#This Row],[Admission_Date]]</f>
        <v>7</v>
      </c>
      <c r="J477">
        <v>9</v>
      </c>
      <c r="K477" t="s">
        <v>46</v>
      </c>
      <c r="L477" t="s">
        <v>16</v>
      </c>
      <c r="M477">
        <f>IF(Table3[[#This Row],[Treatment_Success]]="Yes",1,0)</f>
        <v>1</v>
      </c>
      <c r="N477">
        <v>145203</v>
      </c>
    </row>
    <row r="478" spans="1:14" x14ac:dyDescent="0.35">
      <c r="A478" t="s">
        <v>525</v>
      </c>
      <c r="B478">
        <v>80</v>
      </c>
      <c r="C478" t="str">
        <f>_xlfn.IFS(Table3[[#This Row],[Age]]&lt;=10, "Child",Table3[[#This Row],[Age]]&lt;18, "Teenger", Table3[[#This Row],[Age]]&lt;30, "Middle Age", Table3[[#This Row],[Age]]&lt; 60,"Adult",Table3[[#This Row],[Age]],"Senior Citizen")</f>
        <v>Senior Citizen</v>
      </c>
      <c r="D478" t="s">
        <v>18</v>
      </c>
      <c r="E478" t="s">
        <v>28</v>
      </c>
      <c r="F478" t="s">
        <v>52</v>
      </c>
      <c r="G478" s="1">
        <v>45295</v>
      </c>
      <c r="H478" s="1">
        <v>45306</v>
      </c>
      <c r="I478" s="2">
        <f>Table3[[#This Row],[Discharge_Date]]-Table3[[#This Row],[Admission_Date]]</f>
        <v>11</v>
      </c>
      <c r="J478">
        <v>38</v>
      </c>
      <c r="K478" t="s">
        <v>33</v>
      </c>
      <c r="L478" t="s">
        <v>16</v>
      </c>
      <c r="M478">
        <f>IF(Table3[[#This Row],[Treatment_Success]]="Yes",1,0)</f>
        <v>1</v>
      </c>
      <c r="N478">
        <v>80978</v>
      </c>
    </row>
    <row r="479" spans="1:14" x14ac:dyDescent="0.35">
      <c r="A479" t="s">
        <v>526</v>
      </c>
      <c r="B479">
        <v>78</v>
      </c>
      <c r="C479" t="str">
        <f>_xlfn.IFS(Table3[[#This Row],[Age]]&lt;=10, "Child",Table3[[#This Row],[Age]]&lt;18, "Teenger", Table3[[#This Row],[Age]]&lt;30, "Middle Age", Table3[[#This Row],[Age]]&lt; 60,"Adult",Table3[[#This Row],[Age]],"Senior Citizen")</f>
        <v>Senior Citizen</v>
      </c>
      <c r="D479" t="s">
        <v>18</v>
      </c>
      <c r="E479" t="s">
        <v>38</v>
      </c>
      <c r="F479" t="s">
        <v>22</v>
      </c>
      <c r="G479" s="1">
        <v>45643</v>
      </c>
      <c r="H479" s="1">
        <v>45648</v>
      </c>
      <c r="I479" s="2">
        <f>Table3[[#This Row],[Discharge_Date]]-Table3[[#This Row],[Admission_Date]]</f>
        <v>5</v>
      </c>
      <c r="J479">
        <v>225</v>
      </c>
      <c r="K479" t="s">
        <v>46</v>
      </c>
      <c r="L479" t="s">
        <v>26</v>
      </c>
      <c r="M479">
        <f>IF(Table3[[#This Row],[Treatment_Success]]="Yes",1,0)</f>
        <v>0</v>
      </c>
      <c r="N479">
        <v>178204</v>
      </c>
    </row>
    <row r="480" spans="1:14" x14ac:dyDescent="0.35">
      <c r="A480" t="s">
        <v>527</v>
      </c>
      <c r="B480">
        <v>21</v>
      </c>
      <c r="C480" t="str">
        <f>_xlfn.IFS(Table3[[#This Row],[Age]]&lt;=10, "Child",Table3[[#This Row],[Age]]&lt;18, "Teenger", Table3[[#This Row],[Age]]&lt;30, "Middle Age", Table3[[#This Row],[Age]]&lt; 60,"Adult",Table3[[#This Row],[Age]],"Senior Citizen")</f>
        <v>Middle Age</v>
      </c>
      <c r="D480" t="s">
        <v>18</v>
      </c>
      <c r="E480" t="s">
        <v>13</v>
      </c>
      <c r="F480" t="s">
        <v>25</v>
      </c>
      <c r="G480" s="1">
        <v>45307</v>
      </c>
      <c r="H480" s="1">
        <v>45315</v>
      </c>
      <c r="I480" s="2">
        <f>Table3[[#This Row],[Discharge_Date]]-Table3[[#This Row],[Admission_Date]]</f>
        <v>8</v>
      </c>
      <c r="J480">
        <v>201</v>
      </c>
      <c r="K480" t="s">
        <v>33</v>
      </c>
      <c r="L480" t="s">
        <v>16</v>
      </c>
      <c r="M480">
        <f>IF(Table3[[#This Row],[Treatment_Success]]="Yes",1,0)</f>
        <v>1</v>
      </c>
      <c r="N480">
        <v>83133</v>
      </c>
    </row>
    <row r="481" spans="1:14" x14ac:dyDescent="0.35">
      <c r="A481" t="s">
        <v>528</v>
      </c>
      <c r="B481">
        <v>83</v>
      </c>
      <c r="C481" t="str">
        <f>_xlfn.IFS(Table3[[#This Row],[Age]]&lt;=10, "Child",Table3[[#This Row],[Age]]&lt;18, "Teenger", Table3[[#This Row],[Age]]&lt;30, "Middle Age", Table3[[#This Row],[Age]]&lt; 60,"Adult",Table3[[#This Row],[Age]],"Senior Citizen")</f>
        <v>Senior Citizen</v>
      </c>
      <c r="D481" t="s">
        <v>12</v>
      </c>
      <c r="E481" t="s">
        <v>24</v>
      </c>
      <c r="F481" t="s">
        <v>61</v>
      </c>
      <c r="G481" s="1">
        <v>45638</v>
      </c>
      <c r="H481" s="1">
        <v>45653</v>
      </c>
      <c r="I481" s="2">
        <f>Table3[[#This Row],[Discharge_Date]]-Table3[[#This Row],[Admission_Date]]</f>
        <v>15</v>
      </c>
      <c r="J481">
        <v>285</v>
      </c>
      <c r="K481" t="s">
        <v>36</v>
      </c>
      <c r="L481" t="s">
        <v>16</v>
      </c>
      <c r="M481">
        <f>IF(Table3[[#This Row],[Treatment_Success]]="Yes",1,0)</f>
        <v>1</v>
      </c>
      <c r="N481">
        <v>15950</v>
      </c>
    </row>
    <row r="482" spans="1:14" x14ac:dyDescent="0.35">
      <c r="A482" t="s">
        <v>529</v>
      </c>
      <c r="B482">
        <v>77</v>
      </c>
      <c r="C482" t="str">
        <f>_xlfn.IFS(Table3[[#This Row],[Age]]&lt;=10, "Child",Table3[[#This Row],[Age]]&lt;18, "Teenger", Table3[[#This Row],[Age]]&lt;30, "Middle Age", Table3[[#This Row],[Age]]&lt; 60,"Adult",Table3[[#This Row],[Age]],"Senior Citizen")</f>
        <v>Senior Citizen</v>
      </c>
      <c r="D482" t="s">
        <v>12</v>
      </c>
      <c r="E482" t="s">
        <v>28</v>
      </c>
      <c r="F482" t="s">
        <v>61</v>
      </c>
      <c r="G482" s="1">
        <v>45294</v>
      </c>
      <c r="H482" s="1">
        <v>45304</v>
      </c>
      <c r="I482" s="2">
        <f>Table3[[#This Row],[Discharge_Date]]-Table3[[#This Row],[Admission_Date]]</f>
        <v>10</v>
      </c>
      <c r="J482">
        <v>44</v>
      </c>
      <c r="K482" t="s">
        <v>33</v>
      </c>
      <c r="L482" t="s">
        <v>16</v>
      </c>
      <c r="M482">
        <f>IF(Table3[[#This Row],[Treatment_Success]]="Yes",1,0)</f>
        <v>1</v>
      </c>
      <c r="N482">
        <v>199361</v>
      </c>
    </row>
    <row r="483" spans="1:14" x14ac:dyDescent="0.35">
      <c r="A483" t="s">
        <v>530</v>
      </c>
      <c r="B483">
        <v>53</v>
      </c>
      <c r="C483" t="str">
        <f>_xlfn.IFS(Table3[[#This Row],[Age]]&lt;=10, "Child",Table3[[#This Row],[Age]]&lt;18, "Teenger", Table3[[#This Row],[Age]]&lt;30, "Middle Age", Table3[[#This Row],[Age]]&lt; 60,"Adult",Table3[[#This Row],[Age]],"Senior Citizen")</f>
        <v>Adult</v>
      </c>
      <c r="D483" t="s">
        <v>18</v>
      </c>
      <c r="E483" t="s">
        <v>13</v>
      </c>
      <c r="F483" t="s">
        <v>66</v>
      </c>
      <c r="G483" s="1">
        <v>45468</v>
      </c>
      <c r="H483" s="1">
        <v>45472</v>
      </c>
      <c r="I483" s="2">
        <f>Table3[[#This Row],[Discharge_Date]]-Table3[[#This Row],[Admission_Date]]</f>
        <v>4</v>
      </c>
      <c r="J483">
        <v>114</v>
      </c>
      <c r="K483" t="s">
        <v>33</v>
      </c>
      <c r="L483" t="s">
        <v>16</v>
      </c>
      <c r="M483">
        <f>IF(Table3[[#This Row],[Treatment_Success]]="Yes",1,0)</f>
        <v>1</v>
      </c>
      <c r="N483">
        <v>35047</v>
      </c>
    </row>
    <row r="484" spans="1:14" x14ac:dyDescent="0.35">
      <c r="A484" t="s">
        <v>531</v>
      </c>
      <c r="B484">
        <v>73</v>
      </c>
      <c r="C484" t="str">
        <f>_xlfn.IFS(Table3[[#This Row],[Age]]&lt;=10, "Child",Table3[[#This Row],[Age]]&lt;18, "Teenger", Table3[[#This Row],[Age]]&lt;30, "Middle Age", Table3[[#This Row],[Age]]&lt; 60,"Adult",Table3[[#This Row],[Age]],"Senior Citizen")</f>
        <v>Senior Citizen</v>
      </c>
      <c r="D484" t="s">
        <v>18</v>
      </c>
      <c r="E484" t="s">
        <v>28</v>
      </c>
      <c r="F484" t="s">
        <v>20</v>
      </c>
      <c r="G484" s="1">
        <v>45384</v>
      </c>
      <c r="H484" s="1">
        <v>45395</v>
      </c>
      <c r="I484" s="2">
        <f>Table3[[#This Row],[Discharge_Date]]-Table3[[#This Row],[Admission_Date]]</f>
        <v>11</v>
      </c>
      <c r="J484">
        <v>282</v>
      </c>
      <c r="K484" t="s">
        <v>15</v>
      </c>
      <c r="L484" t="s">
        <v>16</v>
      </c>
      <c r="M484">
        <f>IF(Table3[[#This Row],[Treatment_Success]]="Yes",1,0)</f>
        <v>1</v>
      </c>
      <c r="N484">
        <v>181078</v>
      </c>
    </row>
    <row r="485" spans="1:14" x14ac:dyDescent="0.35">
      <c r="A485" t="s">
        <v>532</v>
      </c>
      <c r="B485">
        <v>13</v>
      </c>
      <c r="C485" t="str">
        <f>_xlfn.IFS(Table3[[#This Row],[Age]]&lt;=10, "Child",Table3[[#This Row],[Age]]&lt;18, "Teenger", Table3[[#This Row],[Age]]&lt;30, "Middle Age", Table3[[#This Row],[Age]]&lt; 60,"Adult",Table3[[#This Row],[Age]],"Senior Citizen")</f>
        <v>Teenger</v>
      </c>
      <c r="D485" t="s">
        <v>18</v>
      </c>
      <c r="E485" t="s">
        <v>28</v>
      </c>
      <c r="F485" t="s">
        <v>43</v>
      </c>
      <c r="G485" s="1">
        <v>45326</v>
      </c>
      <c r="H485" s="1">
        <v>45331</v>
      </c>
      <c r="I485" s="2">
        <f>Table3[[#This Row],[Discharge_Date]]-Table3[[#This Row],[Admission_Date]]</f>
        <v>5</v>
      </c>
      <c r="J485">
        <v>170</v>
      </c>
      <c r="K485" t="s">
        <v>33</v>
      </c>
      <c r="L485" t="s">
        <v>16</v>
      </c>
      <c r="M485">
        <f>IF(Table3[[#This Row],[Treatment_Success]]="Yes",1,0)</f>
        <v>1</v>
      </c>
      <c r="N485">
        <v>180976</v>
      </c>
    </row>
    <row r="486" spans="1:14" x14ac:dyDescent="0.35">
      <c r="A486" t="s">
        <v>533</v>
      </c>
      <c r="B486">
        <v>13</v>
      </c>
      <c r="C486" t="str">
        <f>_xlfn.IFS(Table3[[#This Row],[Age]]&lt;=10, "Child",Table3[[#This Row],[Age]]&lt;18, "Teenger", Table3[[#This Row],[Age]]&lt;30, "Middle Age", Table3[[#This Row],[Age]]&lt; 60,"Adult",Table3[[#This Row],[Age]],"Senior Citizen")</f>
        <v>Teenger</v>
      </c>
      <c r="D486" t="s">
        <v>12</v>
      </c>
      <c r="E486" t="s">
        <v>28</v>
      </c>
      <c r="F486" t="s">
        <v>45</v>
      </c>
      <c r="G486" s="1">
        <v>45627</v>
      </c>
      <c r="H486" s="1">
        <v>45631</v>
      </c>
      <c r="I486" s="2">
        <f>Table3[[#This Row],[Discharge_Date]]-Table3[[#This Row],[Admission_Date]]</f>
        <v>4</v>
      </c>
      <c r="J486">
        <v>100</v>
      </c>
      <c r="K486" t="s">
        <v>33</v>
      </c>
      <c r="L486" t="s">
        <v>26</v>
      </c>
      <c r="M486">
        <f>IF(Table3[[#This Row],[Treatment_Success]]="Yes",1,0)</f>
        <v>0</v>
      </c>
      <c r="N486">
        <v>123134</v>
      </c>
    </row>
    <row r="487" spans="1:14" x14ac:dyDescent="0.35">
      <c r="A487" t="s">
        <v>534</v>
      </c>
      <c r="B487">
        <v>85</v>
      </c>
      <c r="C487" t="str">
        <f>_xlfn.IFS(Table3[[#This Row],[Age]]&lt;=10, "Child",Table3[[#This Row],[Age]]&lt;18, "Teenger", Table3[[#This Row],[Age]]&lt;30, "Middle Age", Table3[[#This Row],[Age]]&lt; 60,"Adult",Table3[[#This Row],[Age]],"Senior Citizen")</f>
        <v>Senior Citizen</v>
      </c>
      <c r="D487" t="s">
        <v>12</v>
      </c>
      <c r="E487" t="s">
        <v>28</v>
      </c>
      <c r="F487" t="s">
        <v>106</v>
      </c>
      <c r="G487" s="1">
        <v>45460</v>
      </c>
      <c r="H487" s="1">
        <v>45470</v>
      </c>
      <c r="I487" s="2">
        <f>Table3[[#This Row],[Discharge_Date]]-Table3[[#This Row],[Admission_Date]]</f>
        <v>10</v>
      </c>
      <c r="J487">
        <v>290</v>
      </c>
      <c r="K487" t="s">
        <v>33</v>
      </c>
      <c r="L487" t="s">
        <v>16</v>
      </c>
      <c r="M487">
        <f>IF(Table3[[#This Row],[Treatment_Success]]="Yes",1,0)</f>
        <v>1</v>
      </c>
      <c r="N487">
        <v>117278</v>
      </c>
    </row>
    <row r="488" spans="1:14" x14ac:dyDescent="0.35">
      <c r="A488" t="s">
        <v>535</v>
      </c>
      <c r="B488">
        <v>41</v>
      </c>
      <c r="C488" t="str">
        <f>_xlfn.IFS(Table3[[#This Row],[Age]]&lt;=10, "Child",Table3[[#This Row],[Age]]&lt;18, "Teenger", Table3[[#This Row],[Age]]&lt;30, "Middle Age", Table3[[#This Row],[Age]]&lt; 60,"Adult",Table3[[#This Row],[Age]],"Senior Citizen")</f>
        <v>Adult</v>
      </c>
      <c r="D488" t="s">
        <v>18</v>
      </c>
      <c r="E488" t="s">
        <v>13</v>
      </c>
      <c r="F488" t="s">
        <v>40</v>
      </c>
      <c r="G488" s="1">
        <v>45378</v>
      </c>
      <c r="H488" s="1">
        <v>45379</v>
      </c>
      <c r="I488" s="2">
        <f>Table3[[#This Row],[Discharge_Date]]-Table3[[#This Row],[Admission_Date]]</f>
        <v>1</v>
      </c>
      <c r="J488">
        <v>224</v>
      </c>
      <c r="K488" t="s">
        <v>33</v>
      </c>
      <c r="L488" t="s">
        <v>16</v>
      </c>
      <c r="M488">
        <f>IF(Table3[[#This Row],[Treatment_Success]]="Yes",1,0)</f>
        <v>1</v>
      </c>
      <c r="N488">
        <v>40207</v>
      </c>
    </row>
    <row r="489" spans="1:14" x14ac:dyDescent="0.35">
      <c r="A489" t="s">
        <v>536</v>
      </c>
      <c r="B489">
        <v>43</v>
      </c>
      <c r="C489" t="str">
        <f>_xlfn.IFS(Table3[[#This Row],[Age]]&lt;=10, "Child",Table3[[#This Row],[Age]]&lt;18, "Teenger", Table3[[#This Row],[Age]]&lt;30, "Middle Age", Table3[[#This Row],[Age]]&lt; 60,"Adult",Table3[[#This Row],[Age]],"Senior Citizen")</f>
        <v>Adult</v>
      </c>
      <c r="D489" t="s">
        <v>12</v>
      </c>
      <c r="E489" t="s">
        <v>31</v>
      </c>
      <c r="F489" t="s">
        <v>20</v>
      </c>
      <c r="G489" s="1">
        <v>45639</v>
      </c>
      <c r="H489" s="1">
        <v>45651</v>
      </c>
      <c r="I489" s="2">
        <f>Table3[[#This Row],[Discharge_Date]]-Table3[[#This Row],[Admission_Date]]</f>
        <v>12</v>
      </c>
      <c r="J489">
        <v>184</v>
      </c>
      <c r="K489" t="s">
        <v>33</v>
      </c>
      <c r="L489" t="s">
        <v>26</v>
      </c>
      <c r="M489">
        <f>IF(Table3[[#This Row],[Treatment_Success]]="Yes",1,0)</f>
        <v>0</v>
      </c>
      <c r="N489">
        <v>149617</v>
      </c>
    </row>
    <row r="490" spans="1:14" x14ac:dyDescent="0.35">
      <c r="A490" t="s">
        <v>537</v>
      </c>
      <c r="B490">
        <v>83</v>
      </c>
      <c r="C490" t="str">
        <f>_xlfn.IFS(Table3[[#This Row],[Age]]&lt;=10, "Child",Table3[[#This Row],[Age]]&lt;18, "Teenger", Table3[[#This Row],[Age]]&lt;30, "Middle Age", Table3[[#This Row],[Age]]&lt; 60,"Adult",Table3[[#This Row],[Age]],"Senior Citizen")</f>
        <v>Senior Citizen</v>
      </c>
      <c r="D490" t="s">
        <v>18</v>
      </c>
      <c r="E490" t="s">
        <v>38</v>
      </c>
      <c r="F490" t="s">
        <v>106</v>
      </c>
      <c r="G490" s="1">
        <v>45347</v>
      </c>
      <c r="H490" s="1">
        <v>45350</v>
      </c>
      <c r="I490" s="2">
        <f>Table3[[#This Row],[Discharge_Date]]-Table3[[#This Row],[Admission_Date]]</f>
        <v>3</v>
      </c>
      <c r="J490">
        <v>276</v>
      </c>
      <c r="K490" t="s">
        <v>36</v>
      </c>
      <c r="L490" t="s">
        <v>16</v>
      </c>
      <c r="M490">
        <f>IF(Table3[[#This Row],[Treatment_Success]]="Yes",1,0)</f>
        <v>1</v>
      </c>
      <c r="N490">
        <v>197294</v>
      </c>
    </row>
    <row r="491" spans="1:14" x14ac:dyDescent="0.35">
      <c r="A491" t="s">
        <v>538</v>
      </c>
      <c r="B491">
        <v>10</v>
      </c>
      <c r="C491" t="str">
        <f>_xlfn.IFS(Table3[[#This Row],[Age]]&lt;=10, "Child",Table3[[#This Row],[Age]]&lt;18, "Teenger", Table3[[#This Row],[Age]]&lt;30, "Middle Age", Table3[[#This Row],[Age]]&lt; 60,"Adult",Table3[[#This Row],[Age]],"Senior Citizen")</f>
        <v>Child</v>
      </c>
      <c r="D491" t="s">
        <v>18</v>
      </c>
      <c r="E491" t="s">
        <v>28</v>
      </c>
      <c r="F491" t="s">
        <v>68</v>
      </c>
      <c r="G491" s="1">
        <v>45612</v>
      </c>
      <c r="H491" s="1">
        <v>45614</v>
      </c>
      <c r="I491" s="2">
        <f>Table3[[#This Row],[Discharge_Date]]-Table3[[#This Row],[Admission_Date]]</f>
        <v>2</v>
      </c>
      <c r="J491">
        <v>16</v>
      </c>
      <c r="K491" t="s">
        <v>46</v>
      </c>
      <c r="L491" t="s">
        <v>16</v>
      </c>
      <c r="M491">
        <f>IF(Table3[[#This Row],[Treatment_Success]]="Yes",1,0)</f>
        <v>1</v>
      </c>
      <c r="N491">
        <v>14609</v>
      </c>
    </row>
    <row r="492" spans="1:14" x14ac:dyDescent="0.35">
      <c r="A492" t="s">
        <v>539</v>
      </c>
      <c r="B492">
        <v>70</v>
      </c>
      <c r="C492" t="str">
        <f>_xlfn.IFS(Table3[[#This Row],[Age]]&lt;=10, "Child",Table3[[#This Row],[Age]]&lt;18, "Teenger", Table3[[#This Row],[Age]]&lt;30, "Middle Age", Table3[[#This Row],[Age]]&lt; 60,"Adult",Table3[[#This Row],[Age]],"Senior Citizen")</f>
        <v>Senior Citizen</v>
      </c>
      <c r="D492" t="s">
        <v>12</v>
      </c>
      <c r="E492" t="s">
        <v>13</v>
      </c>
      <c r="F492" t="s">
        <v>63</v>
      </c>
      <c r="G492" s="1">
        <v>45574</v>
      </c>
      <c r="H492" s="1">
        <v>45579</v>
      </c>
      <c r="I492" s="2">
        <f>Table3[[#This Row],[Discharge_Date]]-Table3[[#This Row],[Admission_Date]]</f>
        <v>5</v>
      </c>
      <c r="J492">
        <v>201</v>
      </c>
      <c r="K492" t="s">
        <v>36</v>
      </c>
      <c r="L492" t="s">
        <v>16</v>
      </c>
      <c r="M492">
        <f>IF(Table3[[#This Row],[Treatment_Success]]="Yes",1,0)</f>
        <v>1</v>
      </c>
      <c r="N492">
        <v>40096</v>
      </c>
    </row>
    <row r="493" spans="1:14" x14ac:dyDescent="0.35">
      <c r="A493" t="s">
        <v>540</v>
      </c>
      <c r="B493">
        <v>66</v>
      </c>
      <c r="C493" t="str">
        <f>_xlfn.IFS(Table3[[#This Row],[Age]]&lt;=10, "Child",Table3[[#This Row],[Age]]&lt;18, "Teenger", Table3[[#This Row],[Age]]&lt;30, "Middle Age", Table3[[#This Row],[Age]]&lt; 60,"Adult",Table3[[#This Row],[Age]],"Senior Citizen")</f>
        <v>Senior Citizen</v>
      </c>
      <c r="D493" t="s">
        <v>18</v>
      </c>
      <c r="E493" t="s">
        <v>31</v>
      </c>
      <c r="F493" t="s">
        <v>63</v>
      </c>
      <c r="G493" s="1">
        <v>45529</v>
      </c>
      <c r="H493" s="1">
        <v>45538</v>
      </c>
      <c r="I493" s="2">
        <f>Table3[[#This Row],[Discharge_Date]]-Table3[[#This Row],[Admission_Date]]</f>
        <v>9</v>
      </c>
      <c r="J493">
        <v>258</v>
      </c>
      <c r="K493" t="s">
        <v>15</v>
      </c>
      <c r="L493" t="s">
        <v>16</v>
      </c>
      <c r="M493">
        <f>IF(Table3[[#This Row],[Treatment_Success]]="Yes",1,0)</f>
        <v>1</v>
      </c>
      <c r="N493">
        <v>165965</v>
      </c>
    </row>
    <row r="494" spans="1:14" x14ac:dyDescent="0.35">
      <c r="A494" t="s">
        <v>541</v>
      </c>
      <c r="B494">
        <v>66</v>
      </c>
      <c r="C494" t="str">
        <f>_xlfn.IFS(Table3[[#This Row],[Age]]&lt;=10, "Child",Table3[[#This Row],[Age]]&lt;18, "Teenger", Table3[[#This Row],[Age]]&lt;30, "Middle Age", Table3[[#This Row],[Age]]&lt; 60,"Adult",Table3[[#This Row],[Age]],"Senior Citizen")</f>
        <v>Senior Citizen</v>
      </c>
      <c r="D494" t="s">
        <v>18</v>
      </c>
      <c r="E494" t="s">
        <v>31</v>
      </c>
      <c r="F494" t="s">
        <v>66</v>
      </c>
      <c r="G494" s="1">
        <v>45642</v>
      </c>
      <c r="H494" s="1">
        <v>45645</v>
      </c>
      <c r="I494" s="2">
        <f>Table3[[#This Row],[Discharge_Date]]-Table3[[#This Row],[Admission_Date]]</f>
        <v>3</v>
      </c>
      <c r="J494">
        <v>92</v>
      </c>
      <c r="K494" t="s">
        <v>36</v>
      </c>
      <c r="L494" t="s">
        <v>26</v>
      </c>
      <c r="M494">
        <f>IF(Table3[[#This Row],[Treatment_Success]]="Yes",1,0)</f>
        <v>0</v>
      </c>
      <c r="N494">
        <v>99056</v>
      </c>
    </row>
    <row r="495" spans="1:14" x14ac:dyDescent="0.35">
      <c r="A495" t="s">
        <v>542</v>
      </c>
      <c r="B495">
        <v>63</v>
      </c>
      <c r="C495" t="str">
        <f>_xlfn.IFS(Table3[[#This Row],[Age]]&lt;=10, "Child",Table3[[#This Row],[Age]]&lt;18, "Teenger", Table3[[#This Row],[Age]]&lt;30, "Middle Age", Table3[[#This Row],[Age]]&lt; 60,"Adult",Table3[[#This Row],[Age]],"Senior Citizen")</f>
        <v>Senior Citizen</v>
      </c>
      <c r="D495" t="s">
        <v>18</v>
      </c>
      <c r="E495" t="s">
        <v>24</v>
      </c>
      <c r="F495" t="s">
        <v>32</v>
      </c>
      <c r="G495" s="1">
        <v>45312</v>
      </c>
      <c r="H495" s="1">
        <v>45316</v>
      </c>
      <c r="I495" s="2">
        <f>Table3[[#This Row],[Discharge_Date]]-Table3[[#This Row],[Admission_Date]]</f>
        <v>4</v>
      </c>
      <c r="J495">
        <v>190</v>
      </c>
      <c r="K495" t="s">
        <v>36</v>
      </c>
      <c r="L495" t="s">
        <v>16</v>
      </c>
      <c r="M495">
        <f>IF(Table3[[#This Row],[Treatment_Success]]="Yes",1,0)</f>
        <v>1</v>
      </c>
      <c r="N495">
        <v>180265</v>
      </c>
    </row>
    <row r="496" spans="1:14" x14ac:dyDescent="0.35">
      <c r="A496" t="s">
        <v>543</v>
      </c>
      <c r="B496">
        <v>47</v>
      </c>
      <c r="C496" t="str">
        <f>_xlfn.IFS(Table3[[#This Row],[Age]]&lt;=10, "Child",Table3[[#This Row],[Age]]&lt;18, "Teenger", Table3[[#This Row],[Age]]&lt;30, "Middle Age", Table3[[#This Row],[Age]]&lt; 60,"Adult",Table3[[#This Row],[Age]],"Senior Citizen")</f>
        <v>Adult</v>
      </c>
      <c r="D496" t="s">
        <v>12</v>
      </c>
      <c r="E496" t="s">
        <v>31</v>
      </c>
      <c r="F496" t="s">
        <v>20</v>
      </c>
      <c r="G496" s="1">
        <v>45397</v>
      </c>
      <c r="H496" s="1">
        <v>45406</v>
      </c>
      <c r="I496" s="2">
        <f>Table3[[#This Row],[Discharge_Date]]-Table3[[#This Row],[Admission_Date]]</f>
        <v>9</v>
      </c>
      <c r="J496">
        <v>24</v>
      </c>
      <c r="K496" t="s">
        <v>15</v>
      </c>
      <c r="L496" t="s">
        <v>16</v>
      </c>
      <c r="M496">
        <f>IF(Table3[[#This Row],[Treatment_Success]]="Yes",1,0)</f>
        <v>1</v>
      </c>
      <c r="N496">
        <v>32059</v>
      </c>
    </row>
    <row r="497" spans="1:14" x14ac:dyDescent="0.35">
      <c r="A497" t="s">
        <v>544</v>
      </c>
      <c r="B497">
        <v>82</v>
      </c>
      <c r="C497" t="str">
        <f>_xlfn.IFS(Table3[[#This Row],[Age]]&lt;=10, "Child",Table3[[#This Row],[Age]]&lt;18, "Teenger", Table3[[#This Row],[Age]]&lt;30, "Middle Age", Table3[[#This Row],[Age]]&lt; 60,"Adult",Table3[[#This Row],[Age]],"Senior Citizen")</f>
        <v>Senior Citizen</v>
      </c>
      <c r="D497" t="s">
        <v>12</v>
      </c>
      <c r="E497" t="s">
        <v>38</v>
      </c>
      <c r="F497" t="s">
        <v>58</v>
      </c>
      <c r="G497" s="1">
        <v>45652</v>
      </c>
      <c r="H497" s="1">
        <v>45661</v>
      </c>
      <c r="I497" s="2">
        <f>Table3[[#This Row],[Discharge_Date]]-Table3[[#This Row],[Admission_Date]]</f>
        <v>9</v>
      </c>
      <c r="J497">
        <v>279</v>
      </c>
      <c r="K497" t="s">
        <v>36</v>
      </c>
      <c r="L497" t="s">
        <v>26</v>
      </c>
      <c r="M497">
        <f>IF(Table3[[#This Row],[Treatment_Success]]="Yes",1,0)</f>
        <v>0</v>
      </c>
      <c r="N497">
        <v>176357</v>
      </c>
    </row>
    <row r="498" spans="1:14" x14ac:dyDescent="0.35">
      <c r="A498" t="s">
        <v>545</v>
      </c>
      <c r="B498">
        <v>76</v>
      </c>
      <c r="C498" t="str">
        <f>_xlfn.IFS(Table3[[#This Row],[Age]]&lt;=10, "Child",Table3[[#This Row],[Age]]&lt;18, "Teenger", Table3[[#This Row],[Age]]&lt;30, "Middle Age", Table3[[#This Row],[Age]]&lt; 60,"Adult",Table3[[#This Row],[Age]],"Senior Citizen")</f>
        <v>Senior Citizen</v>
      </c>
      <c r="D498" t="s">
        <v>18</v>
      </c>
      <c r="E498" t="s">
        <v>28</v>
      </c>
      <c r="F498" t="s">
        <v>32</v>
      </c>
      <c r="G498" s="1">
        <v>45485</v>
      </c>
      <c r="H498" s="1">
        <v>45491</v>
      </c>
      <c r="I498" s="2">
        <f>Table3[[#This Row],[Discharge_Date]]-Table3[[#This Row],[Admission_Date]]</f>
        <v>6</v>
      </c>
      <c r="J498">
        <v>193</v>
      </c>
      <c r="K498" t="s">
        <v>36</v>
      </c>
      <c r="L498" t="s">
        <v>26</v>
      </c>
      <c r="M498">
        <f>IF(Table3[[#This Row],[Treatment_Success]]="Yes",1,0)</f>
        <v>0</v>
      </c>
      <c r="N498">
        <v>97510</v>
      </c>
    </row>
    <row r="499" spans="1:14" x14ac:dyDescent="0.35">
      <c r="A499" t="s">
        <v>546</v>
      </c>
      <c r="B499">
        <v>62</v>
      </c>
      <c r="C499" t="str">
        <f>_xlfn.IFS(Table3[[#This Row],[Age]]&lt;=10, "Child",Table3[[#This Row],[Age]]&lt;18, "Teenger", Table3[[#This Row],[Age]]&lt;30, "Middle Age", Table3[[#This Row],[Age]]&lt; 60,"Adult",Table3[[#This Row],[Age]],"Senior Citizen")</f>
        <v>Senior Citizen</v>
      </c>
      <c r="D499" t="s">
        <v>18</v>
      </c>
      <c r="E499" t="s">
        <v>28</v>
      </c>
      <c r="F499" t="s">
        <v>106</v>
      </c>
      <c r="G499" s="1">
        <v>45468</v>
      </c>
      <c r="H499" s="1">
        <v>45476</v>
      </c>
      <c r="I499" s="2">
        <f>Table3[[#This Row],[Discharge_Date]]-Table3[[#This Row],[Admission_Date]]</f>
        <v>8</v>
      </c>
      <c r="J499">
        <v>226</v>
      </c>
      <c r="K499" t="s">
        <v>36</v>
      </c>
      <c r="L499" t="s">
        <v>16</v>
      </c>
      <c r="M499">
        <f>IF(Table3[[#This Row],[Treatment_Success]]="Yes",1,0)</f>
        <v>1</v>
      </c>
      <c r="N499">
        <v>25208</v>
      </c>
    </row>
    <row r="500" spans="1:14" x14ac:dyDescent="0.35">
      <c r="A500" t="s">
        <v>547</v>
      </c>
      <c r="B500">
        <v>36</v>
      </c>
      <c r="C500" t="str">
        <f>_xlfn.IFS(Table3[[#This Row],[Age]]&lt;=10, "Child",Table3[[#This Row],[Age]]&lt;18, "Teenger", Table3[[#This Row],[Age]]&lt;30, "Middle Age", Table3[[#This Row],[Age]]&lt; 60,"Adult",Table3[[#This Row],[Age]],"Senior Citizen")</f>
        <v>Adult</v>
      </c>
      <c r="D500" t="s">
        <v>18</v>
      </c>
      <c r="E500" t="s">
        <v>13</v>
      </c>
      <c r="F500" t="s">
        <v>66</v>
      </c>
      <c r="G500" s="1">
        <v>45555</v>
      </c>
      <c r="H500" s="1">
        <v>45566</v>
      </c>
      <c r="I500" s="2">
        <f>Table3[[#This Row],[Discharge_Date]]-Table3[[#This Row],[Admission_Date]]</f>
        <v>11</v>
      </c>
      <c r="J500">
        <v>81</v>
      </c>
      <c r="K500" t="s">
        <v>33</v>
      </c>
      <c r="L500" t="s">
        <v>16</v>
      </c>
      <c r="M500">
        <f>IF(Table3[[#This Row],[Treatment_Success]]="Yes",1,0)</f>
        <v>1</v>
      </c>
      <c r="N500">
        <v>178305</v>
      </c>
    </row>
    <row r="501" spans="1:14" x14ac:dyDescent="0.35">
      <c r="A501" t="s">
        <v>548</v>
      </c>
      <c r="B501">
        <v>43</v>
      </c>
      <c r="C501" t="str">
        <f>_xlfn.IFS(Table3[[#This Row],[Age]]&lt;=10, "Child",Table3[[#This Row],[Age]]&lt;18, "Teenger", Table3[[#This Row],[Age]]&lt;30, "Middle Age", Table3[[#This Row],[Age]]&lt; 60,"Adult",Table3[[#This Row],[Age]],"Senior Citizen")</f>
        <v>Adult</v>
      </c>
      <c r="D501" t="s">
        <v>18</v>
      </c>
      <c r="E501" t="s">
        <v>31</v>
      </c>
      <c r="F501" t="s">
        <v>54</v>
      </c>
      <c r="G501" s="1">
        <v>45409</v>
      </c>
      <c r="H501" s="1">
        <v>45416</v>
      </c>
      <c r="I501" s="2">
        <f>Table3[[#This Row],[Discharge_Date]]-Table3[[#This Row],[Admission_Date]]</f>
        <v>7</v>
      </c>
      <c r="J501">
        <v>246</v>
      </c>
      <c r="K501" t="s">
        <v>46</v>
      </c>
      <c r="L501" t="s">
        <v>16</v>
      </c>
      <c r="M501">
        <f>IF(Table3[[#This Row],[Treatment_Success]]="Yes",1,0)</f>
        <v>1</v>
      </c>
      <c r="N501">
        <v>159872</v>
      </c>
    </row>
    <row r="502" spans="1:14" x14ac:dyDescent="0.35">
      <c r="A502" t="s">
        <v>549</v>
      </c>
      <c r="B502">
        <v>53</v>
      </c>
      <c r="C502" t="str">
        <f>_xlfn.IFS(Table3[[#This Row],[Age]]&lt;=10, "Child",Table3[[#This Row],[Age]]&lt;18, "Teenger", Table3[[#This Row],[Age]]&lt;30, "Middle Age", Table3[[#This Row],[Age]]&lt; 60,"Adult",Table3[[#This Row],[Age]],"Senior Citizen")</f>
        <v>Adult</v>
      </c>
      <c r="D502" t="s">
        <v>18</v>
      </c>
      <c r="E502" t="s">
        <v>13</v>
      </c>
      <c r="F502" t="s">
        <v>52</v>
      </c>
      <c r="G502" s="1">
        <v>45374</v>
      </c>
      <c r="H502" s="1">
        <v>45385</v>
      </c>
      <c r="I502" s="2">
        <f>Table3[[#This Row],[Discharge_Date]]-Table3[[#This Row],[Admission_Date]]</f>
        <v>11</v>
      </c>
      <c r="J502">
        <v>66</v>
      </c>
      <c r="K502" t="s">
        <v>36</v>
      </c>
      <c r="L502" t="s">
        <v>16</v>
      </c>
      <c r="M502">
        <f>IF(Table3[[#This Row],[Treatment_Success]]="Yes",1,0)</f>
        <v>1</v>
      </c>
      <c r="N502">
        <v>170030</v>
      </c>
    </row>
    <row r="503" spans="1:14" x14ac:dyDescent="0.35">
      <c r="A503" t="s">
        <v>550</v>
      </c>
      <c r="B503">
        <v>74</v>
      </c>
      <c r="C503" t="str">
        <f>_xlfn.IFS(Table3[[#This Row],[Age]]&lt;=10, "Child",Table3[[#This Row],[Age]]&lt;18, "Teenger", Table3[[#This Row],[Age]]&lt;30, "Middle Age", Table3[[#This Row],[Age]]&lt; 60,"Adult",Table3[[#This Row],[Age]],"Senior Citizen")</f>
        <v>Senior Citizen</v>
      </c>
      <c r="D503" t="s">
        <v>18</v>
      </c>
      <c r="E503" t="s">
        <v>24</v>
      </c>
      <c r="F503" t="s">
        <v>66</v>
      </c>
      <c r="G503" s="1">
        <v>45554</v>
      </c>
      <c r="H503" s="1">
        <v>45555</v>
      </c>
      <c r="I503" s="2">
        <f>Table3[[#This Row],[Discharge_Date]]-Table3[[#This Row],[Admission_Date]]</f>
        <v>1</v>
      </c>
      <c r="J503">
        <v>133</v>
      </c>
      <c r="K503" t="s">
        <v>36</v>
      </c>
      <c r="L503" t="s">
        <v>26</v>
      </c>
      <c r="M503">
        <f>IF(Table3[[#This Row],[Treatment_Success]]="Yes",1,0)</f>
        <v>0</v>
      </c>
      <c r="N503">
        <v>162117</v>
      </c>
    </row>
    <row r="504" spans="1:14" x14ac:dyDescent="0.35">
      <c r="A504" t="s">
        <v>551</v>
      </c>
      <c r="B504">
        <v>3</v>
      </c>
      <c r="C504" t="str">
        <f>_xlfn.IFS(Table3[[#This Row],[Age]]&lt;=10, "Child",Table3[[#This Row],[Age]]&lt;18, "Teenger", Table3[[#This Row],[Age]]&lt;30, "Middle Age", Table3[[#This Row],[Age]]&lt; 60,"Adult",Table3[[#This Row],[Age]],"Senior Citizen")</f>
        <v>Child</v>
      </c>
      <c r="D504" t="s">
        <v>12</v>
      </c>
      <c r="E504" t="s">
        <v>24</v>
      </c>
      <c r="F504" t="s">
        <v>29</v>
      </c>
      <c r="G504" s="1">
        <v>45580</v>
      </c>
      <c r="H504" s="1">
        <v>45591</v>
      </c>
      <c r="I504" s="2">
        <f>Table3[[#This Row],[Discharge_Date]]-Table3[[#This Row],[Admission_Date]]</f>
        <v>11</v>
      </c>
      <c r="J504">
        <v>230</v>
      </c>
      <c r="K504" t="s">
        <v>46</v>
      </c>
      <c r="L504" t="s">
        <v>26</v>
      </c>
      <c r="M504">
        <f>IF(Table3[[#This Row],[Treatment_Success]]="Yes",1,0)</f>
        <v>0</v>
      </c>
      <c r="N504">
        <v>49713</v>
      </c>
    </row>
    <row r="505" spans="1:14" x14ac:dyDescent="0.35">
      <c r="A505" t="s">
        <v>552</v>
      </c>
      <c r="B505">
        <v>53</v>
      </c>
      <c r="C505" t="str">
        <f>_xlfn.IFS(Table3[[#This Row],[Age]]&lt;=10, "Child",Table3[[#This Row],[Age]]&lt;18, "Teenger", Table3[[#This Row],[Age]]&lt;30, "Middle Age", Table3[[#This Row],[Age]]&lt; 60,"Adult",Table3[[#This Row],[Age]],"Senior Citizen")</f>
        <v>Adult</v>
      </c>
      <c r="D505" t="s">
        <v>18</v>
      </c>
      <c r="E505" t="s">
        <v>28</v>
      </c>
      <c r="F505" t="s">
        <v>22</v>
      </c>
      <c r="G505" s="1">
        <v>45404</v>
      </c>
      <c r="H505" s="1">
        <v>45418</v>
      </c>
      <c r="I505" s="2">
        <f>Table3[[#This Row],[Discharge_Date]]-Table3[[#This Row],[Admission_Date]]</f>
        <v>14</v>
      </c>
      <c r="J505">
        <v>94</v>
      </c>
      <c r="K505" t="s">
        <v>33</v>
      </c>
      <c r="L505" t="s">
        <v>16</v>
      </c>
      <c r="M505">
        <f>IF(Table3[[#This Row],[Treatment_Success]]="Yes",1,0)</f>
        <v>1</v>
      </c>
      <c r="N505">
        <v>194841</v>
      </c>
    </row>
    <row r="506" spans="1:14" x14ac:dyDescent="0.35">
      <c r="A506" t="s">
        <v>553</v>
      </c>
      <c r="B506">
        <v>59</v>
      </c>
      <c r="C506" t="str">
        <f>_xlfn.IFS(Table3[[#This Row],[Age]]&lt;=10, "Child",Table3[[#This Row],[Age]]&lt;18, "Teenger", Table3[[#This Row],[Age]]&lt;30, "Middle Age", Table3[[#This Row],[Age]]&lt; 60,"Adult",Table3[[#This Row],[Age]],"Senior Citizen")</f>
        <v>Adult</v>
      </c>
      <c r="D506" t="s">
        <v>18</v>
      </c>
      <c r="E506" t="s">
        <v>13</v>
      </c>
      <c r="F506" t="s">
        <v>56</v>
      </c>
      <c r="G506" s="1">
        <v>45643</v>
      </c>
      <c r="H506" s="1">
        <v>45649</v>
      </c>
      <c r="I506" s="2">
        <f>Table3[[#This Row],[Discharge_Date]]-Table3[[#This Row],[Admission_Date]]</f>
        <v>6</v>
      </c>
      <c r="J506">
        <v>198</v>
      </c>
      <c r="K506" t="s">
        <v>36</v>
      </c>
      <c r="L506" t="s">
        <v>16</v>
      </c>
      <c r="M506">
        <f>IF(Table3[[#This Row],[Treatment_Success]]="Yes",1,0)</f>
        <v>1</v>
      </c>
      <c r="N506">
        <v>9341</v>
      </c>
    </row>
    <row r="507" spans="1:14" x14ac:dyDescent="0.35">
      <c r="A507" t="s">
        <v>554</v>
      </c>
      <c r="B507">
        <v>65</v>
      </c>
      <c r="C507" t="str">
        <f>_xlfn.IFS(Table3[[#This Row],[Age]]&lt;=10, "Child",Table3[[#This Row],[Age]]&lt;18, "Teenger", Table3[[#This Row],[Age]]&lt;30, "Middle Age", Table3[[#This Row],[Age]]&lt; 60,"Adult",Table3[[#This Row],[Age]],"Senior Citizen")</f>
        <v>Senior Citizen</v>
      </c>
      <c r="D507" t="s">
        <v>12</v>
      </c>
      <c r="E507" t="s">
        <v>13</v>
      </c>
      <c r="F507" t="s">
        <v>35</v>
      </c>
      <c r="G507" s="1">
        <v>45395</v>
      </c>
      <c r="H507" s="1">
        <v>45404</v>
      </c>
      <c r="I507" s="2">
        <f>Table3[[#This Row],[Discharge_Date]]-Table3[[#This Row],[Admission_Date]]</f>
        <v>9</v>
      </c>
      <c r="J507">
        <v>50</v>
      </c>
      <c r="K507" t="s">
        <v>36</v>
      </c>
      <c r="L507" t="s">
        <v>26</v>
      </c>
      <c r="M507">
        <f>IF(Table3[[#This Row],[Treatment_Success]]="Yes",1,0)</f>
        <v>0</v>
      </c>
      <c r="N507">
        <v>166152</v>
      </c>
    </row>
    <row r="508" spans="1:14" x14ac:dyDescent="0.35">
      <c r="A508" t="s">
        <v>555</v>
      </c>
      <c r="B508">
        <v>69</v>
      </c>
      <c r="C508" t="str">
        <f>_xlfn.IFS(Table3[[#This Row],[Age]]&lt;=10, "Child",Table3[[#This Row],[Age]]&lt;18, "Teenger", Table3[[#This Row],[Age]]&lt;30, "Middle Age", Table3[[#This Row],[Age]]&lt; 60,"Adult",Table3[[#This Row],[Age]],"Senior Citizen")</f>
        <v>Senior Citizen</v>
      </c>
      <c r="D508" t="s">
        <v>18</v>
      </c>
      <c r="E508" t="s">
        <v>24</v>
      </c>
      <c r="F508" t="s">
        <v>43</v>
      </c>
      <c r="G508" s="1">
        <v>45599</v>
      </c>
      <c r="H508" s="1">
        <v>45600</v>
      </c>
      <c r="I508" s="2">
        <f>Table3[[#This Row],[Discharge_Date]]-Table3[[#This Row],[Admission_Date]]</f>
        <v>1</v>
      </c>
      <c r="J508">
        <v>67</v>
      </c>
      <c r="K508" t="s">
        <v>15</v>
      </c>
      <c r="L508" t="s">
        <v>26</v>
      </c>
      <c r="M508">
        <f>IF(Table3[[#This Row],[Treatment_Success]]="Yes",1,0)</f>
        <v>0</v>
      </c>
      <c r="N508">
        <v>141850</v>
      </c>
    </row>
    <row r="509" spans="1:14" x14ac:dyDescent="0.35">
      <c r="A509" t="s">
        <v>556</v>
      </c>
      <c r="B509">
        <v>6</v>
      </c>
      <c r="C509" t="str">
        <f>_xlfn.IFS(Table3[[#This Row],[Age]]&lt;=10, "Child",Table3[[#This Row],[Age]]&lt;18, "Teenger", Table3[[#This Row],[Age]]&lt;30, "Middle Age", Table3[[#This Row],[Age]]&lt; 60,"Adult",Table3[[#This Row],[Age]],"Senior Citizen")</f>
        <v>Child</v>
      </c>
      <c r="D509" t="s">
        <v>12</v>
      </c>
      <c r="E509" t="s">
        <v>13</v>
      </c>
      <c r="F509" t="s">
        <v>43</v>
      </c>
      <c r="G509" s="1">
        <v>45507</v>
      </c>
      <c r="H509" s="1">
        <v>45513</v>
      </c>
      <c r="I509" s="2">
        <f>Table3[[#This Row],[Discharge_Date]]-Table3[[#This Row],[Admission_Date]]</f>
        <v>6</v>
      </c>
      <c r="J509">
        <v>196</v>
      </c>
      <c r="K509" t="s">
        <v>33</v>
      </c>
      <c r="L509" t="s">
        <v>16</v>
      </c>
      <c r="M509">
        <f>IF(Table3[[#This Row],[Treatment_Success]]="Yes",1,0)</f>
        <v>1</v>
      </c>
      <c r="N509">
        <v>116539</v>
      </c>
    </row>
    <row r="510" spans="1:14" x14ac:dyDescent="0.35">
      <c r="A510" t="s">
        <v>557</v>
      </c>
      <c r="B510">
        <v>62</v>
      </c>
      <c r="C510" t="str">
        <f>_xlfn.IFS(Table3[[#This Row],[Age]]&lt;=10, "Child",Table3[[#This Row],[Age]]&lt;18, "Teenger", Table3[[#This Row],[Age]]&lt;30, "Middle Age", Table3[[#This Row],[Age]]&lt; 60,"Adult",Table3[[#This Row],[Age]],"Senior Citizen")</f>
        <v>Senior Citizen</v>
      </c>
      <c r="D510" t="s">
        <v>18</v>
      </c>
      <c r="E510" t="s">
        <v>24</v>
      </c>
      <c r="F510" t="s">
        <v>83</v>
      </c>
      <c r="G510" s="1">
        <v>45360</v>
      </c>
      <c r="H510" s="1">
        <v>45365</v>
      </c>
      <c r="I510" s="2">
        <f>Table3[[#This Row],[Discharge_Date]]-Table3[[#This Row],[Admission_Date]]</f>
        <v>5</v>
      </c>
      <c r="J510">
        <v>279</v>
      </c>
      <c r="K510" t="s">
        <v>46</v>
      </c>
      <c r="L510" t="s">
        <v>16</v>
      </c>
      <c r="M510">
        <f>IF(Table3[[#This Row],[Treatment_Success]]="Yes",1,0)</f>
        <v>1</v>
      </c>
      <c r="N510">
        <v>54550</v>
      </c>
    </row>
    <row r="511" spans="1:14" x14ac:dyDescent="0.35">
      <c r="A511" t="s">
        <v>558</v>
      </c>
      <c r="B511">
        <v>1</v>
      </c>
      <c r="C511" t="str">
        <f>_xlfn.IFS(Table3[[#This Row],[Age]]&lt;=10, "Child",Table3[[#This Row],[Age]]&lt;18, "Teenger", Table3[[#This Row],[Age]]&lt;30, "Middle Age", Table3[[#This Row],[Age]]&lt; 60,"Adult",Table3[[#This Row],[Age]],"Senior Citizen")</f>
        <v>Child</v>
      </c>
      <c r="D511" t="s">
        <v>18</v>
      </c>
      <c r="E511" t="s">
        <v>28</v>
      </c>
      <c r="F511" t="s">
        <v>80</v>
      </c>
      <c r="G511" s="1">
        <v>45294</v>
      </c>
      <c r="H511" s="1">
        <v>45306</v>
      </c>
      <c r="I511" s="2">
        <f>Table3[[#This Row],[Discharge_Date]]-Table3[[#This Row],[Admission_Date]]</f>
        <v>12</v>
      </c>
      <c r="J511">
        <v>193</v>
      </c>
      <c r="K511" t="s">
        <v>36</v>
      </c>
      <c r="L511" t="s">
        <v>16</v>
      </c>
      <c r="M511">
        <f>IF(Table3[[#This Row],[Treatment_Success]]="Yes",1,0)</f>
        <v>1</v>
      </c>
      <c r="N511">
        <v>112176</v>
      </c>
    </row>
    <row r="512" spans="1:14" x14ac:dyDescent="0.35">
      <c r="A512" t="s">
        <v>559</v>
      </c>
      <c r="B512">
        <v>20</v>
      </c>
      <c r="C512" t="str">
        <f>_xlfn.IFS(Table3[[#This Row],[Age]]&lt;=10, "Child",Table3[[#This Row],[Age]]&lt;18, "Teenger", Table3[[#This Row],[Age]]&lt;30, "Middle Age", Table3[[#This Row],[Age]]&lt; 60,"Adult",Table3[[#This Row],[Age]],"Senior Citizen")</f>
        <v>Middle Age</v>
      </c>
      <c r="D512" t="s">
        <v>12</v>
      </c>
      <c r="E512" t="s">
        <v>28</v>
      </c>
      <c r="F512" t="s">
        <v>32</v>
      </c>
      <c r="G512" s="1">
        <v>45477</v>
      </c>
      <c r="H512" s="1">
        <v>45479</v>
      </c>
      <c r="I512" s="2">
        <f>Table3[[#This Row],[Discharge_Date]]-Table3[[#This Row],[Admission_Date]]</f>
        <v>2</v>
      </c>
      <c r="J512">
        <v>134</v>
      </c>
      <c r="K512" t="s">
        <v>46</v>
      </c>
      <c r="L512" t="s">
        <v>16</v>
      </c>
      <c r="M512">
        <f>IF(Table3[[#This Row],[Treatment_Success]]="Yes",1,0)</f>
        <v>1</v>
      </c>
      <c r="N512">
        <v>165400</v>
      </c>
    </row>
    <row r="513" spans="1:14" x14ac:dyDescent="0.35">
      <c r="A513" t="s">
        <v>560</v>
      </c>
      <c r="B513">
        <v>51</v>
      </c>
      <c r="C513" t="str">
        <f>_xlfn.IFS(Table3[[#This Row],[Age]]&lt;=10, "Child",Table3[[#This Row],[Age]]&lt;18, "Teenger", Table3[[#This Row],[Age]]&lt;30, "Middle Age", Table3[[#This Row],[Age]]&lt; 60,"Adult",Table3[[#This Row],[Age]],"Senior Citizen")</f>
        <v>Adult</v>
      </c>
      <c r="D513" t="s">
        <v>18</v>
      </c>
      <c r="E513" t="s">
        <v>31</v>
      </c>
      <c r="F513" t="s">
        <v>61</v>
      </c>
      <c r="G513" s="1">
        <v>45433</v>
      </c>
      <c r="H513" s="1">
        <v>45444</v>
      </c>
      <c r="I513" s="2">
        <f>Table3[[#This Row],[Discharge_Date]]-Table3[[#This Row],[Admission_Date]]</f>
        <v>11</v>
      </c>
      <c r="J513">
        <v>286</v>
      </c>
      <c r="K513" t="s">
        <v>46</v>
      </c>
      <c r="L513" t="s">
        <v>16</v>
      </c>
      <c r="M513">
        <f>IF(Table3[[#This Row],[Treatment_Success]]="Yes",1,0)</f>
        <v>1</v>
      </c>
      <c r="N513">
        <v>102049</v>
      </c>
    </row>
    <row r="514" spans="1:14" x14ac:dyDescent="0.35">
      <c r="A514" t="s">
        <v>561</v>
      </c>
      <c r="B514">
        <v>62</v>
      </c>
      <c r="C514" t="str">
        <f>_xlfn.IFS(Table3[[#This Row],[Age]]&lt;=10, "Child",Table3[[#This Row],[Age]]&lt;18, "Teenger", Table3[[#This Row],[Age]]&lt;30, "Middle Age", Table3[[#This Row],[Age]]&lt; 60,"Adult",Table3[[#This Row],[Age]],"Senior Citizen")</f>
        <v>Senior Citizen</v>
      </c>
      <c r="D514" t="s">
        <v>12</v>
      </c>
      <c r="E514" t="s">
        <v>38</v>
      </c>
      <c r="F514" t="s">
        <v>58</v>
      </c>
      <c r="G514" s="1">
        <v>45578</v>
      </c>
      <c r="H514" s="1">
        <v>45587</v>
      </c>
      <c r="I514" s="2">
        <f>Table3[[#This Row],[Discharge_Date]]-Table3[[#This Row],[Admission_Date]]</f>
        <v>9</v>
      </c>
      <c r="J514">
        <v>177</v>
      </c>
      <c r="K514" t="s">
        <v>46</v>
      </c>
      <c r="L514" t="s">
        <v>16</v>
      </c>
      <c r="M514">
        <f>IF(Table3[[#This Row],[Treatment_Success]]="Yes",1,0)</f>
        <v>1</v>
      </c>
      <c r="N514">
        <v>177827</v>
      </c>
    </row>
    <row r="515" spans="1:14" x14ac:dyDescent="0.35">
      <c r="A515" t="s">
        <v>562</v>
      </c>
      <c r="B515">
        <v>30</v>
      </c>
      <c r="C515" t="str">
        <f>_xlfn.IFS(Table3[[#This Row],[Age]]&lt;=10, "Child",Table3[[#This Row],[Age]]&lt;18, "Teenger", Table3[[#This Row],[Age]]&lt;30, "Middle Age", Table3[[#This Row],[Age]]&lt; 60,"Adult",Table3[[#This Row],[Age]],"Senior Citizen")</f>
        <v>Adult</v>
      </c>
      <c r="D515" t="s">
        <v>12</v>
      </c>
      <c r="E515" t="s">
        <v>13</v>
      </c>
      <c r="F515" t="s">
        <v>90</v>
      </c>
      <c r="G515" s="1">
        <v>45352</v>
      </c>
      <c r="H515" s="1">
        <v>45364</v>
      </c>
      <c r="I515" s="2">
        <f>Table3[[#This Row],[Discharge_Date]]-Table3[[#This Row],[Admission_Date]]</f>
        <v>12</v>
      </c>
      <c r="J515">
        <v>110</v>
      </c>
      <c r="K515" t="s">
        <v>46</v>
      </c>
      <c r="L515" t="s">
        <v>16</v>
      </c>
      <c r="M515">
        <f>IF(Table3[[#This Row],[Treatment_Success]]="Yes",1,0)</f>
        <v>1</v>
      </c>
      <c r="N515">
        <v>149330</v>
      </c>
    </row>
    <row r="516" spans="1:14" x14ac:dyDescent="0.35">
      <c r="A516" t="s">
        <v>563</v>
      </c>
      <c r="B516">
        <v>88</v>
      </c>
      <c r="C516" t="str">
        <f>_xlfn.IFS(Table3[[#This Row],[Age]]&lt;=10, "Child",Table3[[#This Row],[Age]]&lt;18, "Teenger", Table3[[#This Row],[Age]]&lt;30, "Middle Age", Table3[[#This Row],[Age]]&lt; 60,"Adult",Table3[[#This Row],[Age]],"Senior Citizen")</f>
        <v>Senior Citizen</v>
      </c>
      <c r="D516" t="s">
        <v>18</v>
      </c>
      <c r="E516" t="s">
        <v>13</v>
      </c>
      <c r="F516" t="s">
        <v>56</v>
      </c>
      <c r="G516" s="1">
        <v>45606</v>
      </c>
      <c r="H516" s="1">
        <v>45618</v>
      </c>
      <c r="I516" s="2">
        <f>Table3[[#This Row],[Discharge_Date]]-Table3[[#This Row],[Admission_Date]]</f>
        <v>12</v>
      </c>
      <c r="J516">
        <v>3</v>
      </c>
      <c r="K516" t="s">
        <v>15</v>
      </c>
      <c r="L516" t="s">
        <v>16</v>
      </c>
      <c r="M516">
        <f>IF(Table3[[#This Row],[Treatment_Success]]="Yes",1,0)</f>
        <v>1</v>
      </c>
      <c r="N516">
        <v>128645</v>
      </c>
    </row>
    <row r="517" spans="1:14" x14ac:dyDescent="0.35">
      <c r="A517" t="s">
        <v>564</v>
      </c>
      <c r="B517">
        <v>12</v>
      </c>
      <c r="C517" t="str">
        <f>_xlfn.IFS(Table3[[#This Row],[Age]]&lt;=10, "Child",Table3[[#This Row],[Age]]&lt;18, "Teenger", Table3[[#This Row],[Age]]&lt;30, "Middle Age", Table3[[#This Row],[Age]]&lt; 60,"Adult",Table3[[#This Row],[Age]],"Senior Citizen")</f>
        <v>Teenger</v>
      </c>
      <c r="D517" t="s">
        <v>18</v>
      </c>
      <c r="E517" t="s">
        <v>38</v>
      </c>
      <c r="F517" t="s">
        <v>14</v>
      </c>
      <c r="G517" s="1">
        <v>45599</v>
      </c>
      <c r="H517" s="1">
        <v>45606</v>
      </c>
      <c r="I517" s="2">
        <f>Table3[[#This Row],[Discharge_Date]]-Table3[[#This Row],[Admission_Date]]</f>
        <v>7</v>
      </c>
      <c r="J517">
        <v>190</v>
      </c>
      <c r="K517" t="s">
        <v>15</v>
      </c>
      <c r="L517" t="s">
        <v>16</v>
      </c>
      <c r="M517">
        <f>IF(Table3[[#This Row],[Treatment_Success]]="Yes",1,0)</f>
        <v>1</v>
      </c>
      <c r="N517">
        <v>194921</v>
      </c>
    </row>
    <row r="518" spans="1:14" x14ac:dyDescent="0.35">
      <c r="A518" t="s">
        <v>565</v>
      </c>
      <c r="B518">
        <v>52</v>
      </c>
      <c r="C518" t="str">
        <f>_xlfn.IFS(Table3[[#This Row],[Age]]&lt;=10, "Child",Table3[[#This Row],[Age]]&lt;18, "Teenger", Table3[[#This Row],[Age]]&lt;30, "Middle Age", Table3[[#This Row],[Age]]&lt; 60,"Adult",Table3[[#This Row],[Age]],"Senior Citizen")</f>
        <v>Adult</v>
      </c>
      <c r="D518" t="s">
        <v>12</v>
      </c>
      <c r="E518" t="s">
        <v>28</v>
      </c>
      <c r="F518" t="s">
        <v>52</v>
      </c>
      <c r="G518" s="1">
        <v>45488</v>
      </c>
      <c r="H518" s="1">
        <v>45503</v>
      </c>
      <c r="I518" s="2">
        <f>Table3[[#This Row],[Discharge_Date]]-Table3[[#This Row],[Admission_Date]]</f>
        <v>15</v>
      </c>
      <c r="J518">
        <v>90</v>
      </c>
      <c r="K518" t="s">
        <v>46</v>
      </c>
      <c r="L518" t="s">
        <v>26</v>
      </c>
      <c r="M518">
        <f>IF(Table3[[#This Row],[Treatment_Success]]="Yes",1,0)</f>
        <v>0</v>
      </c>
      <c r="N518">
        <v>7807</v>
      </c>
    </row>
    <row r="519" spans="1:14" x14ac:dyDescent="0.35">
      <c r="A519" t="s">
        <v>566</v>
      </c>
      <c r="B519">
        <v>85</v>
      </c>
      <c r="C519" t="str">
        <f>_xlfn.IFS(Table3[[#This Row],[Age]]&lt;=10, "Child",Table3[[#This Row],[Age]]&lt;18, "Teenger", Table3[[#This Row],[Age]]&lt;30, "Middle Age", Table3[[#This Row],[Age]]&lt; 60,"Adult",Table3[[#This Row],[Age]],"Senior Citizen")</f>
        <v>Senior Citizen</v>
      </c>
      <c r="D519" t="s">
        <v>12</v>
      </c>
      <c r="E519" t="s">
        <v>13</v>
      </c>
      <c r="F519" t="s">
        <v>52</v>
      </c>
      <c r="G519" s="1">
        <v>45395</v>
      </c>
      <c r="H519" s="1">
        <v>45409</v>
      </c>
      <c r="I519" s="2">
        <f>Table3[[#This Row],[Discharge_Date]]-Table3[[#This Row],[Admission_Date]]</f>
        <v>14</v>
      </c>
      <c r="J519">
        <v>262</v>
      </c>
      <c r="K519" t="s">
        <v>36</v>
      </c>
      <c r="L519" t="s">
        <v>16</v>
      </c>
      <c r="M519">
        <f>IF(Table3[[#This Row],[Treatment_Success]]="Yes",1,0)</f>
        <v>1</v>
      </c>
      <c r="N519">
        <v>181691</v>
      </c>
    </row>
    <row r="520" spans="1:14" x14ac:dyDescent="0.35">
      <c r="A520" t="s">
        <v>567</v>
      </c>
      <c r="B520">
        <v>31</v>
      </c>
      <c r="C520" t="str">
        <f>_xlfn.IFS(Table3[[#This Row],[Age]]&lt;=10, "Child",Table3[[#This Row],[Age]]&lt;18, "Teenger", Table3[[#This Row],[Age]]&lt;30, "Middle Age", Table3[[#This Row],[Age]]&lt; 60,"Adult",Table3[[#This Row],[Age]],"Senior Citizen")</f>
        <v>Adult</v>
      </c>
      <c r="D520" t="s">
        <v>18</v>
      </c>
      <c r="E520" t="s">
        <v>13</v>
      </c>
      <c r="F520" t="s">
        <v>45</v>
      </c>
      <c r="G520" s="1">
        <v>45310</v>
      </c>
      <c r="H520" s="1">
        <v>45316</v>
      </c>
      <c r="I520" s="2">
        <f>Table3[[#This Row],[Discharge_Date]]-Table3[[#This Row],[Admission_Date]]</f>
        <v>6</v>
      </c>
      <c r="J520">
        <v>142</v>
      </c>
      <c r="K520" t="s">
        <v>46</v>
      </c>
      <c r="L520" t="s">
        <v>16</v>
      </c>
      <c r="M520">
        <f>IF(Table3[[#This Row],[Treatment_Success]]="Yes",1,0)</f>
        <v>1</v>
      </c>
      <c r="N520">
        <v>180547</v>
      </c>
    </row>
    <row r="521" spans="1:14" x14ac:dyDescent="0.35">
      <c r="A521" t="s">
        <v>568</v>
      </c>
      <c r="B521">
        <v>76</v>
      </c>
      <c r="C521" t="str">
        <f>_xlfn.IFS(Table3[[#This Row],[Age]]&lt;=10, "Child",Table3[[#This Row],[Age]]&lt;18, "Teenger", Table3[[#This Row],[Age]]&lt;30, "Middle Age", Table3[[#This Row],[Age]]&lt; 60,"Adult",Table3[[#This Row],[Age]],"Senior Citizen")</f>
        <v>Senior Citizen</v>
      </c>
      <c r="D521" t="s">
        <v>18</v>
      </c>
      <c r="E521" t="s">
        <v>28</v>
      </c>
      <c r="F521" t="s">
        <v>80</v>
      </c>
      <c r="G521" s="1">
        <v>45494</v>
      </c>
      <c r="H521" s="1">
        <v>45501</v>
      </c>
      <c r="I521" s="2">
        <f>Table3[[#This Row],[Discharge_Date]]-Table3[[#This Row],[Admission_Date]]</f>
        <v>7</v>
      </c>
      <c r="J521">
        <v>36</v>
      </c>
      <c r="K521" t="s">
        <v>15</v>
      </c>
      <c r="L521" t="s">
        <v>16</v>
      </c>
      <c r="M521">
        <f>IF(Table3[[#This Row],[Treatment_Success]]="Yes",1,0)</f>
        <v>1</v>
      </c>
      <c r="N521">
        <v>195352</v>
      </c>
    </row>
    <row r="522" spans="1:14" x14ac:dyDescent="0.35">
      <c r="A522" t="s">
        <v>569</v>
      </c>
      <c r="B522">
        <v>75</v>
      </c>
      <c r="C522" t="str">
        <f>_xlfn.IFS(Table3[[#This Row],[Age]]&lt;=10, "Child",Table3[[#This Row],[Age]]&lt;18, "Teenger", Table3[[#This Row],[Age]]&lt;30, "Middle Age", Table3[[#This Row],[Age]]&lt; 60,"Adult",Table3[[#This Row],[Age]],"Senior Citizen")</f>
        <v>Senior Citizen</v>
      </c>
      <c r="D522" t="s">
        <v>12</v>
      </c>
      <c r="E522" t="s">
        <v>38</v>
      </c>
      <c r="F522" t="s">
        <v>32</v>
      </c>
      <c r="G522" s="1">
        <v>45578</v>
      </c>
      <c r="H522" s="1">
        <v>45593</v>
      </c>
      <c r="I522" s="2">
        <f>Table3[[#This Row],[Discharge_Date]]-Table3[[#This Row],[Admission_Date]]</f>
        <v>15</v>
      </c>
      <c r="J522">
        <v>116</v>
      </c>
      <c r="K522" t="s">
        <v>36</v>
      </c>
      <c r="L522" t="s">
        <v>26</v>
      </c>
      <c r="M522">
        <f>IF(Table3[[#This Row],[Treatment_Success]]="Yes",1,0)</f>
        <v>0</v>
      </c>
      <c r="N522">
        <v>110894</v>
      </c>
    </row>
    <row r="523" spans="1:14" x14ac:dyDescent="0.35">
      <c r="A523" t="s">
        <v>570</v>
      </c>
      <c r="B523">
        <v>34</v>
      </c>
      <c r="C523" t="str">
        <f>_xlfn.IFS(Table3[[#This Row],[Age]]&lt;=10, "Child",Table3[[#This Row],[Age]]&lt;18, "Teenger", Table3[[#This Row],[Age]]&lt;30, "Middle Age", Table3[[#This Row],[Age]]&lt; 60,"Adult",Table3[[#This Row],[Age]],"Senior Citizen")</f>
        <v>Adult</v>
      </c>
      <c r="D523" t="s">
        <v>18</v>
      </c>
      <c r="E523" t="s">
        <v>31</v>
      </c>
      <c r="F523" t="s">
        <v>49</v>
      </c>
      <c r="G523" s="1">
        <v>45586</v>
      </c>
      <c r="H523" s="1">
        <v>45587</v>
      </c>
      <c r="I523" s="2">
        <f>Table3[[#This Row],[Discharge_Date]]-Table3[[#This Row],[Admission_Date]]</f>
        <v>1</v>
      </c>
      <c r="J523">
        <v>55</v>
      </c>
      <c r="K523" t="s">
        <v>15</v>
      </c>
      <c r="L523" t="s">
        <v>16</v>
      </c>
      <c r="M523">
        <f>IF(Table3[[#This Row],[Treatment_Success]]="Yes",1,0)</f>
        <v>1</v>
      </c>
      <c r="N523">
        <v>94120</v>
      </c>
    </row>
    <row r="524" spans="1:14" x14ac:dyDescent="0.35">
      <c r="A524" t="s">
        <v>571</v>
      </c>
      <c r="B524">
        <v>66</v>
      </c>
      <c r="C524" t="str">
        <f>_xlfn.IFS(Table3[[#This Row],[Age]]&lt;=10, "Child",Table3[[#This Row],[Age]]&lt;18, "Teenger", Table3[[#This Row],[Age]]&lt;30, "Middle Age", Table3[[#This Row],[Age]]&lt; 60,"Adult",Table3[[#This Row],[Age]],"Senior Citizen")</f>
        <v>Senior Citizen</v>
      </c>
      <c r="D524" t="s">
        <v>12</v>
      </c>
      <c r="E524" t="s">
        <v>28</v>
      </c>
      <c r="F524" t="s">
        <v>58</v>
      </c>
      <c r="G524" s="1">
        <v>45351</v>
      </c>
      <c r="H524" s="1">
        <v>45364</v>
      </c>
      <c r="I524" s="2">
        <f>Table3[[#This Row],[Discharge_Date]]-Table3[[#This Row],[Admission_Date]]</f>
        <v>13</v>
      </c>
      <c r="J524">
        <v>129</v>
      </c>
      <c r="K524" t="s">
        <v>46</v>
      </c>
      <c r="L524" t="s">
        <v>26</v>
      </c>
      <c r="M524">
        <f>IF(Table3[[#This Row],[Treatment_Success]]="Yes",1,0)</f>
        <v>0</v>
      </c>
      <c r="N524">
        <v>152631</v>
      </c>
    </row>
    <row r="525" spans="1:14" x14ac:dyDescent="0.35">
      <c r="A525" t="s">
        <v>572</v>
      </c>
      <c r="B525">
        <v>32</v>
      </c>
      <c r="C525" t="str">
        <f>_xlfn.IFS(Table3[[#This Row],[Age]]&lt;=10, "Child",Table3[[#This Row],[Age]]&lt;18, "Teenger", Table3[[#This Row],[Age]]&lt;30, "Middle Age", Table3[[#This Row],[Age]]&lt; 60,"Adult",Table3[[#This Row],[Age]],"Senior Citizen")</f>
        <v>Adult</v>
      </c>
      <c r="D525" t="s">
        <v>12</v>
      </c>
      <c r="E525" t="s">
        <v>31</v>
      </c>
      <c r="F525" t="s">
        <v>54</v>
      </c>
      <c r="G525" s="1">
        <v>45539</v>
      </c>
      <c r="H525" s="1">
        <v>45552</v>
      </c>
      <c r="I525" s="2">
        <f>Table3[[#This Row],[Discharge_Date]]-Table3[[#This Row],[Admission_Date]]</f>
        <v>13</v>
      </c>
      <c r="J525">
        <v>236</v>
      </c>
      <c r="K525" t="s">
        <v>15</v>
      </c>
      <c r="L525" t="s">
        <v>26</v>
      </c>
      <c r="M525">
        <f>IF(Table3[[#This Row],[Treatment_Success]]="Yes",1,0)</f>
        <v>0</v>
      </c>
      <c r="N525">
        <v>35479</v>
      </c>
    </row>
    <row r="526" spans="1:14" x14ac:dyDescent="0.35">
      <c r="A526" t="s">
        <v>573</v>
      </c>
      <c r="B526">
        <v>49</v>
      </c>
      <c r="C526" t="str">
        <f>_xlfn.IFS(Table3[[#This Row],[Age]]&lt;=10, "Child",Table3[[#This Row],[Age]]&lt;18, "Teenger", Table3[[#This Row],[Age]]&lt;30, "Middle Age", Table3[[#This Row],[Age]]&lt; 60,"Adult",Table3[[#This Row],[Age]],"Senior Citizen")</f>
        <v>Adult</v>
      </c>
      <c r="D526" t="s">
        <v>18</v>
      </c>
      <c r="E526" t="s">
        <v>13</v>
      </c>
      <c r="F526" t="s">
        <v>95</v>
      </c>
      <c r="G526" s="1">
        <v>45424</v>
      </c>
      <c r="H526" s="1">
        <v>45426</v>
      </c>
      <c r="I526" s="2">
        <f>Table3[[#This Row],[Discharge_Date]]-Table3[[#This Row],[Admission_Date]]</f>
        <v>2</v>
      </c>
      <c r="J526">
        <v>212</v>
      </c>
      <c r="K526" t="s">
        <v>33</v>
      </c>
      <c r="L526" t="s">
        <v>16</v>
      </c>
      <c r="M526">
        <f>IF(Table3[[#This Row],[Treatment_Success]]="Yes",1,0)</f>
        <v>1</v>
      </c>
      <c r="N526">
        <v>188715</v>
      </c>
    </row>
    <row r="527" spans="1:14" x14ac:dyDescent="0.35">
      <c r="A527" t="s">
        <v>574</v>
      </c>
      <c r="B527">
        <v>37</v>
      </c>
      <c r="C527" t="str">
        <f>_xlfn.IFS(Table3[[#This Row],[Age]]&lt;=10, "Child",Table3[[#This Row],[Age]]&lt;18, "Teenger", Table3[[#This Row],[Age]]&lt;30, "Middle Age", Table3[[#This Row],[Age]]&lt; 60,"Adult",Table3[[#This Row],[Age]],"Senior Citizen")</f>
        <v>Adult</v>
      </c>
      <c r="D527" t="s">
        <v>18</v>
      </c>
      <c r="E527" t="s">
        <v>31</v>
      </c>
      <c r="F527" t="s">
        <v>54</v>
      </c>
      <c r="G527" s="1">
        <v>45426</v>
      </c>
      <c r="H527" s="1">
        <v>45430</v>
      </c>
      <c r="I527" s="2">
        <f>Table3[[#This Row],[Discharge_Date]]-Table3[[#This Row],[Admission_Date]]</f>
        <v>4</v>
      </c>
      <c r="J527">
        <v>176</v>
      </c>
      <c r="K527" t="s">
        <v>15</v>
      </c>
      <c r="L527" t="s">
        <v>16</v>
      </c>
      <c r="M527">
        <f>IF(Table3[[#This Row],[Treatment_Success]]="Yes",1,0)</f>
        <v>1</v>
      </c>
      <c r="N527">
        <v>129926</v>
      </c>
    </row>
    <row r="528" spans="1:14" x14ac:dyDescent="0.35">
      <c r="A528" t="s">
        <v>575</v>
      </c>
      <c r="B528">
        <v>28</v>
      </c>
      <c r="C528" t="str">
        <f>_xlfn.IFS(Table3[[#This Row],[Age]]&lt;=10, "Child",Table3[[#This Row],[Age]]&lt;18, "Teenger", Table3[[#This Row],[Age]]&lt;30, "Middle Age", Table3[[#This Row],[Age]]&lt; 60,"Adult",Table3[[#This Row],[Age]],"Senior Citizen")</f>
        <v>Middle Age</v>
      </c>
      <c r="D528" t="s">
        <v>12</v>
      </c>
      <c r="E528" t="s">
        <v>13</v>
      </c>
      <c r="F528" t="s">
        <v>25</v>
      </c>
      <c r="G528" s="1">
        <v>45452</v>
      </c>
      <c r="H528" s="1">
        <v>45458</v>
      </c>
      <c r="I528" s="2">
        <f>Table3[[#This Row],[Discharge_Date]]-Table3[[#This Row],[Admission_Date]]</f>
        <v>6</v>
      </c>
      <c r="J528">
        <v>98</v>
      </c>
      <c r="K528" t="s">
        <v>46</v>
      </c>
      <c r="L528" t="s">
        <v>16</v>
      </c>
      <c r="M528">
        <f>IF(Table3[[#This Row],[Treatment_Success]]="Yes",1,0)</f>
        <v>1</v>
      </c>
      <c r="N528">
        <v>66567</v>
      </c>
    </row>
    <row r="529" spans="1:14" x14ac:dyDescent="0.35">
      <c r="A529" t="s">
        <v>576</v>
      </c>
      <c r="B529">
        <v>34</v>
      </c>
      <c r="C529" t="str">
        <f>_xlfn.IFS(Table3[[#This Row],[Age]]&lt;=10, "Child",Table3[[#This Row],[Age]]&lt;18, "Teenger", Table3[[#This Row],[Age]]&lt;30, "Middle Age", Table3[[#This Row],[Age]]&lt; 60,"Adult",Table3[[#This Row],[Age]],"Senior Citizen")</f>
        <v>Adult</v>
      </c>
      <c r="D529" t="s">
        <v>18</v>
      </c>
      <c r="E529" t="s">
        <v>13</v>
      </c>
      <c r="F529" t="s">
        <v>29</v>
      </c>
      <c r="G529" s="1">
        <v>45415</v>
      </c>
      <c r="H529" s="1">
        <v>45429</v>
      </c>
      <c r="I529" s="2">
        <f>Table3[[#This Row],[Discharge_Date]]-Table3[[#This Row],[Admission_Date]]</f>
        <v>14</v>
      </c>
      <c r="J529">
        <v>128</v>
      </c>
      <c r="K529" t="s">
        <v>33</v>
      </c>
      <c r="L529" t="s">
        <v>16</v>
      </c>
      <c r="M529">
        <f>IF(Table3[[#This Row],[Treatment_Success]]="Yes",1,0)</f>
        <v>1</v>
      </c>
      <c r="N529">
        <v>32967</v>
      </c>
    </row>
    <row r="530" spans="1:14" x14ac:dyDescent="0.35">
      <c r="A530" t="s">
        <v>577</v>
      </c>
      <c r="B530">
        <v>11</v>
      </c>
      <c r="C530" t="str">
        <f>_xlfn.IFS(Table3[[#This Row],[Age]]&lt;=10, "Child",Table3[[#This Row],[Age]]&lt;18, "Teenger", Table3[[#This Row],[Age]]&lt;30, "Middle Age", Table3[[#This Row],[Age]]&lt; 60,"Adult",Table3[[#This Row],[Age]],"Senior Citizen")</f>
        <v>Teenger</v>
      </c>
      <c r="D530" t="s">
        <v>12</v>
      </c>
      <c r="E530" t="s">
        <v>28</v>
      </c>
      <c r="F530" t="s">
        <v>80</v>
      </c>
      <c r="G530" s="1">
        <v>45353</v>
      </c>
      <c r="H530" s="1">
        <v>45368</v>
      </c>
      <c r="I530" s="2">
        <f>Table3[[#This Row],[Discharge_Date]]-Table3[[#This Row],[Admission_Date]]</f>
        <v>15</v>
      </c>
      <c r="J530">
        <v>278</v>
      </c>
      <c r="K530" t="s">
        <v>15</v>
      </c>
      <c r="L530" t="s">
        <v>26</v>
      </c>
      <c r="M530">
        <f>IF(Table3[[#This Row],[Treatment_Success]]="Yes",1,0)</f>
        <v>0</v>
      </c>
      <c r="N530">
        <v>102306</v>
      </c>
    </row>
    <row r="531" spans="1:14" x14ac:dyDescent="0.35">
      <c r="A531" t="s">
        <v>578</v>
      </c>
      <c r="B531">
        <v>64</v>
      </c>
      <c r="C531" t="str">
        <f>_xlfn.IFS(Table3[[#This Row],[Age]]&lt;=10, "Child",Table3[[#This Row],[Age]]&lt;18, "Teenger", Table3[[#This Row],[Age]]&lt;30, "Middle Age", Table3[[#This Row],[Age]]&lt; 60,"Adult",Table3[[#This Row],[Age]],"Senior Citizen")</f>
        <v>Senior Citizen</v>
      </c>
      <c r="D531" t="s">
        <v>12</v>
      </c>
      <c r="E531" t="s">
        <v>31</v>
      </c>
      <c r="F531" t="s">
        <v>66</v>
      </c>
      <c r="G531" s="1">
        <v>45609</v>
      </c>
      <c r="H531" s="1">
        <v>45615</v>
      </c>
      <c r="I531" s="2">
        <f>Table3[[#This Row],[Discharge_Date]]-Table3[[#This Row],[Admission_Date]]</f>
        <v>6</v>
      </c>
      <c r="J531">
        <v>262</v>
      </c>
      <c r="K531" t="s">
        <v>33</v>
      </c>
      <c r="L531" t="s">
        <v>26</v>
      </c>
      <c r="M531">
        <f>IF(Table3[[#This Row],[Treatment_Success]]="Yes",1,0)</f>
        <v>0</v>
      </c>
      <c r="N531">
        <v>63220</v>
      </c>
    </row>
    <row r="532" spans="1:14" x14ac:dyDescent="0.35">
      <c r="A532" t="s">
        <v>579</v>
      </c>
      <c r="B532">
        <v>7</v>
      </c>
      <c r="C532" t="str">
        <f>_xlfn.IFS(Table3[[#This Row],[Age]]&lt;=10, "Child",Table3[[#This Row],[Age]]&lt;18, "Teenger", Table3[[#This Row],[Age]]&lt;30, "Middle Age", Table3[[#This Row],[Age]]&lt; 60,"Adult",Table3[[#This Row],[Age]],"Senior Citizen")</f>
        <v>Child</v>
      </c>
      <c r="D532" t="s">
        <v>12</v>
      </c>
      <c r="E532" t="s">
        <v>31</v>
      </c>
      <c r="F532" t="s">
        <v>61</v>
      </c>
      <c r="G532" s="1">
        <v>45587</v>
      </c>
      <c r="H532" s="1">
        <v>45590</v>
      </c>
      <c r="I532" s="2">
        <f>Table3[[#This Row],[Discharge_Date]]-Table3[[#This Row],[Admission_Date]]</f>
        <v>3</v>
      </c>
      <c r="J532">
        <v>17</v>
      </c>
      <c r="K532" t="s">
        <v>33</v>
      </c>
      <c r="L532" t="s">
        <v>26</v>
      </c>
      <c r="M532">
        <f>IF(Table3[[#This Row],[Treatment_Success]]="Yes",1,0)</f>
        <v>0</v>
      </c>
      <c r="N532">
        <v>184919</v>
      </c>
    </row>
    <row r="533" spans="1:14" x14ac:dyDescent="0.35">
      <c r="A533" t="s">
        <v>580</v>
      </c>
      <c r="B533">
        <v>16</v>
      </c>
      <c r="C533" t="str">
        <f>_xlfn.IFS(Table3[[#This Row],[Age]]&lt;=10, "Child",Table3[[#This Row],[Age]]&lt;18, "Teenger", Table3[[#This Row],[Age]]&lt;30, "Middle Age", Table3[[#This Row],[Age]]&lt; 60,"Adult",Table3[[#This Row],[Age]],"Senior Citizen")</f>
        <v>Teenger</v>
      </c>
      <c r="D533" t="s">
        <v>12</v>
      </c>
      <c r="E533" t="s">
        <v>38</v>
      </c>
      <c r="F533" t="s">
        <v>40</v>
      </c>
      <c r="G533" s="1">
        <v>45381</v>
      </c>
      <c r="H533" s="1">
        <v>45389</v>
      </c>
      <c r="I533" s="2">
        <f>Table3[[#This Row],[Discharge_Date]]-Table3[[#This Row],[Admission_Date]]</f>
        <v>8</v>
      </c>
      <c r="J533">
        <v>5</v>
      </c>
      <c r="K533" t="s">
        <v>15</v>
      </c>
      <c r="L533" t="s">
        <v>16</v>
      </c>
      <c r="M533">
        <f>IF(Table3[[#This Row],[Treatment_Success]]="Yes",1,0)</f>
        <v>1</v>
      </c>
      <c r="N533">
        <v>104464</v>
      </c>
    </row>
    <row r="534" spans="1:14" x14ac:dyDescent="0.35">
      <c r="A534" t="s">
        <v>581</v>
      </c>
      <c r="B534">
        <v>42</v>
      </c>
      <c r="C534" t="str">
        <f>_xlfn.IFS(Table3[[#This Row],[Age]]&lt;=10, "Child",Table3[[#This Row],[Age]]&lt;18, "Teenger", Table3[[#This Row],[Age]]&lt;30, "Middle Age", Table3[[#This Row],[Age]]&lt; 60,"Adult",Table3[[#This Row],[Age]],"Senior Citizen")</f>
        <v>Adult</v>
      </c>
      <c r="D534" t="s">
        <v>12</v>
      </c>
      <c r="E534" t="s">
        <v>28</v>
      </c>
      <c r="F534" t="s">
        <v>32</v>
      </c>
      <c r="G534" s="1">
        <v>45589</v>
      </c>
      <c r="H534" s="1">
        <v>45591</v>
      </c>
      <c r="I534" s="2">
        <f>Table3[[#This Row],[Discharge_Date]]-Table3[[#This Row],[Admission_Date]]</f>
        <v>2</v>
      </c>
      <c r="J534">
        <v>96</v>
      </c>
      <c r="K534" t="s">
        <v>33</v>
      </c>
      <c r="L534" t="s">
        <v>16</v>
      </c>
      <c r="M534">
        <f>IF(Table3[[#This Row],[Treatment_Success]]="Yes",1,0)</f>
        <v>1</v>
      </c>
      <c r="N534">
        <v>75623</v>
      </c>
    </row>
    <row r="535" spans="1:14" x14ac:dyDescent="0.35">
      <c r="A535" t="s">
        <v>582</v>
      </c>
      <c r="B535">
        <v>44</v>
      </c>
      <c r="C535" t="str">
        <f>_xlfn.IFS(Table3[[#This Row],[Age]]&lt;=10, "Child",Table3[[#This Row],[Age]]&lt;18, "Teenger", Table3[[#This Row],[Age]]&lt;30, "Middle Age", Table3[[#This Row],[Age]]&lt; 60,"Adult",Table3[[#This Row],[Age]],"Senior Citizen")</f>
        <v>Adult</v>
      </c>
      <c r="D535" t="s">
        <v>12</v>
      </c>
      <c r="E535" t="s">
        <v>13</v>
      </c>
      <c r="F535" t="s">
        <v>43</v>
      </c>
      <c r="G535" s="1">
        <v>45533</v>
      </c>
      <c r="H535" s="1">
        <v>45543</v>
      </c>
      <c r="I535" s="2">
        <f>Table3[[#This Row],[Discharge_Date]]-Table3[[#This Row],[Admission_Date]]</f>
        <v>10</v>
      </c>
      <c r="J535">
        <v>218</v>
      </c>
      <c r="K535" t="s">
        <v>36</v>
      </c>
      <c r="L535" t="s">
        <v>26</v>
      </c>
      <c r="M535">
        <f>IF(Table3[[#This Row],[Treatment_Success]]="Yes",1,0)</f>
        <v>0</v>
      </c>
      <c r="N535">
        <v>188687</v>
      </c>
    </row>
    <row r="536" spans="1:14" x14ac:dyDescent="0.35">
      <c r="A536" t="s">
        <v>583</v>
      </c>
      <c r="B536">
        <v>52</v>
      </c>
      <c r="C536" t="str">
        <f>_xlfn.IFS(Table3[[#This Row],[Age]]&lt;=10, "Child",Table3[[#This Row],[Age]]&lt;18, "Teenger", Table3[[#This Row],[Age]]&lt;30, "Middle Age", Table3[[#This Row],[Age]]&lt; 60,"Adult",Table3[[#This Row],[Age]],"Senior Citizen")</f>
        <v>Adult</v>
      </c>
      <c r="D536" t="s">
        <v>12</v>
      </c>
      <c r="E536" t="s">
        <v>31</v>
      </c>
      <c r="F536" t="s">
        <v>66</v>
      </c>
      <c r="G536" s="1">
        <v>45482</v>
      </c>
      <c r="H536" s="1">
        <v>45488</v>
      </c>
      <c r="I536" s="2">
        <f>Table3[[#This Row],[Discharge_Date]]-Table3[[#This Row],[Admission_Date]]</f>
        <v>6</v>
      </c>
      <c r="J536">
        <v>293</v>
      </c>
      <c r="K536" t="s">
        <v>36</v>
      </c>
      <c r="L536" t="s">
        <v>16</v>
      </c>
      <c r="M536">
        <f>IF(Table3[[#This Row],[Treatment_Success]]="Yes",1,0)</f>
        <v>1</v>
      </c>
      <c r="N536">
        <v>31180</v>
      </c>
    </row>
    <row r="537" spans="1:14" x14ac:dyDescent="0.35">
      <c r="A537" t="s">
        <v>584</v>
      </c>
      <c r="B537">
        <v>31</v>
      </c>
      <c r="C537" t="str">
        <f>_xlfn.IFS(Table3[[#This Row],[Age]]&lt;=10, "Child",Table3[[#This Row],[Age]]&lt;18, "Teenger", Table3[[#This Row],[Age]]&lt;30, "Middle Age", Table3[[#This Row],[Age]]&lt; 60,"Adult",Table3[[#This Row],[Age]],"Senior Citizen")</f>
        <v>Adult</v>
      </c>
      <c r="D537" t="s">
        <v>12</v>
      </c>
      <c r="E537" t="s">
        <v>31</v>
      </c>
      <c r="F537" t="s">
        <v>29</v>
      </c>
      <c r="G537" s="1">
        <v>45430</v>
      </c>
      <c r="H537" s="1">
        <v>45443</v>
      </c>
      <c r="I537" s="2">
        <f>Table3[[#This Row],[Discharge_Date]]-Table3[[#This Row],[Admission_Date]]</f>
        <v>13</v>
      </c>
      <c r="J537">
        <v>75</v>
      </c>
      <c r="K537" t="s">
        <v>36</v>
      </c>
      <c r="L537" t="s">
        <v>26</v>
      </c>
      <c r="M537">
        <f>IF(Table3[[#This Row],[Treatment_Success]]="Yes",1,0)</f>
        <v>0</v>
      </c>
      <c r="N537">
        <v>7553</v>
      </c>
    </row>
    <row r="538" spans="1:14" x14ac:dyDescent="0.35">
      <c r="A538" t="s">
        <v>585</v>
      </c>
      <c r="B538">
        <v>64</v>
      </c>
      <c r="C538" t="str">
        <f>_xlfn.IFS(Table3[[#This Row],[Age]]&lt;=10, "Child",Table3[[#This Row],[Age]]&lt;18, "Teenger", Table3[[#This Row],[Age]]&lt;30, "Middle Age", Table3[[#This Row],[Age]]&lt; 60,"Adult",Table3[[#This Row],[Age]],"Senior Citizen")</f>
        <v>Senior Citizen</v>
      </c>
      <c r="D538" t="s">
        <v>18</v>
      </c>
      <c r="E538" t="s">
        <v>28</v>
      </c>
      <c r="F538" t="s">
        <v>61</v>
      </c>
      <c r="G538" s="1">
        <v>45382</v>
      </c>
      <c r="H538" s="1">
        <v>45389</v>
      </c>
      <c r="I538" s="2">
        <f>Table3[[#This Row],[Discharge_Date]]-Table3[[#This Row],[Admission_Date]]</f>
        <v>7</v>
      </c>
      <c r="J538">
        <v>162</v>
      </c>
      <c r="K538" t="s">
        <v>46</v>
      </c>
      <c r="L538" t="s">
        <v>16</v>
      </c>
      <c r="M538">
        <f>IF(Table3[[#This Row],[Treatment_Success]]="Yes",1,0)</f>
        <v>1</v>
      </c>
      <c r="N538">
        <v>70791</v>
      </c>
    </row>
    <row r="539" spans="1:14" x14ac:dyDescent="0.35">
      <c r="A539" t="s">
        <v>586</v>
      </c>
      <c r="B539">
        <v>73</v>
      </c>
      <c r="C539" t="str">
        <f>_xlfn.IFS(Table3[[#This Row],[Age]]&lt;=10, "Child",Table3[[#This Row],[Age]]&lt;18, "Teenger", Table3[[#This Row],[Age]]&lt;30, "Middle Age", Table3[[#This Row],[Age]]&lt; 60,"Adult",Table3[[#This Row],[Age]],"Senior Citizen")</f>
        <v>Senior Citizen</v>
      </c>
      <c r="D539" t="s">
        <v>18</v>
      </c>
      <c r="E539" t="s">
        <v>31</v>
      </c>
      <c r="F539" t="s">
        <v>90</v>
      </c>
      <c r="G539" s="1">
        <v>45579</v>
      </c>
      <c r="H539" s="1">
        <v>45593</v>
      </c>
      <c r="I539" s="2">
        <f>Table3[[#This Row],[Discharge_Date]]-Table3[[#This Row],[Admission_Date]]</f>
        <v>14</v>
      </c>
      <c r="J539">
        <v>84</v>
      </c>
      <c r="K539" t="s">
        <v>15</v>
      </c>
      <c r="L539" t="s">
        <v>16</v>
      </c>
      <c r="M539">
        <f>IF(Table3[[#This Row],[Treatment_Success]]="Yes",1,0)</f>
        <v>1</v>
      </c>
      <c r="N539">
        <v>71660</v>
      </c>
    </row>
    <row r="540" spans="1:14" x14ac:dyDescent="0.35">
      <c r="A540" t="s">
        <v>587</v>
      </c>
      <c r="B540">
        <v>81</v>
      </c>
      <c r="C540" t="str">
        <f>_xlfn.IFS(Table3[[#This Row],[Age]]&lt;=10, "Child",Table3[[#This Row],[Age]]&lt;18, "Teenger", Table3[[#This Row],[Age]]&lt;30, "Middle Age", Table3[[#This Row],[Age]]&lt; 60,"Adult",Table3[[#This Row],[Age]],"Senior Citizen")</f>
        <v>Senior Citizen</v>
      </c>
      <c r="D540" t="s">
        <v>18</v>
      </c>
      <c r="E540" t="s">
        <v>31</v>
      </c>
      <c r="F540" t="s">
        <v>25</v>
      </c>
      <c r="G540" s="1">
        <v>45535</v>
      </c>
      <c r="H540" s="1">
        <v>45549</v>
      </c>
      <c r="I540" s="2">
        <f>Table3[[#This Row],[Discharge_Date]]-Table3[[#This Row],[Admission_Date]]</f>
        <v>14</v>
      </c>
      <c r="J540">
        <v>172</v>
      </c>
      <c r="K540" t="s">
        <v>33</v>
      </c>
      <c r="L540" t="s">
        <v>16</v>
      </c>
      <c r="M540">
        <f>IF(Table3[[#This Row],[Treatment_Success]]="Yes",1,0)</f>
        <v>1</v>
      </c>
      <c r="N540">
        <v>99452</v>
      </c>
    </row>
    <row r="541" spans="1:14" x14ac:dyDescent="0.35">
      <c r="A541" t="s">
        <v>588</v>
      </c>
      <c r="B541">
        <v>33</v>
      </c>
      <c r="C541" t="str">
        <f>_xlfn.IFS(Table3[[#This Row],[Age]]&lt;=10, "Child",Table3[[#This Row],[Age]]&lt;18, "Teenger", Table3[[#This Row],[Age]]&lt;30, "Middle Age", Table3[[#This Row],[Age]]&lt; 60,"Adult",Table3[[#This Row],[Age]],"Senior Citizen")</f>
        <v>Adult</v>
      </c>
      <c r="D541" t="s">
        <v>12</v>
      </c>
      <c r="E541" t="s">
        <v>24</v>
      </c>
      <c r="F541" t="s">
        <v>93</v>
      </c>
      <c r="G541" s="1">
        <v>45578</v>
      </c>
      <c r="H541" s="1">
        <v>45587</v>
      </c>
      <c r="I541" s="2">
        <f>Table3[[#This Row],[Discharge_Date]]-Table3[[#This Row],[Admission_Date]]</f>
        <v>9</v>
      </c>
      <c r="J541">
        <v>63</v>
      </c>
      <c r="K541" t="s">
        <v>33</v>
      </c>
      <c r="L541" t="s">
        <v>16</v>
      </c>
      <c r="M541">
        <f>IF(Table3[[#This Row],[Treatment_Success]]="Yes",1,0)</f>
        <v>1</v>
      </c>
      <c r="N541">
        <v>156218</v>
      </c>
    </row>
    <row r="542" spans="1:14" x14ac:dyDescent="0.35">
      <c r="A542" t="s">
        <v>589</v>
      </c>
      <c r="B542">
        <v>84</v>
      </c>
      <c r="C542" t="str">
        <f>_xlfn.IFS(Table3[[#This Row],[Age]]&lt;=10, "Child",Table3[[#This Row],[Age]]&lt;18, "Teenger", Table3[[#This Row],[Age]]&lt;30, "Middle Age", Table3[[#This Row],[Age]]&lt; 60,"Adult",Table3[[#This Row],[Age]],"Senior Citizen")</f>
        <v>Senior Citizen</v>
      </c>
      <c r="D542" t="s">
        <v>18</v>
      </c>
      <c r="E542" t="s">
        <v>38</v>
      </c>
      <c r="F542" t="s">
        <v>63</v>
      </c>
      <c r="G542" s="1">
        <v>45586</v>
      </c>
      <c r="H542" s="1">
        <v>45597</v>
      </c>
      <c r="I542" s="2">
        <f>Table3[[#This Row],[Discharge_Date]]-Table3[[#This Row],[Admission_Date]]</f>
        <v>11</v>
      </c>
      <c r="J542">
        <v>167</v>
      </c>
      <c r="K542" t="s">
        <v>46</v>
      </c>
      <c r="L542" t="s">
        <v>26</v>
      </c>
      <c r="M542">
        <f>IF(Table3[[#This Row],[Treatment_Success]]="Yes",1,0)</f>
        <v>0</v>
      </c>
      <c r="N542">
        <v>25554</v>
      </c>
    </row>
    <row r="543" spans="1:14" x14ac:dyDescent="0.35">
      <c r="A543" t="s">
        <v>590</v>
      </c>
      <c r="B543">
        <v>37</v>
      </c>
      <c r="C543" t="str">
        <f>_xlfn.IFS(Table3[[#This Row],[Age]]&lt;=10, "Child",Table3[[#This Row],[Age]]&lt;18, "Teenger", Table3[[#This Row],[Age]]&lt;30, "Middle Age", Table3[[#This Row],[Age]]&lt; 60,"Adult",Table3[[#This Row],[Age]],"Senior Citizen")</f>
        <v>Adult</v>
      </c>
      <c r="D543" t="s">
        <v>12</v>
      </c>
      <c r="E543" t="s">
        <v>13</v>
      </c>
      <c r="F543" t="s">
        <v>66</v>
      </c>
      <c r="G543" s="1">
        <v>45487</v>
      </c>
      <c r="H543" s="1">
        <v>45497</v>
      </c>
      <c r="I543" s="2">
        <f>Table3[[#This Row],[Discharge_Date]]-Table3[[#This Row],[Admission_Date]]</f>
        <v>10</v>
      </c>
      <c r="J543">
        <v>173</v>
      </c>
      <c r="K543" t="s">
        <v>46</v>
      </c>
      <c r="L543" t="s">
        <v>26</v>
      </c>
      <c r="M543">
        <f>IF(Table3[[#This Row],[Treatment_Success]]="Yes",1,0)</f>
        <v>0</v>
      </c>
      <c r="N543">
        <v>23702</v>
      </c>
    </row>
    <row r="544" spans="1:14" x14ac:dyDescent="0.35">
      <c r="A544" t="s">
        <v>591</v>
      </c>
      <c r="B544">
        <v>44</v>
      </c>
      <c r="C544" t="str">
        <f>_xlfn.IFS(Table3[[#This Row],[Age]]&lt;=10, "Child",Table3[[#This Row],[Age]]&lt;18, "Teenger", Table3[[#This Row],[Age]]&lt;30, "Middle Age", Table3[[#This Row],[Age]]&lt; 60,"Adult",Table3[[#This Row],[Age]],"Senior Citizen")</f>
        <v>Adult</v>
      </c>
      <c r="D544" t="s">
        <v>18</v>
      </c>
      <c r="E544" t="s">
        <v>38</v>
      </c>
      <c r="F544" t="s">
        <v>95</v>
      </c>
      <c r="G544" s="1">
        <v>45332</v>
      </c>
      <c r="H544" s="1">
        <v>45335</v>
      </c>
      <c r="I544" s="2">
        <f>Table3[[#This Row],[Discharge_Date]]-Table3[[#This Row],[Admission_Date]]</f>
        <v>3</v>
      </c>
      <c r="J544">
        <v>150</v>
      </c>
      <c r="K544" t="s">
        <v>33</v>
      </c>
      <c r="L544" t="s">
        <v>26</v>
      </c>
      <c r="M544">
        <f>IF(Table3[[#This Row],[Treatment_Success]]="Yes",1,0)</f>
        <v>0</v>
      </c>
      <c r="N544">
        <v>76106</v>
      </c>
    </row>
    <row r="545" spans="1:14" x14ac:dyDescent="0.35">
      <c r="A545" t="s">
        <v>592</v>
      </c>
      <c r="B545">
        <v>47</v>
      </c>
      <c r="C545" t="str">
        <f>_xlfn.IFS(Table3[[#This Row],[Age]]&lt;=10, "Child",Table3[[#This Row],[Age]]&lt;18, "Teenger", Table3[[#This Row],[Age]]&lt;30, "Middle Age", Table3[[#This Row],[Age]]&lt; 60,"Adult",Table3[[#This Row],[Age]],"Senior Citizen")</f>
        <v>Adult</v>
      </c>
      <c r="D545" t="s">
        <v>12</v>
      </c>
      <c r="E545" t="s">
        <v>31</v>
      </c>
      <c r="F545" t="s">
        <v>66</v>
      </c>
      <c r="G545" s="1">
        <v>45519</v>
      </c>
      <c r="H545" s="1">
        <v>45532</v>
      </c>
      <c r="I545" s="2">
        <f>Table3[[#This Row],[Discharge_Date]]-Table3[[#This Row],[Admission_Date]]</f>
        <v>13</v>
      </c>
      <c r="J545">
        <v>95</v>
      </c>
      <c r="K545" t="s">
        <v>15</v>
      </c>
      <c r="L545" t="s">
        <v>16</v>
      </c>
      <c r="M545">
        <f>IF(Table3[[#This Row],[Treatment_Success]]="Yes",1,0)</f>
        <v>1</v>
      </c>
      <c r="N545">
        <v>195781</v>
      </c>
    </row>
    <row r="546" spans="1:14" x14ac:dyDescent="0.35">
      <c r="A546" t="s">
        <v>593</v>
      </c>
      <c r="B546">
        <v>33</v>
      </c>
      <c r="C546" t="str">
        <f>_xlfn.IFS(Table3[[#This Row],[Age]]&lt;=10, "Child",Table3[[#This Row],[Age]]&lt;18, "Teenger", Table3[[#This Row],[Age]]&lt;30, "Middle Age", Table3[[#This Row],[Age]]&lt; 60,"Adult",Table3[[#This Row],[Age]],"Senior Citizen")</f>
        <v>Adult</v>
      </c>
      <c r="D546" t="s">
        <v>18</v>
      </c>
      <c r="E546" t="s">
        <v>13</v>
      </c>
      <c r="F546" t="s">
        <v>66</v>
      </c>
      <c r="G546" s="1">
        <v>45412</v>
      </c>
      <c r="H546" s="1">
        <v>45423</v>
      </c>
      <c r="I546" s="2">
        <f>Table3[[#This Row],[Discharge_Date]]-Table3[[#This Row],[Admission_Date]]</f>
        <v>11</v>
      </c>
      <c r="J546">
        <v>204</v>
      </c>
      <c r="K546" t="s">
        <v>15</v>
      </c>
      <c r="L546" t="s">
        <v>16</v>
      </c>
      <c r="M546">
        <f>IF(Table3[[#This Row],[Treatment_Success]]="Yes",1,0)</f>
        <v>1</v>
      </c>
      <c r="N546">
        <v>21722</v>
      </c>
    </row>
    <row r="547" spans="1:14" x14ac:dyDescent="0.35">
      <c r="A547" t="s">
        <v>594</v>
      </c>
      <c r="B547">
        <v>7</v>
      </c>
      <c r="C547" t="str">
        <f>_xlfn.IFS(Table3[[#This Row],[Age]]&lt;=10, "Child",Table3[[#This Row],[Age]]&lt;18, "Teenger", Table3[[#This Row],[Age]]&lt;30, "Middle Age", Table3[[#This Row],[Age]]&lt; 60,"Adult",Table3[[#This Row],[Age]],"Senior Citizen")</f>
        <v>Child</v>
      </c>
      <c r="D547" t="s">
        <v>18</v>
      </c>
      <c r="E547" t="s">
        <v>31</v>
      </c>
      <c r="F547" t="s">
        <v>49</v>
      </c>
      <c r="G547" s="1">
        <v>45534</v>
      </c>
      <c r="H547" s="1">
        <v>45543</v>
      </c>
      <c r="I547" s="2">
        <f>Table3[[#This Row],[Discharge_Date]]-Table3[[#This Row],[Admission_Date]]</f>
        <v>9</v>
      </c>
      <c r="J547">
        <v>43</v>
      </c>
      <c r="K547" t="s">
        <v>15</v>
      </c>
      <c r="L547" t="s">
        <v>16</v>
      </c>
      <c r="M547">
        <f>IF(Table3[[#This Row],[Treatment_Success]]="Yes",1,0)</f>
        <v>1</v>
      </c>
      <c r="N547">
        <v>167031</v>
      </c>
    </row>
    <row r="548" spans="1:14" x14ac:dyDescent="0.35">
      <c r="A548" t="s">
        <v>595</v>
      </c>
      <c r="B548">
        <v>84</v>
      </c>
      <c r="C548" t="str">
        <f>_xlfn.IFS(Table3[[#This Row],[Age]]&lt;=10, "Child",Table3[[#This Row],[Age]]&lt;18, "Teenger", Table3[[#This Row],[Age]]&lt;30, "Middle Age", Table3[[#This Row],[Age]]&lt; 60,"Adult",Table3[[#This Row],[Age]],"Senior Citizen")</f>
        <v>Senior Citizen</v>
      </c>
      <c r="D548" t="s">
        <v>12</v>
      </c>
      <c r="E548" t="s">
        <v>38</v>
      </c>
      <c r="F548" t="s">
        <v>14</v>
      </c>
      <c r="G548" s="1">
        <v>45371</v>
      </c>
      <c r="H548" s="1">
        <v>45373</v>
      </c>
      <c r="I548" s="2">
        <f>Table3[[#This Row],[Discharge_Date]]-Table3[[#This Row],[Admission_Date]]</f>
        <v>2</v>
      </c>
      <c r="J548">
        <v>127</v>
      </c>
      <c r="K548" t="s">
        <v>33</v>
      </c>
      <c r="L548" t="s">
        <v>26</v>
      </c>
      <c r="M548">
        <f>IF(Table3[[#This Row],[Treatment_Success]]="Yes",1,0)</f>
        <v>0</v>
      </c>
      <c r="N548">
        <v>169228</v>
      </c>
    </row>
    <row r="549" spans="1:14" x14ac:dyDescent="0.35">
      <c r="A549" t="s">
        <v>596</v>
      </c>
      <c r="B549">
        <v>68</v>
      </c>
      <c r="C549" t="str">
        <f>_xlfn.IFS(Table3[[#This Row],[Age]]&lt;=10, "Child",Table3[[#This Row],[Age]]&lt;18, "Teenger", Table3[[#This Row],[Age]]&lt;30, "Middle Age", Table3[[#This Row],[Age]]&lt; 60,"Adult",Table3[[#This Row],[Age]],"Senior Citizen")</f>
        <v>Senior Citizen</v>
      </c>
      <c r="D549" t="s">
        <v>18</v>
      </c>
      <c r="E549" t="s">
        <v>24</v>
      </c>
      <c r="F549" t="s">
        <v>52</v>
      </c>
      <c r="G549" s="1">
        <v>45356</v>
      </c>
      <c r="H549" s="1">
        <v>45359</v>
      </c>
      <c r="I549" s="2">
        <f>Table3[[#This Row],[Discharge_Date]]-Table3[[#This Row],[Admission_Date]]</f>
        <v>3</v>
      </c>
      <c r="J549">
        <v>183</v>
      </c>
      <c r="K549" t="s">
        <v>33</v>
      </c>
      <c r="L549" t="s">
        <v>26</v>
      </c>
      <c r="M549">
        <f>IF(Table3[[#This Row],[Treatment_Success]]="Yes",1,0)</f>
        <v>0</v>
      </c>
      <c r="N549">
        <v>127471</v>
      </c>
    </row>
    <row r="550" spans="1:14" x14ac:dyDescent="0.35">
      <c r="A550" t="s">
        <v>597</v>
      </c>
      <c r="B550">
        <v>35</v>
      </c>
      <c r="C550" t="str">
        <f>_xlfn.IFS(Table3[[#This Row],[Age]]&lt;=10, "Child",Table3[[#This Row],[Age]]&lt;18, "Teenger", Table3[[#This Row],[Age]]&lt;30, "Middle Age", Table3[[#This Row],[Age]]&lt; 60,"Adult",Table3[[#This Row],[Age]],"Senior Citizen")</f>
        <v>Adult</v>
      </c>
      <c r="D550" t="s">
        <v>12</v>
      </c>
      <c r="E550" t="s">
        <v>13</v>
      </c>
      <c r="F550" t="s">
        <v>40</v>
      </c>
      <c r="G550" s="1">
        <v>45568</v>
      </c>
      <c r="H550" s="1">
        <v>45583</v>
      </c>
      <c r="I550" s="2">
        <f>Table3[[#This Row],[Discharge_Date]]-Table3[[#This Row],[Admission_Date]]</f>
        <v>15</v>
      </c>
      <c r="J550">
        <v>277</v>
      </c>
      <c r="K550" t="s">
        <v>36</v>
      </c>
      <c r="L550" t="s">
        <v>26</v>
      </c>
      <c r="M550">
        <f>IF(Table3[[#This Row],[Treatment_Success]]="Yes",1,0)</f>
        <v>0</v>
      </c>
      <c r="N550">
        <v>170425</v>
      </c>
    </row>
    <row r="551" spans="1:14" x14ac:dyDescent="0.35">
      <c r="A551" t="s">
        <v>598</v>
      </c>
      <c r="B551">
        <v>73</v>
      </c>
      <c r="C551" t="str">
        <f>_xlfn.IFS(Table3[[#This Row],[Age]]&lt;=10, "Child",Table3[[#This Row],[Age]]&lt;18, "Teenger", Table3[[#This Row],[Age]]&lt;30, "Middle Age", Table3[[#This Row],[Age]]&lt; 60,"Adult",Table3[[#This Row],[Age]],"Senior Citizen")</f>
        <v>Senior Citizen</v>
      </c>
      <c r="D551" t="s">
        <v>12</v>
      </c>
      <c r="E551" t="s">
        <v>28</v>
      </c>
      <c r="F551" t="s">
        <v>68</v>
      </c>
      <c r="G551" s="1">
        <v>45617</v>
      </c>
      <c r="H551" s="1">
        <v>45632</v>
      </c>
      <c r="I551" s="2">
        <f>Table3[[#This Row],[Discharge_Date]]-Table3[[#This Row],[Admission_Date]]</f>
        <v>15</v>
      </c>
      <c r="J551">
        <v>274</v>
      </c>
      <c r="K551" t="s">
        <v>33</v>
      </c>
      <c r="L551" t="s">
        <v>16</v>
      </c>
      <c r="M551">
        <f>IF(Table3[[#This Row],[Treatment_Success]]="Yes",1,0)</f>
        <v>1</v>
      </c>
      <c r="N551">
        <v>131262</v>
      </c>
    </row>
    <row r="552" spans="1:14" x14ac:dyDescent="0.35">
      <c r="A552" t="s">
        <v>599</v>
      </c>
      <c r="B552">
        <v>12</v>
      </c>
      <c r="C552" t="str">
        <f>_xlfn.IFS(Table3[[#This Row],[Age]]&lt;=10, "Child",Table3[[#This Row],[Age]]&lt;18, "Teenger", Table3[[#This Row],[Age]]&lt;30, "Middle Age", Table3[[#This Row],[Age]]&lt; 60,"Adult",Table3[[#This Row],[Age]],"Senior Citizen")</f>
        <v>Teenger</v>
      </c>
      <c r="D552" t="s">
        <v>12</v>
      </c>
      <c r="E552" t="s">
        <v>38</v>
      </c>
      <c r="F552" t="s">
        <v>63</v>
      </c>
      <c r="G552" s="1">
        <v>45568</v>
      </c>
      <c r="H552" s="1">
        <v>45572</v>
      </c>
      <c r="I552" s="2">
        <f>Table3[[#This Row],[Discharge_Date]]-Table3[[#This Row],[Admission_Date]]</f>
        <v>4</v>
      </c>
      <c r="J552">
        <v>212</v>
      </c>
      <c r="K552" t="s">
        <v>33</v>
      </c>
      <c r="L552" t="s">
        <v>16</v>
      </c>
      <c r="M552">
        <f>IF(Table3[[#This Row],[Treatment_Success]]="Yes",1,0)</f>
        <v>1</v>
      </c>
      <c r="N552">
        <v>84579</v>
      </c>
    </row>
    <row r="553" spans="1:14" x14ac:dyDescent="0.35">
      <c r="A553" t="s">
        <v>600</v>
      </c>
      <c r="B553">
        <v>67</v>
      </c>
      <c r="C553" t="str">
        <f>_xlfn.IFS(Table3[[#This Row],[Age]]&lt;=10, "Child",Table3[[#This Row],[Age]]&lt;18, "Teenger", Table3[[#This Row],[Age]]&lt;30, "Middle Age", Table3[[#This Row],[Age]]&lt; 60,"Adult",Table3[[#This Row],[Age]],"Senior Citizen")</f>
        <v>Senior Citizen</v>
      </c>
      <c r="D553" t="s">
        <v>18</v>
      </c>
      <c r="E553" t="s">
        <v>38</v>
      </c>
      <c r="F553" t="s">
        <v>83</v>
      </c>
      <c r="G553" s="1">
        <v>45297</v>
      </c>
      <c r="H553" s="1">
        <v>45298</v>
      </c>
      <c r="I553" s="2">
        <f>Table3[[#This Row],[Discharge_Date]]-Table3[[#This Row],[Admission_Date]]</f>
        <v>1</v>
      </c>
      <c r="J553">
        <v>241</v>
      </c>
      <c r="K553" t="s">
        <v>15</v>
      </c>
      <c r="L553" t="s">
        <v>26</v>
      </c>
      <c r="M553">
        <f>IF(Table3[[#This Row],[Treatment_Success]]="Yes",1,0)</f>
        <v>0</v>
      </c>
      <c r="N553">
        <v>130060</v>
      </c>
    </row>
    <row r="554" spans="1:14" x14ac:dyDescent="0.35">
      <c r="A554" t="s">
        <v>601</v>
      </c>
      <c r="B554">
        <v>56</v>
      </c>
      <c r="C554" t="str">
        <f>_xlfn.IFS(Table3[[#This Row],[Age]]&lt;=10, "Child",Table3[[#This Row],[Age]]&lt;18, "Teenger", Table3[[#This Row],[Age]]&lt;30, "Middle Age", Table3[[#This Row],[Age]]&lt; 60,"Adult",Table3[[#This Row],[Age]],"Senior Citizen")</f>
        <v>Adult</v>
      </c>
      <c r="D554" t="s">
        <v>12</v>
      </c>
      <c r="E554" t="s">
        <v>28</v>
      </c>
      <c r="F554" t="s">
        <v>14</v>
      </c>
      <c r="G554" s="1">
        <v>45445</v>
      </c>
      <c r="H554" s="1">
        <v>45446</v>
      </c>
      <c r="I554" s="2">
        <f>Table3[[#This Row],[Discharge_Date]]-Table3[[#This Row],[Admission_Date]]</f>
        <v>1</v>
      </c>
      <c r="J554">
        <v>4</v>
      </c>
      <c r="K554" t="s">
        <v>33</v>
      </c>
      <c r="L554" t="s">
        <v>16</v>
      </c>
      <c r="M554">
        <f>IF(Table3[[#This Row],[Treatment_Success]]="Yes",1,0)</f>
        <v>1</v>
      </c>
      <c r="N554">
        <v>112934</v>
      </c>
    </row>
    <row r="555" spans="1:14" x14ac:dyDescent="0.35">
      <c r="A555" t="s">
        <v>602</v>
      </c>
      <c r="B555">
        <v>51</v>
      </c>
      <c r="C555" t="str">
        <f>_xlfn.IFS(Table3[[#This Row],[Age]]&lt;=10, "Child",Table3[[#This Row],[Age]]&lt;18, "Teenger", Table3[[#This Row],[Age]]&lt;30, "Middle Age", Table3[[#This Row],[Age]]&lt; 60,"Adult",Table3[[#This Row],[Age]],"Senior Citizen")</f>
        <v>Adult</v>
      </c>
      <c r="D555" t="s">
        <v>18</v>
      </c>
      <c r="E555" t="s">
        <v>13</v>
      </c>
      <c r="F555" t="s">
        <v>40</v>
      </c>
      <c r="G555" s="1">
        <v>45579</v>
      </c>
      <c r="H555" s="1">
        <v>45586</v>
      </c>
      <c r="I555" s="2">
        <f>Table3[[#This Row],[Discharge_Date]]-Table3[[#This Row],[Admission_Date]]</f>
        <v>7</v>
      </c>
      <c r="J555">
        <v>200</v>
      </c>
      <c r="K555" t="s">
        <v>46</v>
      </c>
      <c r="L555" t="s">
        <v>16</v>
      </c>
      <c r="M555">
        <f>IF(Table3[[#This Row],[Treatment_Success]]="Yes",1,0)</f>
        <v>1</v>
      </c>
      <c r="N555">
        <v>73938</v>
      </c>
    </row>
    <row r="556" spans="1:14" x14ac:dyDescent="0.35">
      <c r="A556" t="s">
        <v>603</v>
      </c>
      <c r="B556">
        <v>81</v>
      </c>
      <c r="C556" t="str">
        <f>_xlfn.IFS(Table3[[#This Row],[Age]]&lt;=10, "Child",Table3[[#This Row],[Age]]&lt;18, "Teenger", Table3[[#This Row],[Age]]&lt;30, "Middle Age", Table3[[#This Row],[Age]]&lt; 60,"Adult",Table3[[#This Row],[Age]],"Senior Citizen")</f>
        <v>Senior Citizen</v>
      </c>
      <c r="D556" t="s">
        <v>18</v>
      </c>
      <c r="E556" t="s">
        <v>28</v>
      </c>
      <c r="F556" t="s">
        <v>22</v>
      </c>
      <c r="G556" s="1">
        <v>45332</v>
      </c>
      <c r="H556" s="1">
        <v>45339</v>
      </c>
      <c r="I556" s="2">
        <f>Table3[[#This Row],[Discharge_Date]]-Table3[[#This Row],[Admission_Date]]</f>
        <v>7</v>
      </c>
      <c r="J556">
        <v>140</v>
      </c>
      <c r="K556" t="s">
        <v>33</v>
      </c>
      <c r="L556" t="s">
        <v>16</v>
      </c>
      <c r="M556">
        <f>IF(Table3[[#This Row],[Treatment_Success]]="Yes",1,0)</f>
        <v>1</v>
      </c>
      <c r="N556">
        <v>113240</v>
      </c>
    </row>
    <row r="557" spans="1:14" x14ac:dyDescent="0.35">
      <c r="A557" t="s">
        <v>604</v>
      </c>
      <c r="B557">
        <v>9</v>
      </c>
      <c r="C557" t="str">
        <f>_xlfn.IFS(Table3[[#This Row],[Age]]&lt;=10, "Child",Table3[[#This Row],[Age]]&lt;18, "Teenger", Table3[[#This Row],[Age]]&lt;30, "Middle Age", Table3[[#This Row],[Age]]&lt; 60,"Adult",Table3[[#This Row],[Age]],"Senior Citizen")</f>
        <v>Child</v>
      </c>
      <c r="D557" t="s">
        <v>18</v>
      </c>
      <c r="E557" t="s">
        <v>13</v>
      </c>
      <c r="F557" t="s">
        <v>83</v>
      </c>
      <c r="G557" s="1">
        <v>45388</v>
      </c>
      <c r="H557" s="1">
        <v>45402</v>
      </c>
      <c r="I557" s="2">
        <f>Table3[[#This Row],[Discharge_Date]]-Table3[[#This Row],[Admission_Date]]</f>
        <v>14</v>
      </c>
      <c r="J557">
        <v>57</v>
      </c>
      <c r="K557" t="s">
        <v>46</v>
      </c>
      <c r="L557" t="s">
        <v>26</v>
      </c>
      <c r="M557">
        <f>IF(Table3[[#This Row],[Treatment_Success]]="Yes",1,0)</f>
        <v>0</v>
      </c>
      <c r="N557">
        <v>76338</v>
      </c>
    </row>
    <row r="558" spans="1:14" x14ac:dyDescent="0.35">
      <c r="A558" t="s">
        <v>605</v>
      </c>
      <c r="B558">
        <v>63</v>
      </c>
      <c r="C558" t="str">
        <f>_xlfn.IFS(Table3[[#This Row],[Age]]&lt;=10, "Child",Table3[[#This Row],[Age]]&lt;18, "Teenger", Table3[[#This Row],[Age]]&lt;30, "Middle Age", Table3[[#This Row],[Age]]&lt; 60,"Adult",Table3[[#This Row],[Age]],"Senior Citizen")</f>
        <v>Senior Citizen</v>
      </c>
      <c r="D558" t="s">
        <v>18</v>
      </c>
      <c r="E558" t="s">
        <v>38</v>
      </c>
      <c r="F558" t="s">
        <v>80</v>
      </c>
      <c r="G558" s="1">
        <v>45650</v>
      </c>
      <c r="H558" s="1">
        <v>45660</v>
      </c>
      <c r="I558" s="2">
        <f>Table3[[#This Row],[Discharge_Date]]-Table3[[#This Row],[Admission_Date]]</f>
        <v>10</v>
      </c>
      <c r="J558">
        <v>78</v>
      </c>
      <c r="K558" t="s">
        <v>15</v>
      </c>
      <c r="L558" t="s">
        <v>16</v>
      </c>
      <c r="M558">
        <f>IF(Table3[[#This Row],[Treatment_Success]]="Yes",1,0)</f>
        <v>1</v>
      </c>
      <c r="N558">
        <v>53742</v>
      </c>
    </row>
    <row r="559" spans="1:14" x14ac:dyDescent="0.35">
      <c r="A559" t="s">
        <v>606</v>
      </c>
      <c r="B559">
        <v>35</v>
      </c>
      <c r="C559" t="str">
        <f>_xlfn.IFS(Table3[[#This Row],[Age]]&lt;=10, "Child",Table3[[#This Row],[Age]]&lt;18, "Teenger", Table3[[#This Row],[Age]]&lt;30, "Middle Age", Table3[[#This Row],[Age]]&lt; 60,"Adult",Table3[[#This Row],[Age]],"Senior Citizen")</f>
        <v>Adult</v>
      </c>
      <c r="D559" t="s">
        <v>18</v>
      </c>
      <c r="E559" t="s">
        <v>31</v>
      </c>
      <c r="F559" t="s">
        <v>25</v>
      </c>
      <c r="G559" s="1">
        <v>45344</v>
      </c>
      <c r="H559" s="1">
        <v>45349</v>
      </c>
      <c r="I559" s="2">
        <f>Table3[[#This Row],[Discharge_Date]]-Table3[[#This Row],[Admission_Date]]</f>
        <v>5</v>
      </c>
      <c r="J559">
        <v>5</v>
      </c>
      <c r="K559" t="s">
        <v>36</v>
      </c>
      <c r="L559" t="s">
        <v>16</v>
      </c>
      <c r="M559">
        <f>IF(Table3[[#This Row],[Treatment_Success]]="Yes",1,0)</f>
        <v>1</v>
      </c>
      <c r="N559">
        <v>44500</v>
      </c>
    </row>
    <row r="560" spans="1:14" x14ac:dyDescent="0.35">
      <c r="A560" t="s">
        <v>607</v>
      </c>
      <c r="B560">
        <v>28</v>
      </c>
      <c r="C560" t="str">
        <f>_xlfn.IFS(Table3[[#This Row],[Age]]&lt;=10, "Child",Table3[[#This Row],[Age]]&lt;18, "Teenger", Table3[[#This Row],[Age]]&lt;30, "Middle Age", Table3[[#This Row],[Age]]&lt; 60,"Adult",Table3[[#This Row],[Age]],"Senior Citizen")</f>
        <v>Middle Age</v>
      </c>
      <c r="D560" t="s">
        <v>12</v>
      </c>
      <c r="E560" t="s">
        <v>31</v>
      </c>
      <c r="F560" t="s">
        <v>83</v>
      </c>
      <c r="G560" s="1">
        <v>45299</v>
      </c>
      <c r="H560" s="1">
        <v>45307</v>
      </c>
      <c r="I560" s="2">
        <f>Table3[[#This Row],[Discharge_Date]]-Table3[[#This Row],[Admission_Date]]</f>
        <v>8</v>
      </c>
      <c r="J560">
        <v>256</v>
      </c>
      <c r="K560" t="s">
        <v>33</v>
      </c>
      <c r="L560" t="s">
        <v>26</v>
      </c>
      <c r="M560">
        <f>IF(Table3[[#This Row],[Treatment_Success]]="Yes",1,0)</f>
        <v>0</v>
      </c>
      <c r="N560">
        <v>187697</v>
      </c>
    </row>
    <row r="561" spans="1:14" x14ac:dyDescent="0.35">
      <c r="A561" t="s">
        <v>608</v>
      </c>
      <c r="B561">
        <v>11</v>
      </c>
      <c r="C561" t="str">
        <f>_xlfn.IFS(Table3[[#This Row],[Age]]&lt;=10, "Child",Table3[[#This Row],[Age]]&lt;18, "Teenger", Table3[[#This Row],[Age]]&lt;30, "Middle Age", Table3[[#This Row],[Age]]&lt; 60,"Adult",Table3[[#This Row],[Age]],"Senior Citizen")</f>
        <v>Teenger</v>
      </c>
      <c r="D561" t="s">
        <v>18</v>
      </c>
      <c r="E561" t="s">
        <v>24</v>
      </c>
      <c r="F561" t="s">
        <v>32</v>
      </c>
      <c r="G561" s="1">
        <v>45308</v>
      </c>
      <c r="H561" s="1">
        <v>45314</v>
      </c>
      <c r="I561" s="2">
        <f>Table3[[#This Row],[Discharge_Date]]-Table3[[#This Row],[Admission_Date]]</f>
        <v>6</v>
      </c>
      <c r="J561">
        <v>201</v>
      </c>
      <c r="K561" t="s">
        <v>15</v>
      </c>
      <c r="L561" t="s">
        <v>26</v>
      </c>
      <c r="M561">
        <f>IF(Table3[[#This Row],[Treatment_Success]]="Yes",1,0)</f>
        <v>0</v>
      </c>
      <c r="N561">
        <v>52606</v>
      </c>
    </row>
    <row r="562" spans="1:14" x14ac:dyDescent="0.35">
      <c r="A562" t="s">
        <v>609</v>
      </c>
      <c r="B562">
        <v>33</v>
      </c>
      <c r="C562" t="str">
        <f>_xlfn.IFS(Table3[[#This Row],[Age]]&lt;=10, "Child",Table3[[#This Row],[Age]]&lt;18, "Teenger", Table3[[#This Row],[Age]]&lt;30, "Middle Age", Table3[[#This Row],[Age]]&lt; 60,"Adult",Table3[[#This Row],[Age]],"Senior Citizen")</f>
        <v>Adult</v>
      </c>
      <c r="D562" t="s">
        <v>12</v>
      </c>
      <c r="E562" t="s">
        <v>24</v>
      </c>
      <c r="F562" t="s">
        <v>90</v>
      </c>
      <c r="G562" s="1">
        <v>45390</v>
      </c>
      <c r="H562" s="1">
        <v>45405</v>
      </c>
      <c r="I562" s="2">
        <f>Table3[[#This Row],[Discharge_Date]]-Table3[[#This Row],[Admission_Date]]</f>
        <v>15</v>
      </c>
      <c r="J562">
        <v>128</v>
      </c>
      <c r="K562" t="s">
        <v>46</v>
      </c>
      <c r="L562" t="s">
        <v>26</v>
      </c>
      <c r="M562">
        <f>IF(Table3[[#This Row],[Treatment_Success]]="Yes",1,0)</f>
        <v>0</v>
      </c>
      <c r="N562">
        <v>69792</v>
      </c>
    </row>
    <row r="563" spans="1:14" x14ac:dyDescent="0.35">
      <c r="A563" t="s">
        <v>610</v>
      </c>
      <c r="B563">
        <v>59</v>
      </c>
      <c r="C563" t="str">
        <f>_xlfn.IFS(Table3[[#This Row],[Age]]&lt;=10, "Child",Table3[[#This Row],[Age]]&lt;18, "Teenger", Table3[[#This Row],[Age]]&lt;30, "Middle Age", Table3[[#This Row],[Age]]&lt; 60,"Adult",Table3[[#This Row],[Age]],"Senior Citizen")</f>
        <v>Adult</v>
      </c>
      <c r="D563" t="s">
        <v>18</v>
      </c>
      <c r="E563" t="s">
        <v>28</v>
      </c>
      <c r="F563" t="s">
        <v>54</v>
      </c>
      <c r="G563" s="1">
        <v>45309</v>
      </c>
      <c r="H563" s="1">
        <v>45313</v>
      </c>
      <c r="I563" s="2">
        <f>Table3[[#This Row],[Discharge_Date]]-Table3[[#This Row],[Admission_Date]]</f>
        <v>4</v>
      </c>
      <c r="J563">
        <v>107</v>
      </c>
      <c r="K563" t="s">
        <v>46</v>
      </c>
      <c r="L563" t="s">
        <v>26</v>
      </c>
      <c r="M563">
        <f>IF(Table3[[#This Row],[Treatment_Success]]="Yes",1,0)</f>
        <v>0</v>
      </c>
      <c r="N563">
        <v>183636</v>
      </c>
    </row>
    <row r="564" spans="1:14" x14ac:dyDescent="0.35">
      <c r="A564" t="s">
        <v>611</v>
      </c>
      <c r="B564">
        <v>42</v>
      </c>
      <c r="C564" t="str">
        <f>_xlfn.IFS(Table3[[#This Row],[Age]]&lt;=10, "Child",Table3[[#This Row],[Age]]&lt;18, "Teenger", Table3[[#This Row],[Age]]&lt;30, "Middle Age", Table3[[#This Row],[Age]]&lt; 60,"Adult",Table3[[#This Row],[Age]],"Senior Citizen")</f>
        <v>Adult</v>
      </c>
      <c r="D564" t="s">
        <v>18</v>
      </c>
      <c r="E564" t="s">
        <v>24</v>
      </c>
      <c r="F564" t="s">
        <v>25</v>
      </c>
      <c r="G564" s="1">
        <v>45451</v>
      </c>
      <c r="H564" s="1">
        <v>45466</v>
      </c>
      <c r="I564" s="2">
        <f>Table3[[#This Row],[Discharge_Date]]-Table3[[#This Row],[Admission_Date]]</f>
        <v>15</v>
      </c>
      <c r="J564">
        <v>282</v>
      </c>
      <c r="K564" t="s">
        <v>15</v>
      </c>
      <c r="L564" t="s">
        <v>16</v>
      </c>
      <c r="M564">
        <f>IF(Table3[[#This Row],[Treatment_Success]]="Yes",1,0)</f>
        <v>1</v>
      </c>
      <c r="N564">
        <v>131151</v>
      </c>
    </row>
    <row r="565" spans="1:14" x14ac:dyDescent="0.35">
      <c r="A565" t="s">
        <v>612</v>
      </c>
      <c r="B565">
        <v>26</v>
      </c>
      <c r="C565" t="str">
        <f>_xlfn.IFS(Table3[[#This Row],[Age]]&lt;=10, "Child",Table3[[#This Row],[Age]]&lt;18, "Teenger", Table3[[#This Row],[Age]]&lt;30, "Middle Age", Table3[[#This Row],[Age]]&lt; 60,"Adult",Table3[[#This Row],[Age]],"Senior Citizen")</f>
        <v>Middle Age</v>
      </c>
      <c r="D565" t="s">
        <v>12</v>
      </c>
      <c r="E565" t="s">
        <v>24</v>
      </c>
      <c r="F565" t="s">
        <v>54</v>
      </c>
      <c r="G565" s="1">
        <v>45618</v>
      </c>
      <c r="H565" s="1">
        <v>45623</v>
      </c>
      <c r="I565" s="2">
        <f>Table3[[#This Row],[Discharge_Date]]-Table3[[#This Row],[Admission_Date]]</f>
        <v>5</v>
      </c>
      <c r="J565">
        <v>112</v>
      </c>
      <c r="K565" t="s">
        <v>15</v>
      </c>
      <c r="L565" t="s">
        <v>16</v>
      </c>
      <c r="M565">
        <f>IF(Table3[[#This Row],[Treatment_Success]]="Yes",1,0)</f>
        <v>1</v>
      </c>
      <c r="N565">
        <v>170913</v>
      </c>
    </row>
    <row r="566" spans="1:14" x14ac:dyDescent="0.35">
      <c r="A566" t="s">
        <v>613</v>
      </c>
      <c r="B566">
        <v>2</v>
      </c>
      <c r="C566" t="str">
        <f>_xlfn.IFS(Table3[[#This Row],[Age]]&lt;=10, "Child",Table3[[#This Row],[Age]]&lt;18, "Teenger", Table3[[#This Row],[Age]]&lt;30, "Middle Age", Table3[[#This Row],[Age]]&lt; 60,"Adult",Table3[[#This Row],[Age]],"Senior Citizen")</f>
        <v>Child</v>
      </c>
      <c r="D566" t="s">
        <v>18</v>
      </c>
      <c r="E566" t="s">
        <v>38</v>
      </c>
      <c r="F566" t="s">
        <v>58</v>
      </c>
      <c r="G566" s="1">
        <v>45514</v>
      </c>
      <c r="H566" s="1">
        <v>45520</v>
      </c>
      <c r="I566" s="2">
        <f>Table3[[#This Row],[Discharge_Date]]-Table3[[#This Row],[Admission_Date]]</f>
        <v>6</v>
      </c>
      <c r="J566">
        <v>62</v>
      </c>
      <c r="K566" t="s">
        <v>46</v>
      </c>
      <c r="L566" t="s">
        <v>16</v>
      </c>
      <c r="M566">
        <f>IF(Table3[[#This Row],[Treatment_Success]]="Yes",1,0)</f>
        <v>1</v>
      </c>
      <c r="N566">
        <v>7340</v>
      </c>
    </row>
    <row r="567" spans="1:14" x14ac:dyDescent="0.35">
      <c r="A567" t="s">
        <v>614</v>
      </c>
      <c r="B567">
        <v>89</v>
      </c>
      <c r="C567" t="str">
        <f>_xlfn.IFS(Table3[[#This Row],[Age]]&lt;=10, "Child",Table3[[#This Row],[Age]]&lt;18, "Teenger", Table3[[#This Row],[Age]]&lt;30, "Middle Age", Table3[[#This Row],[Age]]&lt; 60,"Adult",Table3[[#This Row],[Age]],"Senior Citizen")</f>
        <v>Senior Citizen</v>
      </c>
      <c r="D567" t="s">
        <v>12</v>
      </c>
      <c r="E567" t="s">
        <v>28</v>
      </c>
      <c r="F567" t="s">
        <v>106</v>
      </c>
      <c r="G567" s="1">
        <v>45313</v>
      </c>
      <c r="H567" s="1">
        <v>45323</v>
      </c>
      <c r="I567" s="2">
        <f>Table3[[#This Row],[Discharge_Date]]-Table3[[#This Row],[Admission_Date]]</f>
        <v>10</v>
      </c>
      <c r="J567">
        <v>191</v>
      </c>
      <c r="K567" t="s">
        <v>15</v>
      </c>
      <c r="L567" t="s">
        <v>16</v>
      </c>
      <c r="M567">
        <f>IF(Table3[[#This Row],[Treatment_Success]]="Yes",1,0)</f>
        <v>1</v>
      </c>
      <c r="N567">
        <v>46339</v>
      </c>
    </row>
    <row r="568" spans="1:14" x14ac:dyDescent="0.35">
      <c r="A568" t="s">
        <v>615</v>
      </c>
      <c r="B568">
        <v>88</v>
      </c>
      <c r="C568" t="str">
        <f>_xlfn.IFS(Table3[[#This Row],[Age]]&lt;=10, "Child",Table3[[#This Row],[Age]]&lt;18, "Teenger", Table3[[#This Row],[Age]]&lt;30, "Middle Age", Table3[[#This Row],[Age]]&lt; 60,"Adult",Table3[[#This Row],[Age]],"Senior Citizen")</f>
        <v>Senior Citizen</v>
      </c>
      <c r="D568" t="s">
        <v>12</v>
      </c>
      <c r="E568" t="s">
        <v>24</v>
      </c>
      <c r="F568" t="s">
        <v>52</v>
      </c>
      <c r="G568" s="1">
        <v>45547</v>
      </c>
      <c r="H568" s="1">
        <v>45549</v>
      </c>
      <c r="I568" s="2">
        <f>Table3[[#This Row],[Discharge_Date]]-Table3[[#This Row],[Admission_Date]]</f>
        <v>2</v>
      </c>
      <c r="J568">
        <v>183</v>
      </c>
      <c r="K568" t="s">
        <v>36</v>
      </c>
      <c r="L568" t="s">
        <v>16</v>
      </c>
      <c r="M568">
        <f>IF(Table3[[#This Row],[Treatment_Success]]="Yes",1,0)</f>
        <v>1</v>
      </c>
      <c r="N568">
        <v>37984</v>
      </c>
    </row>
    <row r="569" spans="1:14" x14ac:dyDescent="0.35">
      <c r="A569" t="s">
        <v>616</v>
      </c>
      <c r="B569">
        <v>41</v>
      </c>
      <c r="C569" t="str">
        <f>_xlfn.IFS(Table3[[#This Row],[Age]]&lt;=10, "Child",Table3[[#This Row],[Age]]&lt;18, "Teenger", Table3[[#This Row],[Age]]&lt;30, "Middle Age", Table3[[#This Row],[Age]]&lt; 60,"Adult",Table3[[#This Row],[Age]],"Senior Citizen")</f>
        <v>Adult</v>
      </c>
      <c r="D569" t="s">
        <v>12</v>
      </c>
      <c r="E569" t="s">
        <v>31</v>
      </c>
      <c r="F569" t="s">
        <v>25</v>
      </c>
      <c r="G569" s="1">
        <v>45541</v>
      </c>
      <c r="H569" s="1">
        <v>45545</v>
      </c>
      <c r="I569" s="2">
        <f>Table3[[#This Row],[Discharge_Date]]-Table3[[#This Row],[Admission_Date]]</f>
        <v>4</v>
      </c>
      <c r="J569">
        <v>99</v>
      </c>
      <c r="K569" t="s">
        <v>15</v>
      </c>
      <c r="L569" t="s">
        <v>26</v>
      </c>
      <c r="M569">
        <f>IF(Table3[[#This Row],[Treatment_Success]]="Yes",1,0)</f>
        <v>0</v>
      </c>
      <c r="N569">
        <v>98891</v>
      </c>
    </row>
    <row r="570" spans="1:14" x14ac:dyDescent="0.35">
      <c r="A570" t="s">
        <v>617</v>
      </c>
      <c r="B570">
        <v>6</v>
      </c>
      <c r="C570" t="str">
        <f>_xlfn.IFS(Table3[[#This Row],[Age]]&lt;=10, "Child",Table3[[#This Row],[Age]]&lt;18, "Teenger", Table3[[#This Row],[Age]]&lt;30, "Middle Age", Table3[[#This Row],[Age]]&lt; 60,"Adult",Table3[[#This Row],[Age]],"Senior Citizen")</f>
        <v>Child</v>
      </c>
      <c r="D570" t="s">
        <v>12</v>
      </c>
      <c r="E570" t="s">
        <v>31</v>
      </c>
      <c r="F570" t="s">
        <v>61</v>
      </c>
      <c r="G570" s="1">
        <v>45360</v>
      </c>
      <c r="H570" s="1">
        <v>45365</v>
      </c>
      <c r="I570" s="2">
        <f>Table3[[#This Row],[Discharge_Date]]-Table3[[#This Row],[Admission_Date]]</f>
        <v>5</v>
      </c>
      <c r="J570">
        <v>151</v>
      </c>
      <c r="K570" t="s">
        <v>46</v>
      </c>
      <c r="L570" t="s">
        <v>16</v>
      </c>
      <c r="M570">
        <f>IF(Table3[[#This Row],[Treatment_Success]]="Yes",1,0)</f>
        <v>1</v>
      </c>
      <c r="N570">
        <v>153557</v>
      </c>
    </row>
    <row r="571" spans="1:14" x14ac:dyDescent="0.35">
      <c r="A571" t="s">
        <v>618</v>
      </c>
      <c r="B571">
        <v>45</v>
      </c>
      <c r="C571" t="str">
        <f>_xlfn.IFS(Table3[[#This Row],[Age]]&lt;=10, "Child",Table3[[#This Row],[Age]]&lt;18, "Teenger", Table3[[#This Row],[Age]]&lt;30, "Middle Age", Table3[[#This Row],[Age]]&lt; 60,"Adult",Table3[[#This Row],[Age]],"Senior Citizen")</f>
        <v>Adult</v>
      </c>
      <c r="D571" t="s">
        <v>12</v>
      </c>
      <c r="E571" t="s">
        <v>31</v>
      </c>
      <c r="F571" t="s">
        <v>32</v>
      </c>
      <c r="G571" s="1">
        <v>45387</v>
      </c>
      <c r="H571" s="1">
        <v>45396</v>
      </c>
      <c r="I571" s="2">
        <f>Table3[[#This Row],[Discharge_Date]]-Table3[[#This Row],[Admission_Date]]</f>
        <v>9</v>
      </c>
      <c r="J571">
        <v>284</v>
      </c>
      <c r="K571" t="s">
        <v>36</v>
      </c>
      <c r="L571" t="s">
        <v>16</v>
      </c>
      <c r="M571">
        <f>IF(Table3[[#This Row],[Treatment_Success]]="Yes",1,0)</f>
        <v>1</v>
      </c>
      <c r="N571">
        <v>144234</v>
      </c>
    </row>
    <row r="572" spans="1:14" x14ac:dyDescent="0.35">
      <c r="A572" t="s">
        <v>619</v>
      </c>
      <c r="B572">
        <v>38</v>
      </c>
      <c r="C572" t="str">
        <f>_xlfn.IFS(Table3[[#This Row],[Age]]&lt;=10, "Child",Table3[[#This Row],[Age]]&lt;18, "Teenger", Table3[[#This Row],[Age]]&lt;30, "Middle Age", Table3[[#This Row],[Age]]&lt; 60,"Adult",Table3[[#This Row],[Age]],"Senior Citizen")</f>
        <v>Adult</v>
      </c>
      <c r="D572" t="s">
        <v>12</v>
      </c>
      <c r="E572" t="s">
        <v>28</v>
      </c>
      <c r="F572" t="s">
        <v>63</v>
      </c>
      <c r="G572" s="1">
        <v>45371</v>
      </c>
      <c r="H572" s="1">
        <v>45379</v>
      </c>
      <c r="I572" s="2">
        <f>Table3[[#This Row],[Discharge_Date]]-Table3[[#This Row],[Admission_Date]]</f>
        <v>8</v>
      </c>
      <c r="J572">
        <v>233</v>
      </c>
      <c r="K572" t="s">
        <v>15</v>
      </c>
      <c r="L572" t="s">
        <v>26</v>
      </c>
      <c r="M572">
        <f>IF(Table3[[#This Row],[Treatment_Success]]="Yes",1,0)</f>
        <v>0</v>
      </c>
      <c r="N572">
        <v>197323</v>
      </c>
    </row>
    <row r="573" spans="1:14" x14ac:dyDescent="0.35">
      <c r="A573" t="s">
        <v>620</v>
      </c>
      <c r="B573">
        <v>3</v>
      </c>
      <c r="C573" t="str">
        <f>_xlfn.IFS(Table3[[#This Row],[Age]]&lt;=10, "Child",Table3[[#This Row],[Age]]&lt;18, "Teenger", Table3[[#This Row],[Age]]&lt;30, "Middle Age", Table3[[#This Row],[Age]]&lt; 60,"Adult",Table3[[#This Row],[Age]],"Senior Citizen")</f>
        <v>Child</v>
      </c>
      <c r="D573" t="s">
        <v>12</v>
      </c>
      <c r="E573" t="s">
        <v>28</v>
      </c>
      <c r="F573" t="s">
        <v>14</v>
      </c>
      <c r="G573" s="1">
        <v>45386</v>
      </c>
      <c r="H573" s="1">
        <v>45401</v>
      </c>
      <c r="I573" s="2">
        <f>Table3[[#This Row],[Discharge_Date]]-Table3[[#This Row],[Admission_Date]]</f>
        <v>15</v>
      </c>
      <c r="J573">
        <v>165</v>
      </c>
      <c r="K573" t="s">
        <v>15</v>
      </c>
      <c r="L573" t="s">
        <v>26</v>
      </c>
      <c r="M573">
        <f>IF(Table3[[#This Row],[Treatment_Success]]="Yes",1,0)</f>
        <v>0</v>
      </c>
      <c r="N573">
        <v>54773</v>
      </c>
    </row>
    <row r="574" spans="1:14" x14ac:dyDescent="0.35">
      <c r="A574" t="s">
        <v>621</v>
      </c>
      <c r="B574">
        <v>64</v>
      </c>
      <c r="C574" t="str">
        <f>_xlfn.IFS(Table3[[#This Row],[Age]]&lt;=10, "Child",Table3[[#This Row],[Age]]&lt;18, "Teenger", Table3[[#This Row],[Age]]&lt;30, "Middle Age", Table3[[#This Row],[Age]]&lt; 60,"Adult",Table3[[#This Row],[Age]],"Senior Citizen")</f>
        <v>Senior Citizen</v>
      </c>
      <c r="D574" t="s">
        <v>18</v>
      </c>
      <c r="E574" t="s">
        <v>28</v>
      </c>
      <c r="F574" t="s">
        <v>83</v>
      </c>
      <c r="G574" s="1">
        <v>45560</v>
      </c>
      <c r="H574" s="1">
        <v>45571</v>
      </c>
      <c r="I574" s="2">
        <f>Table3[[#This Row],[Discharge_Date]]-Table3[[#This Row],[Admission_Date]]</f>
        <v>11</v>
      </c>
      <c r="J574">
        <v>166</v>
      </c>
      <c r="K574" t="s">
        <v>46</v>
      </c>
      <c r="L574" t="s">
        <v>16</v>
      </c>
      <c r="M574">
        <f>IF(Table3[[#This Row],[Treatment_Success]]="Yes",1,0)</f>
        <v>1</v>
      </c>
      <c r="N574">
        <v>33957</v>
      </c>
    </row>
    <row r="575" spans="1:14" x14ac:dyDescent="0.35">
      <c r="A575" t="s">
        <v>622</v>
      </c>
      <c r="B575">
        <v>85</v>
      </c>
      <c r="C575" t="str">
        <f>_xlfn.IFS(Table3[[#This Row],[Age]]&lt;=10, "Child",Table3[[#This Row],[Age]]&lt;18, "Teenger", Table3[[#This Row],[Age]]&lt;30, "Middle Age", Table3[[#This Row],[Age]]&lt; 60,"Adult",Table3[[#This Row],[Age]],"Senior Citizen")</f>
        <v>Senior Citizen</v>
      </c>
      <c r="D575" t="s">
        <v>18</v>
      </c>
      <c r="E575" t="s">
        <v>24</v>
      </c>
      <c r="F575" t="s">
        <v>106</v>
      </c>
      <c r="G575" s="1">
        <v>45341</v>
      </c>
      <c r="H575" s="1">
        <v>45350</v>
      </c>
      <c r="I575" s="2">
        <f>Table3[[#This Row],[Discharge_Date]]-Table3[[#This Row],[Admission_Date]]</f>
        <v>9</v>
      </c>
      <c r="J575">
        <v>92</v>
      </c>
      <c r="K575" t="s">
        <v>15</v>
      </c>
      <c r="L575" t="s">
        <v>16</v>
      </c>
      <c r="M575">
        <f>IF(Table3[[#This Row],[Treatment_Success]]="Yes",1,0)</f>
        <v>1</v>
      </c>
      <c r="N575">
        <v>33063</v>
      </c>
    </row>
    <row r="576" spans="1:14" x14ac:dyDescent="0.35">
      <c r="A576" t="s">
        <v>623</v>
      </c>
      <c r="B576">
        <v>13</v>
      </c>
      <c r="C576" t="str">
        <f>_xlfn.IFS(Table3[[#This Row],[Age]]&lt;=10, "Child",Table3[[#This Row],[Age]]&lt;18, "Teenger", Table3[[#This Row],[Age]]&lt;30, "Middle Age", Table3[[#This Row],[Age]]&lt; 60,"Adult",Table3[[#This Row],[Age]],"Senior Citizen")</f>
        <v>Teenger</v>
      </c>
      <c r="D576" t="s">
        <v>18</v>
      </c>
      <c r="E576" t="s">
        <v>28</v>
      </c>
      <c r="F576" t="s">
        <v>68</v>
      </c>
      <c r="G576" s="1">
        <v>45540</v>
      </c>
      <c r="H576" s="1">
        <v>45544</v>
      </c>
      <c r="I576" s="2">
        <f>Table3[[#This Row],[Discharge_Date]]-Table3[[#This Row],[Admission_Date]]</f>
        <v>4</v>
      </c>
      <c r="J576">
        <v>199</v>
      </c>
      <c r="K576" t="s">
        <v>46</v>
      </c>
      <c r="L576" t="s">
        <v>16</v>
      </c>
      <c r="M576">
        <f>IF(Table3[[#This Row],[Treatment_Success]]="Yes",1,0)</f>
        <v>1</v>
      </c>
      <c r="N576">
        <v>17867</v>
      </c>
    </row>
    <row r="577" spans="1:14" x14ac:dyDescent="0.35">
      <c r="A577" t="s">
        <v>624</v>
      </c>
      <c r="B577">
        <v>78</v>
      </c>
      <c r="C577" t="str">
        <f>_xlfn.IFS(Table3[[#This Row],[Age]]&lt;=10, "Child",Table3[[#This Row],[Age]]&lt;18, "Teenger", Table3[[#This Row],[Age]]&lt;30, "Middle Age", Table3[[#This Row],[Age]]&lt; 60,"Adult",Table3[[#This Row],[Age]],"Senior Citizen")</f>
        <v>Senior Citizen</v>
      </c>
      <c r="D577" t="s">
        <v>18</v>
      </c>
      <c r="E577" t="s">
        <v>24</v>
      </c>
      <c r="F577" t="s">
        <v>29</v>
      </c>
      <c r="G577" s="1">
        <v>45479</v>
      </c>
      <c r="H577" s="1">
        <v>45483</v>
      </c>
      <c r="I577" s="2">
        <f>Table3[[#This Row],[Discharge_Date]]-Table3[[#This Row],[Admission_Date]]</f>
        <v>4</v>
      </c>
      <c r="J577">
        <v>252</v>
      </c>
      <c r="K577" t="s">
        <v>15</v>
      </c>
      <c r="L577" t="s">
        <v>26</v>
      </c>
      <c r="M577">
        <f>IF(Table3[[#This Row],[Treatment_Success]]="Yes",1,0)</f>
        <v>0</v>
      </c>
      <c r="N577">
        <v>172488</v>
      </c>
    </row>
    <row r="578" spans="1:14" x14ac:dyDescent="0.35">
      <c r="A578" t="s">
        <v>625</v>
      </c>
      <c r="B578">
        <v>72</v>
      </c>
      <c r="C578" t="str">
        <f>_xlfn.IFS(Table3[[#This Row],[Age]]&lt;=10, "Child",Table3[[#This Row],[Age]]&lt;18, "Teenger", Table3[[#This Row],[Age]]&lt;30, "Middle Age", Table3[[#This Row],[Age]]&lt; 60,"Adult",Table3[[#This Row],[Age]],"Senior Citizen")</f>
        <v>Senior Citizen</v>
      </c>
      <c r="D578" t="s">
        <v>12</v>
      </c>
      <c r="E578" t="s">
        <v>38</v>
      </c>
      <c r="F578" t="s">
        <v>40</v>
      </c>
      <c r="G578" s="1">
        <v>45323</v>
      </c>
      <c r="H578" s="1">
        <v>45329</v>
      </c>
      <c r="I578" s="2">
        <f>Table3[[#This Row],[Discharge_Date]]-Table3[[#This Row],[Admission_Date]]</f>
        <v>6</v>
      </c>
      <c r="J578">
        <v>30</v>
      </c>
      <c r="K578" t="s">
        <v>33</v>
      </c>
      <c r="L578" t="s">
        <v>16</v>
      </c>
      <c r="M578">
        <f>IF(Table3[[#This Row],[Treatment_Success]]="Yes",1,0)</f>
        <v>1</v>
      </c>
      <c r="N578">
        <v>197492</v>
      </c>
    </row>
    <row r="579" spans="1:14" x14ac:dyDescent="0.35">
      <c r="A579" t="s">
        <v>626</v>
      </c>
      <c r="B579">
        <v>39</v>
      </c>
      <c r="C579" t="str">
        <f>_xlfn.IFS(Table3[[#This Row],[Age]]&lt;=10, "Child",Table3[[#This Row],[Age]]&lt;18, "Teenger", Table3[[#This Row],[Age]]&lt;30, "Middle Age", Table3[[#This Row],[Age]]&lt; 60,"Adult",Table3[[#This Row],[Age]],"Senior Citizen")</f>
        <v>Adult</v>
      </c>
      <c r="D579" t="s">
        <v>18</v>
      </c>
      <c r="E579" t="s">
        <v>13</v>
      </c>
      <c r="F579" t="s">
        <v>49</v>
      </c>
      <c r="G579" s="1">
        <v>45328</v>
      </c>
      <c r="H579" s="1">
        <v>45342</v>
      </c>
      <c r="I579" s="2">
        <f>Table3[[#This Row],[Discharge_Date]]-Table3[[#This Row],[Admission_Date]]</f>
        <v>14</v>
      </c>
      <c r="J579">
        <v>50</v>
      </c>
      <c r="K579" t="s">
        <v>15</v>
      </c>
      <c r="L579" t="s">
        <v>16</v>
      </c>
      <c r="M579">
        <f>IF(Table3[[#This Row],[Treatment_Success]]="Yes",1,0)</f>
        <v>1</v>
      </c>
      <c r="N579">
        <v>144371</v>
      </c>
    </row>
    <row r="580" spans="1:14" x14ac:dyDescent="0.35">
      <c r="A580" t="s">
        <v>627</v>
      </c>
      <c r="B580">
        <v>25</v>
      </c>
      <c r="C580" t="str">
        <f>_xlfn.IFS(Table3[[#This Row],[Age]]&lt;=10, "Child",Table3[[#This Row],[Age]]&lt;18, "Teenger", Table3[[#This Row],[Age]]&lt;30, "Middle Age", Table3[[#This Row],[Age]]&lt; 60,"Adult",Table3[[#This Row],[Age]],"Senior Citizen")</f>
        <v>Middle Age</v>
      </c>
      <c r="D580" t="s">
        <v>18</v>
      </c>
      <c r="E580" t="s">
        <v>28</v>
      </c>
      <c r="F580" t="s">
        <v>68</v>
      </c>
      <c r="G580" s="1">
        <v>45489</v>
      </c>
      <c r="H580" s="1">
        <v>45493</v>
      </c>
      <c r="I580" s="2">
        <f>Table3[[#This Row],[Discharge_Date]]-Table3[[#This Row],[Admission_Date]]</f>
        <v>4</v>
      </c>
      <c r="J580">
        <v>92</v>
      </c>
      <c r="K580" t="s">
        <v>46</v>
      </c>
      <c r="L580" t="s">
        <v>16</v>
      </c>
      <c r="M580">
        <f>IF(Table3[[#This Row],[Treatment_Success]]="Yes",1,0)</f>
        <v>1</v>
      </c>
      <c r="N580">
        <v>172411</v>
      </c>
    </row>
    <row r="581" spans="1:14" x14ac:dyDescent="0.35">
      <c r="A581" t="s">
        <v>628</v>
      </c>
      <c r="B581">
        <v>87</v>
      </c>
      <c r="C581" t="str">
        <f>_xlfn.IFS(Table3[[#This Row],[Age]]&lt;=10, "Child",Table3[[#This Row],[Age]]&lt;18, "Teenger", Table3[[#This Row],[Age]]&lt;30, "Middle Age", Table3[[#This Row],[Age]]&lt; 60,"Adult",Table3[[#This Row],[Age]],"Senior Citizen")</f>
        <v>Senior Citizen</v>
      </c>
      <c r="D581" t="s">
        <v>12</v>
      </c>
      <c r="E581" t="s">
        <v>31</v>
      </c>
      <c r="F581" t="s">
        <v>90</v>
      </c>
      <c r="G581" s="1">
        <v>45587</v>
      </c>
      <c r="H581" s="1">
        <v>45593</v>
      </c>
      <c r="I581" s="2">
        <f>Table3[[#This Row],[Discharge_Date]]-Table3[[#This Row],[Admission_Date]]</f>
        <v>6</v>
      </c>
      <c r="J581">
        <v>86</v>
      </c>
      <c r="K581" t="s">
        <v>36</v>
      </c>
      <c r="L581" t="s">
        <v>26</v>
      </c>
      <c r="M581">
        <f>IF(Table3[[#This Row],[Treatment_Success]]="Yes",1,0)</f>
        <v>0</v>
      </c>
      <c r="N581">
        <v>137302</v>
      </c>
    </row>
    <row r="582" spans="1:14" x14ac:dyDescent="0.35">
      <c r="A582" t="s">
        <v>629</v>
      </c>
      <c r="B582">
        <v>21</v>
      </c>
      <c r="C582" t="str">
        <f>_xlfn.IFS(Table3[[#This Row],[Age]]&lt;=10, "Child",Table3[[#This Row],[Age]]&lt;18, "Teenger", Table3[[#This Row],[Age]]&lt;30, "Middle Age", Table3[[#This Row],[Age]]&lt; 60,"Adult",Table3[[#This Row],[Age]],"Senior Citizen")</f>
        <v>Middle Age</v>
      </c>
      <c r="D582" t="s">
        <v>12</v>
      </c>
      <c r="E582" t="s">
        <v>38</v>
      </c>
      <c r="F582" t="s">
        <v>95</v>
      </c>
      <c r="G582" s="1">
        <v>45464</v>
      </c>
      <c r="H582" s="1">
        <v>45475</v>
      </c>
      <c r="I582" s="2">
        <f>Table3[[#This Row],[Discharge_Date]]-Table3[[#This Row],[Admission_Date]]</f>
        <v>11</v>
      </c>
      <c r="J582">
        <v>282</v>
      </c>
      <c r="K582" t="s">
        <v>33</v>
      </c>
      <c r="L582" t="s">
        <v>16</v>
      </c>
      <c r="M582">
        <f>IF(Table3[[#This Row],[Treatment_Success]]="Yes",1,0)</f>
        <v>1</v>
      </c>
      <c r="N582">
        <v>113093</v>
      </c>
    </row>
    <row r="583" spans="1:14" x14ac:dyDescent="0.35">
      <c r="A583" t="s">
        <v>630</v>
      </c>
      <c r="B583">
        <v>42</v>
      </c>
      <c r="C583" t="str">
        <f>_xlfn.IFS(Table3[[#This Row],[Age]]&lt;=10, "Child",Table3[[#This Row],[Age]]&lt;18, "Teenger", Table3[[#This Row],[Age]]&lt;30, "Middle Age", Table3[[#This Row],[Age]]&lt; 60,"Adult",Table3[[#This Row],[Age]],"Senior Citizen")</f>
        <v>Adult</v>
      </c>
      <c r="D583" t="s">
        <v>18</v>
      </c>
      <c r="E583" t="s">
        <v>28</v>
      </c>
      <c r="F583" t="s">
        <v>61</v>
      </c>
      <c r="G583" s="1">
        <v>45616</v>
      </c>
      <c r="H583" s="1">
        <v>45623</v>
      </c>
      <c r="I583" s="2">
        <f>Table3[[#This Row],[Discharge_Date]]-Table3[[#This Row],[Admission_Date]]</f>
        <v>7</v>
      </c>
      <c r="J583">
        <v>110</v>
      </c>
      <c r="K583" t="s">
        <v>46</v>
      </c>
      <c r="L583" t="s">
        <v>16</v>
      </c>
      <c r="M583">
        <f>IF(Table3[[#This Row],[Treatment_Success]]="Yes",1,0)</f>
        <v>1</v>
      </c>
      <c r="N583">
        <v>99374</v>
      </c>
    </row>
    <row r="584" spans="1:14" x14ac:dyDescent="0.35">
      <c r="A584" t="s">
        <v>631</v>
      </c>
      <c r="B584">
        <v>51</v>
      </c>
      <c r="C584" t="str">
        <f>_xlfn.IFS(Table3[[#This Row],[Age]]&lt;=10, "Child",Table3[[#This Row],[Age]]&lt;18, "Teenger", Table3[[#This Row],[Age]]&lt;30, "Middle Age", Table3[[#This Row],[Age]]&lt; 60,"Adult",Table3[[#This Row],[Age]],"Senior Citizen")</f>
        <v>Adult</v>
      </c>
      <c r="D584" t="s">
        <v>18</v>
      </c>
      <c r="E584" t="s">
        <v>24</v>
      </c>
      <c r="F584" t="s">
        <v>83</v>
      </c>
      <c r="G584" s="1">
        <v>45523</v>
      </c>
      <c r="H584" s="1">
        <v>45531</v>
      </c>
      <c r="I584" s="2">
        <f>Table3[[#This Row],[Discharge_Date]]-Table3[[#This Row],[Admission_Date]]</f>
        <v>8</v>
      </c>
      <c r="J584">
        <v>9</v>
      </c>
      <c r="K584" t="s">
        <v>36</v>
      </c>
      <c r="L584" t="s">
        <v>16</v>
      </c>
      <c r="M584">
        <f>IF(Table3[[#This Row],[Treatment_Success]]="Yes",1,0)</f>
        <v>1</v>
      </c>
      <c r="N584">
        <v>6721</v>
      </c>
    </row>
    <row r="585" spans="1:14" x14ac:dyDescent="0.35">
      <c r="A585" t="s">
        <v>632</v>
      </c>
      <c r="B585">
        <v>28</v>
      </c>
      <c r="C585" t="str">
        <f>_xlfn.IFS(Table3[[#This Row],[Age]]&lt;=10, "Child",Table3[[#This Row],[Age]]&lt;18, "Teenger", Table3[[#This Row],[Age]]&lt;30, "Middle Age", Table3[[#This Row],[Age]]&lt; 60,"Adult",Table3[[#This Row],[Age]],"Senior Citizen")</f>
        <v>Middle Age</v>
      </c>
      <c r="D585" t="s">
        <v>12</v>
      </c>
      <c r="E585" t="s">
        <v>24</v>
      </c>
      <c r="F585" t="s">
        <v>22</v>
      </c>
      <c r="G585" s="1">
        <v>45445</v>
      </c>
      <c r="H585" s="1">
        <v>45449</v>
      </c>
      <c r="I585" s="2">
        <f>Table3[[#This Row],[Discharge_Date]]-Table3[[#This Row],[Admission_Date]]</f>
        <v>4</v>
      </c>
      <c r="J585">
        <v>142</v>
      </c>
      <c r="K585" t="s">
        <v>36</v>
      </c>
      <c r="L585" t="s">
        <v>16</v>
      </c>
      <c r="M585">
        <f>IF(Table3[[#This Row],[Treatment_Success]]="Yes",1,0)</f>
        <v>1</v>
      </c>
      <c r="N585">
        <v>14892</v>
      </c>
    </row>
    <row r="586" spans="1:14" x14ac:dyDescent="0.35">
      <c r="A586" t="s">
        <v>633</v>
      </c>
      <c r="B586">
        <v>20</v>
      </c>
      <c r="C586" t="str">
        <f>_xlfn.IFS(Table3[[#This Row],[Age]]&lt;=10, "Child",Table3[[#This Row],[Age]]&lt;18, "Teenger", Table3[[#This Row],[Age]]&lt;30, "Middle Age", Table3[[#This Row],[Age]]&lt; 60,"Adult",Table3[[#This Row],[Age]],"Senior Citizen")</f>
        <v>Middle Age</v>
      </c>
      <c r="D586" t="s">
        <v>18</v>
      </c>
      <c r="E586" t="s">
        <v>38</v>
      </c>
      <c r="F586" t="s">
        <v>63</v>
      </c>
      <c r="G586" s="1">
        <v>45527</v>
      </c>
      <c r="H586" s="1">
        <v>45533</v>
      </c>
      <c r="I586" s="2">
        <f>Table3[[#This Row],[Discharge_Date]]-Table3[[#This Row],[Admission_Date]]</f>
        <v>6</v>
      </c>
      <c r="J586">
        <v>299</v>
      </c>
      <c r="K586" t="s">
        <v>36</v>
      </c>
      <c r="L586" t="s">
        <v>16</v>
      </c>
      <c r="M586">
        <f>IF(Table3[[#This Row],[Treatment_Success]]="Yes",1,0)</f>
        <v>1</v>
      </c>
      <c r="N586">
        <v>72172</v>
      </c>
    </row>
    <row r="587" spans="1:14" x14ac:dyDescent="0.35">
      <c r="A587" t="s">
        <v>634</v>
      </c>
      <c r="B587">
        <v>74</v>
      </c>
      <c r="C587" t="str">
        <f>_xlfn.IFS(Table3[[#This Row],[Age]]&lt;=10, "Child",Table3[[#This Row],[Age]]&lt;18, "Teenger", Table3[[#This Row],[Age]]&lt;30, "Middle Age", Table3[[#This Row],[Age]]&lt; 60,"Adult",Table3[[#This Row],[Age]],"Senior Citizen")</f>
        <v>Senior Citizen</v>
      </c>
      <c r="D587" t="s">
        <v>12</v>
      </c>
      <c r="E587" t="s">
        <v>28</v>
      </c>
      <c r="F587" t="s">
        <v>29</v>
      </c>
      <c r="G587" s="1">
        <v>45445</v>
      </c>
      <c r="H587" s="1">
        <v>45447</v>
      </c>
      <c r="I587" s="2">
        <f>Table3[[#This Row],[Discharge_Date]]-Table3[[#This Row],[Admission_Date]]</f>
        <v>2</v>
      </c>
      <c r="J587">
        <v>40</v>
      </c>
      <c r="K587" t="s">
        <v>33</v>
      </c>
      <c r="L587" t="s">
        <v>26</v>
      </c>
      <c r="M587">
        <f>IF(Table3[[#This Row],[Treatment_Success]]="Yes",1,0)</f>
        <v>0</v>
      </c>
      <c r="N587">
        <v>50325</v>
      </c>
    </row>
    <row r="588" spans="1:14" x14ac:dyDescent="0.35">
      <c r="A588" t="s">
        <v>635</v>
      </c>
      <c r="B588">
        <v>89</v>
      </c>
      <c r="C588" t="str">
        <f>_xlfn.IFS(Table3[[#This Row],[Age]]&lt;=10, "Child",Table3[[#This Row],[Age]]&lt;18, "Teenger", Table3[[#This Row],[Age]]&lt;30, "Middle Age", Table3[[#This Row],[Age]]&lt; 60,"Adult",Table3[[#This Row],[Age]],"Senior Citizen")</f>
        <v>Senior Citizen</v>
      </c>
      <c r="D588" t="s">
        <v>18</v>
      </c>
      <c r="E588" t="s">
        <v>28</v>
      </c>
      <c r="F588" t="s">
        <v>68</v>
      </c>
      <c r="G588" s="1">
        <v>45541</v>
      </c>
      <c r="H588" s="1">
        <v>45555</v>
      </c>
      <c r="I588" s="2">
        <f>Table3[[#This Row],[Discharge_Date]]-Table3[[#This Row],[Admission_Date]]</f>
        <v>14</v>
      </c>
      <c r="J588">
        <v>154</v>
      </c>
      <c r="K588" t="s">
        <v>15</v>
      </c>
      <c r="L588" t="s">
        <v>26</v>
      </c>
      <c r="M588">
        <f>IF(Table3[[#This Row],[Treatment_Success]]="Yes",1,0)</f>
        <v>0</v>
      </c>
      <c r="N588">
        <v>25572</v>
      </c>
    </row>
    <row r="589" spans="1:14" x14ac:dyDescent="0.35">
      <c r="A589" t="s">
        <v>636</v>
      </c>
      <c r="B589">
        <v>43</v>
      </c>
      <c r="C589" t="str">
        <f>_xlfn.IFS(Table3[[#This Row],[Age]]&lt;=10, "Child",Table3[[#This Row],[Age]]&lt;18, "Teenger", Table3[[#This Row],[Age]]&lt;30, "Middle Age", Table3[[#This Row],[Age]]&lt; 60,"Adult",Table3[[#This Row],[Age]],"Senior Citizen")</f>
        <v>Adult</v>
      </c>
      <c r="D589" t="s">
        <v>12</v>
      </c>
      <c r="E589" t="s">
        <v>31</v>
      </c>
      <c r="F589" t="s">
        <v>93</v>
      </c>
      <c r="G589" s="1">
        <v>45320</v>
      </c>
      <c r="H589" s="1">
        <v>45335</v>
      </c>
      <c r="I589" s="2">
        <f>Table3[[#This Row],[Discharge_Date]]-Table3[[#This Row],[Admission_Date]]</f>
        <v>15</v>
      </c>
      <c r="J589">
        <v>62</v>
      </c>
      <c r="K589" t="s">
        <v>36</v>
      </c>
      <c r="L589" t="s">
        <v>16</v>
      </c>
      <c r="M589">
        <f>IF(Table3[[#This Row],[Treatment_Success]]="Yes",1,0)</f>
        <v>1</v>
      </c>
      <c r="N589">
        <v>171169</v>
      </c>
    </row>
    <row r="590" spans="1:14" x14ac:dyDescent="0.35">
      <c r="A590" t="s">
        <v>637</v>
      </c>
      <c r="B590">
        <v>7</v>
      </c>
      <c r="C590" t="str">
        <f>_xlfn.IFS(Table3[[#This Row],[Age]]&lt;=10, "Child",Table3[[#This Row],[Age]]&lt;18, "Teenger", Table3[[#This Row],[Age]]&lt;30, "Middle Age", Table3[[#This Row],[Age]]&lt; 60,"Adult",Table3[[#This Row],[Age]],"Senior Citizen")</f>
        <v>Child</v>
      </c>
      <c r="D590" t="s">
        <v>12</v>
      </c>
      <c r="E590" t="s">
        <v>28</v>
      </c>
      <c r="F590" t="s">
        <v>52</v>
      </c>
      <c r="G590" s="1">
        <v>45615</v>
      </c>
      <c r="H590" s="1">
        <v>45622</v>
      </c>
      <c r="I590" s="2">
        <f>Table3[[#This Row],[Discharge_Date]]-Table3[[#This Row],[Admission_Date]]</f>
        <v>7</v>
      </c>
      <c r="J590">
        <v>164</v>
      </c>
      <c r="K590" t="s">
        <v>36</v>
      </c>
      <c r="L590" t="s">
        <v>16</v>
      </c>
      <c r="M590">
        <f>IF(Table3[[#This Row],[Treatment_Success]]="Yes",1,0)</f>
        <v>1</v>
      </c>
      <c r="N590">
        <v>136701</v>
      </c>
    </row>
    <row r="591" spans="1:14" x14ac:dyDescent="0.35">
      <c r="A591" t="s">
        <v>638</v>
      </c>
      <c r="B591">
        <v>20</v>
      </c>
      <c r="C591" t="str">
        <f>_xlfn.IFS(Table3[[#This Row],[Age]]&lt;=10, "Child",Table3[[#This Row],[Age]]&lt;18, "Teenger", Table3[[#This Row],[Age]]&lt;30, "Middle Age", Table3[[#This Row],[Age]]&lt; 60,"Adult",Table3[[#This Row],[Age]],"Senior Citizen")</f>
        <v>Middle Age</v>
      </c>
      <c r="D591" t="s">
        <v>18</v>
      </c>
      <c r="E591" t="s">
        <v>31</v>
      </c>
      <c r="F591" t="s">
        <v>20</v>
      </c>
      <c r="G591" s="1">
        <v>45649</v>
      </c>
      <c r="H591" s="1">
        <v>45653</v>
      </c>
      <c r="I591" s="2">
        <f>Table3[[#This Row],[Discharge_Date]]-Table3[[#This Row],[Admission_Date]]</f>
        <v>4</v>
      </c>
      <c r="J591">
        <v>295</v>
      </c>
      <c r="K591" t="s">
        <v>15</v>
      </c>
      <c r="L591" t="s">
        <v>16</v>
      </c>
      <c r="M591">
        <f>IF(Table3[[#This Row],[Treatment_Success]]="Yes",1,0)</f>
        <v>1</v>
      </c>
      <c r="N591">
        <v>118229</v>
      </c>
    </row>
    <row r="592" spans="1:14" x14ac:dyDescent="0.35">
      <c r="A592" t="s">
        <v>639</v>
      </c>
      <c r="B592">
        <v>51</v>
      </c>
      <c r="C592" t="str">
        <f>_xlfn.IFS(Table3[[#This Row],[Age]]&lt;=10, "Child",Table3[[#This Row],[Age]]&lt;18, "Teenger", Table3[[#This Row],[Age]]&lt;30, "Middle Age", Table3[[#This Row],[Age]]&lt; 60,"Adult",Table3[[#This Row],[Age]],"Senior Citizen")</f>
        <v>Adult</v>
      </c>
      <c r="D592" t="s">
        <v>18</v>
      </c>
      <c r="E592" t="s">
        <v>13</v>
      </c>
      <c r="F592" t="s">
        <v>95</v>
      </c>
      <c r="G592" s="1">
        <v>45440</v>
      </c>
      <c r="H592" s="1">
        <v>45453</v>
      </c>
      <c r="I592" s="2">
        <f>Table3[[#This Row],[Discharge_Date]]-Table3[[#This Row],[Admission_Date]]</f>
        <v>13</v>
      </c>
      <c r="J592">
        <v>43</v>
      </c>
      <c r="K592" t="s">
        <v>46</v>
      </c>
      <c r="L592" t="s">
        <v>16</v>
      </c>
      <c r="M592">
        <f>IF(Table3[[#This Row],[Treatment_Success]]="Yes",1,0)</f>
        <v>1</v>
      </c>
      <c r="N592">
        <v>148694</v>
      </c>
    </row>
    <row r="593" spans="1:14" x14ac:dyDescent="0.35">
      <c r="A593" t="s">
        <v>640</v>
      </c>
      <c r="B593">
        <v>11</v>
      </c>
      <c r="C593" t="str">
        <f>_xlfn.IFS(Table3[[#This Row],[Age]]&lt;=10, "Child",Table3[[#This Row],[Age]]&lt;18, "Teenger", Table3[[#This Row],[Age]]&lt;30, "Middle Age", Table3[[#This Row],[Age]]&lt; 60,"Adult",Table3[[#This Row],[Age]],"Senior Citizen")</f>
        <v>Teenger</v>
      </c>
      <c r="D593" t="s">
        <v>12</v>
      </c>
      <c r="E593" t="s">
        <v>28</v>
      </c>
      <c r="F593" t="s">
        <v>93</v>
      </c>
      <c r="G593" s="1">
        <v>45496</v>
      </c>
      <c r="H593" s="1">
        <v>45501</v>
      </c>
      <c r="I593" s="2">
        <f>Table3[[#This Row],[Discharge_Date]]-Table3[[#This Row],[Admission_Date]]</f>
        <v>5</v>
      </c>
      <c r="J593">
        <v>67</v>
      </c>
      <c r="K593" t="s">
        <v>36</v>
      </c>
      <c r="L593" t="s">
        <v>26</v>
      </c>
      <c r="M593">
        <f>IF(Table3[[#This Row],[Treatment_Success]]="Yes",1,0)</f>
        <v>0</v>
      </c>
      <c r="N593">
        <v>151616</v>
      </c>
    </row>
    <row r="594" spans="1:14" x14ac:dyDescent="0.35">
      <c r="A594" t="s">
        <v>641</v>
      </c>
      <c r="B594">
        <v>51</v>
      </c>
      <c r="C594" t="str">
        <f>_xlfn.IFS(Table3[[#This Row],[Age]]&lt;=10, "Child",Table3[[#This Row],[Age]]&lt;18, "Teenger", Table3[[#This Row],[Age]]&lt;30, "Middle Age", Table3[[#This Row],[Age]]&lt; 60,"Adult",Table3[[#This Row],[Age]],"Senior Citizen")</f>
        <v>Adult</v>
      </c>
      <c r="D594" t="s">
        <v>18</v>
      </c>
      <c r="E594" t="s">
        <v>28</v>
      </c>
      <c r="F594" t="s">
        <v>35</v>
      </c>
      <c r="G594" s="1">
        <v>45393</v>
      </c>
      <c r="H594" s="1">
        <v>45401</v>
      </c>
      <c r="I594" s="2">
        <f>Table3[[#This Row],[Discharge_Date]]-Table3[[#This Row],[Admission_Date]]</f>
        <v>8</v>
      </c>
      <c r="J594">
        <v>269</v>
      </c>
      <c r="K594" t="s">
        <v>36</v>
      </c>
      <c r="L594" t="s">
        <v>16</v>
      </c>
      <c r="M594">
        <f>IF(Table3[[#This Row],[Treatment_Success]]="Yes",1,0)</f>
        <v>1</v>
      </c>
      <c r="N594">
        <v>23781</v>
      </c>
    </row>
    <row r="595" spans="1:14" x14ac:dyDescent="0.35">
      <c r="A595" t="s">
        <v>642</v>
      </c>
      <c r="B595">
        <v>56</v>
      </c>
      <c r="C595" t="str">
        <f>_xlfn.IFS(Table3[[#This Row],[Age]]&lt;=10, "Child",Table3[[#This Row],[Age]]&lt;18, "Teenger", Table3[[#This Row],[Age]]&lt;30, "Middle Age", Table3[[#This Row],[Age]]&lt; 60,"Adult",Table3[[#This Row],[Age]],"Senior Citizen")</f>
        <v>Adult</v>
      </c>
      <c r="D595" t="s">
        <v>12</v>
      </c>
      <c r="E595" t="s">
        <v>28</v>
      </c>
      <c r="F595" t="s">
        <v>45</v>
      </c>
      <c r="G595" s="1">
        <v>45428</v>
      </c>
      <c r="H595" s="1">
        <v>45441</v>
      </c>
      <c r="I595" s="2">
        <f>Table3[[#This Row],[Discharge_Date]]-Table3[[#This Row],[Admission_Date]]</f>
        <v>13</v>
      </c>
      <c r="J595">
        <v>58</v>
      </c>
      <c r="K595" t="s">
        <v>46</v>
      </c>
      <c r="L595" t="s">
        <v>26</v>
      </c>
      <c r="M595">
        <f>IF(Table3[[#This Row],[Treatment_Success]]="Yes",1,0)</f>
        <v>0</v>
      </c>
      <c r="N595">
        <v>100752</v>
      </c>
    </row>
    <row r="596" spans="1:14" x14ac:dyDescent="0.35">
      <c r="A596" t="s">
        <v>643</v>
      </c>
      <c r="B596">
        <v>42</v>
      </c>
      <c r="C596" t="str">
        <f>_xlfn.IFS(Table3[[#This Row],[Age]]&lt;=10, "Child",Table3[[#This Row],[Age]]&lt;18, "Teenger", Table3[[#This Row],[Age]]&lt;30, "Middle Age", Table3[[#This Row],[Age]]&lt; 60,"Adult",Table3[[#This Row],[Age]],"Senior Citizen")</f>
        <v>Adult</v>
      </c>
      <c r="D596" t="s">
        <v>12</v>
      </c>
      <c r="E596" t="s">
        <v>28</v>
      </c>
      <c r="F596" t="s">
        <v>68</v>
      </c>
      <c r="G596" s="1">
        <v>45470</v>
      </c>
      <c r="H596" s="1">
        <v>45474</v>
      </c>
      <c r="I596" s="2">
        <f>Table3[[#This Row],[Discharge_Date]]-Table3[[#This Row],[Admission_Date]]</f>
        <v>4</v>
      </c>
      <c r="J596">
        <v>13</v>
      </c>
      <c r="K596" t="s">
        <v>33</v>
      </c>
      <c r="L596" t="s">
        <v>16</v>
      </c>
      <c r="M596">
        <f>IF(Table3[[#This Row],[Treatment_Success]]="Yes",1,0)</f>
        <v>1</v>
      </c>
      <c r="N596">
        <v>96676</v>
      </c>
    </row>
    <row r="597" spans="1:14" x14ac:dyDescent="0.35">
      <c r="A597" t="s">
        <v>644</v>
      </c>
      <c r="B597">
        <v>57</v>
      </c>
      <c r="C597" t="str">
        <f>_xlfn.IFS(Table3[[#This Row],[Age]]&lt;=10, "Child",Table3[[#This Row],[Age]]&lt;18, "Teenger", Table3[[#This Row],[Age]]&lt;30, "Middle Age", Table3[[#This Row],[Age]]&lt; 60,"Adult",Table3[[#This Row],[Age]],"Senior Citizen")</f>
        <v>Adult</v>
      </c>
      <c r="D597" t="s">
        <v>18</v>
      </c>
      <c r="E597" t="s">
        <v>31</v>
      </c>
      <c r="F597" t="s">
        <v>52</v>
      </c>
      <c r="G597" s="1">
        <v>45607</v>
      </c>
      <c r="H597" s="1">
        <v>45621</v>
      </c>
      <c r="I597" s="2">
        <f>Table3[[#This Row],[Discharge_Date]]-Table3[[#This Row],[Admission_Date]]</f>
        <v>14</v>
      </c>
      <c r="J597">
        <v>120</v>
      </c>
      <c r="K597" t="s">
        <v>36</v>
      </c>
      <c r="L597" t="s">
        <v>16</v>
      </c>
      <c r="M597">
        <f>IF(Table3[[#This Row],[Treatment_Success]]="Yes",1,0)</f>
        <v>1</v>
      </c>
      <c r="N597">
        <v>45892</v>
      </c>
    </row>
    <row r="598" spans="1:14" x14ac:dyDescent="0.35">
      <c r="A598" t="s">
        <v>645</v>
      </c>
      <c r="B598">
        <v>7</v>
      </c>
      <c r="C598" t="str">
        <f>_xlfn.IFS(Table3[[#This Row],[Age]]&lt;=10, "Child",Table3[[#This Row],[Age]]&lt;18, "Teenger", Table3[[#This Row],[Age]]&lt;30, "Middle Age", Table3[[#This Row],[Age]]&lt; 60,"Adult",Table3[[#This Row],[Age]],"Senior Citizen")</f>
        <v>Child</v>
      </c>
      <c r="D598" t="s">
        <v>18</v>
      </c>
      <c r="E598" t="s">
        <v>28</v>
      </c>
      <c r="F598" t="s">
        <v>106</v>
      </c>
      <c r="G598" s="1">
        <v>45335</v>
      </c>
      <c r="H598" s="1">
        <v>45337</v>
      </c>
      <c r="I598" s="2">
        <f>Table3[[#This Row],[Discharge_Date]]-Table3[[#This Row],[Admission_Date]]</f>
        <v>2</v>
      </c>
      <c r="J598">
        <v>148</v>
      </c>
      <c r="K598" t="s">
        <v>15</v>
      </c>
      <c r="L598" t="s">
        <v>16</v>
      </c>
      <c r="M598">
        <f>IF(Table3[[#This Row],[Treatment_Success]]="Yes",1,0)</f>
        <v>1</v>
      </c>
      <c r="N598">
        <v>186874</v>
      </c>
    </row>
    <row r="599" spans="1:14" x14ac:dyDescent="0.35">
      <c r="A599" t="s">
        <v>646</v>
      </c>
      <c r="B599">
        <v>58</v>
      </c>
      <c r="C599" t="str">
        <f>_xlfn.IFS(Table3[[#This Row],[Age]]&lt;=10, "Child",Table3[[#This Row],[Age]]&lt;18, "Teenger", Table3[[#This Row],[Age]]&lt;30, "Middle Age", Table3[[#This Row],[Age]]&lt; 60,"Adult",Table3[[#This Row],[Age]],"Senior Citizen")</f>
        <v>Adult</v>
      </c>
      <c r="D599" t="s">
        <v>12</v>
      </c>
      <c r="E599" t="s">
        <v>24</v>
      </c>
      <c r="F599" t="s">
        <v>95</v>
      </c>
      <c r="G599" s="1">
        <v>45348</v>
      </c>
      <c r="H599" s="1">
        <v>45353</v>
      </c>
      <c r="I599" s="2">
        <f>Table3[[#This Row],[Discharge_Date]]-Table3[[#This Row],[Admission_Date]]</f>
        <v>5</v>
      </c>
      <c r="J599">
        <v>108</v>
      </c>
      <c r="K599" t="s">
        <v>36</v>
      </c>
      <c r="L599" t="s">
        <v>16</v>
      </c>
      <c r="M599">
        <f>IF(Table3[[#This Row],[Treatment_Success]]="Yes",1,0)</f>
        <v>1</v>
      </c>
      <c r="N599">
        <v>148241</v>
      </c>
    </row>
    <row r="600" spans="1:14" x14ac:dyDescent="0.35">
      <c r="A600" t="s">
        <v>647</v>
      </c>
      <c r="B600">
        <v>34</v>
      </c>
      <c r="C600" t="str">
        <f>_xlfn.IFS(Table3[[#This Row],[Age]]&lt;=10, "Child",Table3[[#This Row],[Age]]&lt;18, "Teenger", Table3[[#This Row],[Age]]&lt;30, "Middle Age", Table3[[#This Row],[Age]]&lt; 60,"Adult",Table3[[#This Row],[Age]],"Senior Citizen")</f>
        <v>Adult</v>
      </c>
      <c r="D600" t="s">
        <v>12</v>
      </c>
      <c r="E600" t="s">
        <v>28</v>
      </c>
      <c r="F600" t="s">
        <v>25</v>
      </c>
      <c r="G600" s="1">
        <v>45559</v>
      </c>
      <c r="H600" s="1">
        <v>45572</v>
      </c>
      <c r="I600" s="2">
        <f>Table3[[#This Row],[Discharge_Date]]-Table3[[#This Row],[Admission_Date]]</f>
        <v>13</v>
      </c>
      <c r="J600">
        <v>73</v>
      </c>
      <c r="K600" t="s">
        <v>15</v>
      </c>
      <c r="L600" t="s">
        <v>26</v>
      </c>
      <c r="M600">
        <f>IF(Table3[[#This Row],[Treatment_Success]]="Yes",1,0)</f>
        <v>0</v>
      </c>
      <c r="N600">
        <v>157831</v>
      </c>
    </row>
    <row r="601" spans="1:14" x14ac:dyDescent="0.35">
      <c r="A601" t="s">
        <v>648</v>
      </c>
      <c r="B601">
        <v>6</v>
      </c>
      <c r="C601" t="str">
        <f>_xlfn.IFS(Table3[[#This Row],[Age]]&lt;=10, "Child",Table3[[#This Row],[Age]]&lt;18, "Teenger", Table3[[#This Row],[Age]]&lt;30, "Middle Age", Table3[[#This Row],[Age]]&lt; 60,"Adult",Table3[[#This Row],[Age]],"Senior Citizen")</f>
        <v>Child</v>
      </c>
      <c r="D601" t="s">
        <v>12</v>
      </c>
      <c r="E601" t="s">
        <v>13</v>
      </c>
      <c r="F601" t="s">
        <v>52</v>
      </c>
      <c r="G601" s="1">
        <v>45631</v>
      </c>
      <c r="H601" s="1">
        <v>45640</v>
      </c>
      <c r="I601" s="2">
        <f>Table3[[#This Row],[Discharge_Date]]-Table3[[#This Row],[Admission_Date]]</f>
        <v>9</v>
      </c>
      <c r="J601">
        <v>146</v>
      </c>
      <c r="K601" t="s">
        <v>36</v>
      </c>
      <c r="L601" t="s">
        <v>16</v>
      </c>
      <c r="M601">
        <f>IF(Table3[[#This Row],[Treatment_Success]]="Yes",1,0)</f>
        <v>1</v>
      </c>
      <c r="N601">
        <v>18915</v>
      </c>
    </row>
    <row r="602" spans="1:14" x14ac:dyDescent="0.35">
      <c r="A602" t="s">
        <v>649</v>
      </c>
      <c r="B602">
        <v>2</v>
      </c>
      <c r="C602" t="str">
        <f>_xlfn.IFS(Table3[[#This Row],[Age]]&lt;=10, "Child",Table3[[#This Row],[Age]]&lt;18, "Teenger", Table3[[#This Row],[Age]]&lt;30, "Middle Age", Table3[[#This Row],[Age]]&lt; 60,"Adult",Table3[[#This Row],[Age]],"Senior Citizen")</f>
        <v>Child</v>
      </c>
      <c r="D602" t="s">
        <v>18</v>
      </c>
      <c r="E602" t="s">
        <v>31</v>
      </c>
      <c r="F602" t="s">
        <v>54</v>
      </c>
      <c r="G602" s="1">
        <v>45530</v>
      </c>
      <c r="H602" s="1">
        <v>45541</v>
      </c>
      <c r="I602" s="2">
        <f>Table3[[#This Row],[Discharge_Date]]-Table3[[#This Row],[Admission_Date]]</f>
        <v>11</v>
      </c>
      <c r="J602">
        <v>139</v>
      </c>
      <c r="K602" t="s">
        <v>33</v>
      </c>
      <c r="L602" t="s">
        <v>16</v>
      </c>
      <c r="M602">
        <f>IF(Table3[[#This Row],[Treatment_Success]]="Yes",1,0)</f>
        <v>1</v>
      </c>
      <c r="N602">
        <v>10001</v>
      </c>
    </row>
    <row r="603" spans="1:14" x14ac:dyDescent="0.35">
      <c r="A603" t="s">
        <v>650</v>
      </c>
      <c r="B603">
        <v>84</v>
      </c>
      <c r="C603" t="str">
        <f>_xlfn.IFS(Table3[[#This Row],[Age]]&lt;=10, "Child",Table3[[#This Row],[Age]]&lt;18, "Teenger", Table3[[#This Row],[Age]]&lt;30, "Middle Age", Table3[[#This Row],[Age]]&lt; 60,"Adult",Table3[[#This Row],[Age]],"Senior Citizen")</f>
        <v>Senior Citizen</v>
      </c>
      <c r="D603" t="s">
        <v>12</v>
      </c>
      <c r="E603" t="s">
        <v>13</v>
      </c>
      <c r="F603" t="s">
        <v>56</v>
      </c>
      <c r="G603" s="1">
        <v>45441</v>
      </c>
      <c r="H603" s="1">
        <v>45455</v>
      </c>
      <c r="I603" s="2">
        <f>Table3[[#This Row],[Discharge_Date]]-Table3[[#This Row],[Admission_Date]]</f>
        <v>14</v>
      </c>
      <c r="J603">
        <v>261</v>
      </c>
      <c r="K603" t="s">
        <v>15</v>
      </c>
      <c r="L603" t="s">
        <v>16</v>
      </c>
      <c r="M603">
        <f>IF(Table3[[#This Row],[Treatment_Success]]="Yes",1,0)</f>
        <v>1</v>
      </c>
      <c r="N603">
        <v>132051</v>
      </c>
    </row>
    <row r="604" spans="1:14" x14ac:dyDescent="0.35">
      <c r="A604" t="s">
        <v>651</v>
      </c>
      <c r="B604">
        <v>12</v>
      </c>
      <c r="C604" t="str">
        <f>_xlfn.IFS(Table3[[#This Row],[Age]]&lt;=10, "Child",Table3[[#This Row],[Age]]&lt;18, "Teenger", Table3[[#This Row],[Age]]&lt;30, "Middle Age", Table3[[#This Row],[Age]]&lt; 60,"Adult",Table3[[#This Row],[Age]],"Senior Citizen")</f>
        <v>Teenger</v>
      </c>
      <c r="D604" t="s">
        <v>18</v>
      </c>
      <c r="E604" t="s">
        <v>13</v>
      </c>
      <c r="F604" t="s">
        <v>49</v>
      </c>
      <c r="G604" s="1">
        <v>45597</v>
      </c>
      <c r="H604" s="1">
        <v>45606</v>
      </c>
      <c r="I604" s="2">
        <f>Table3[[#This Row],[Discharge_Date]]-Table3[[#This Row],[Admission_Date]]</f>
        <v>9</v>
      </c>
      <c r="J604">
        <v>235</v>
      </c>
      <c r="K604" t="s">
        <v>15</v>
      </c>
      <c r="L604" t="s">
        <v>16</v>
      </c>
      <c r="M604">
        <f>IF(Table3[[#This Row],[Treatment_Success]]="Yes",1,0)</f>
        <v>1</v>
      </c>
      <c r="N604">
        <v>69852</v>
      </c>
    </row>
    <row r="605" spans="1:14" x14ac:dyDescent="0.35">
      <c r="A605" t="s">
        <v>652</v>
      </c>
      <c r="B605">
        <v>43</v>
      </c>
      <c r="C605" t="str">
        <f>_xlfn.IFS(Table3[[#This Row],[Age]]&lt;=10, "Child",Table3[[#This Row],[Age]]&lt;18, "Teenger", Table3[[#This Row],[Age]]&lt;30, "Middle Age", Table3[[#This Row],[Age]]&lt; 60,"Adult",Table3[[#This Row],[Age]],"Senior Citizen")</f>
        <v>Adult</v>
      </c>
      <c r="D605" t="s">
        <v>12</v>
      </c>
      <c r="E605" t="s">
        <v>31</v>
      </c>
      <c r="F605" t="s">
        <v>25</v>
      </c>
      <c r="G605" s="1">
        <v>45563</v>
      </c>
      <c r="H605" s="1">
        <v>45568</v>
      </c>
      <c r="I605" s="2">
        <f>Table3[[#This Row],[Discharge_Date]]-Table3[[#This Row],[Admission_Date]]</f>
        <v>5</v>
      </c>
      <c r="J605">
        <v>81</v>
      </c>
      <c r="K605" t="s">
        <v>15</v>
      </c>
      <c r="L605" t="s">
        <v>16</v>
      </c>
      <c r="M605">
        <f>IF(Table3[[#This Row],[Treatment_Success]]="Yes",1,0)</f>
        <v>1</v>
      </c>
      <c r="N605">
        <v>184388</v>
      </c>
    </row>
    <row r="606" spans="1:14" x14ac:dyDescent="0.35">
      <c r="A606" t="s">
        <v>653</v>
      </c>
      <c r="B606">
        <v>81</v>
      </c>
      <c r="C606" t="str">
        <f>_xlfn.IFS(Table3[[#This Row],[Age]]&lt;=10, "Child",Table3[[#This Row],[Age]]&lt;18, "Teenger", Table3[[#This Row],[Age]]&lt;30, "Middle Age", Table3[[#This Row],[Age]]&lt; 60,"Adult",Table3[[#This Row],[Age]],"Senior Citizen")</f>
        <v>Senior Citizen</v>
      </c>
      <c r="D606" t="s">
        <v>12</v>
      </c>
      <c r="E606" t="s">
        <v>13</v>
      </c>
      <c r="F606" t="s">
        <v>49</v>
      </c>
      <c r="G606" s="1">
        <v>45472</v>
      </c>
      <c r="H606" s="1">
        <v>45478</v>
      </c>
      <c r="I606" s="2">
        <f>Table3[[#This Row],[Discharge_Date]]-Table3[[#This Row],[Admission_Date]]</f>
        <v>6</v>
      </c>
      <c r="J606">
        <v>142</v>
      </c>
      <c r="K606" t="s">
        <v>15</v>
      </c>
      <c r="L606" t="s">
        <v>16</v>
      </c>
      <c r="M606">
        <f>IF(Table3[[#This Row],[Treatment_Success]]="Yes",1,0)</f>
        <v>1</v>
      </c>
      <c r="N606">
        <v>106494</v>
      </c>
    </row>
    <row r="607" spans="1:14" x14ac:dyDescent="0.35">
      <c r="A607" t="s">
        <v>654</v>
      </c>
      <c r="B607">
        <v>36</v>
      </c>
      <c r="C607" t="str">
        <f>_xlfn.IFS(Table3[[#This Row],[Age]]&lt;=10, "Child",Table3[[#This Row],[Age]]&lt;18, "Teenger", Table3[[#This Row],[Age]]&lt;30, "Middle Age", Table3[[#This Row],[Age]]&lt; 60,"Adult",Table3[[#This Row],[Age]],"Senior Citizen")</f>
        <v>Adult</v>
      </c>
      <c r="D607" t="s">
        <v>18</v>
      </c>
      <c r="E607" t="s">
        <v>13</v>
      </c>
      <c r="F607" t="s">
        <v>95</v>
      </c>
      <c r="G607" s="1">
        <v>45307</v>
      </c>
      <c r="H607" s="1">
        <v>45316</v>
      </c>
      <c r="I607" s="2">
        <f>Table3[[#This Row],[Discharge_Date]]-Table3[[#This Row],[Admission_Date]]</f>
        <v>9</v>
      </c>
      <c r="J607">
        <v>202</v>
      </c>
      <c r="K607" t="s">
        <v>36</v>
      </c>
      <c r="L607" t="s">
        <v>16</v>
      </c>
      <c r="M607">
        <f>IF(Table3[[#This Row],[Treatment_Success]]="Yes",1,0)</f>
        <v>1</v>
      </c>
      <c r="N607">
        <v>196336</v>
      </c>
    </row>
    <row r="608" spans="1:14" x14ac:dyDescent="0.35">
      <c r="A608" t="s">
        <v>655</v>
      </c>
      <c r="B608">
        <v>87</v>
      </c>
      <c r="C608" t="str">
        <f>_xlfn.IFS(Table3[[#This Row],[Age]]&lt;=10, "Child",Table3[[#This Row],[Age]]&lt;18, "Teenger", Table3[[#This Row],[Age]]&lt;30, "Middle Age", Table3[[#This Row],[Age]]&lt; 60,"Adult",Table3[[#This Row],[Age]],"Senior Citizen")</f>
        <v>Senior Citizen</v>
      </c>
      <c r="D608" t="s">
        <v>18</v>
      </c>
      <c r="E608" t="s">
        <v>31</v>
      </c>
      <c r="F608" t="s">
        <v>14</v>
      </c>
      <c r="G608" s="1">
        <v>45487</v>
      </c>
      <c r="H608" s="1">
        <v>45496</v>
      </c>
      <c r="I608" s="2">
        <f>Table3[[#This Row],[Discharge_Date]]-Table3[[#This Row],[Admission_Date]]</f>
        <v>9</v>
      </c>
      <c r="J608">
        <v>294</v>
      </c>
      <c r="K608" t="s">
        <v>36</v>
      </c>
      <c r="L608" t="s">
        <v>26</v>
      </c>
      <c r="M608">
        <f>IF(Table3[[#This Row],[Treatment_Success]]="Yes",1,0)</f>
        <v>0</v>
      </c>
      <c r="N608">
        <v>86889</v>
      </c>
    </row>
    <row r="609" spans="1:14" x14ac:dyDescent="0.35">
      <c r="A609" t="s">
        <v>656</v>
      </c>
      <c r="B609">
        <v>58</v>
      </c>
      <c r="C609" t="str">
        <f>_xlfn.IFS(Table3[[#This Row],[Age]]&lt;=10, "Child",Table3[[#This Row],[Age]]&lt;18, "Teenger", Table3[[#This Row],[Age]]&lt;30, "Middle Age", Table3[[#This Row],[Age]]&lt; 60,"Adult",Table3[[#This Row],[Age]],"Senior Citizen")</f>
        <v>Adult</v>
      </c>
      <c r="D609" t="s">
        <v>18</v>
      </c>
      <c r="E609" t="s">
        <v>13</v>
      </c>
      <c r="F609" t="s">
        <v>68</v>
      </c>
      <c r="G609" s="1">
        <v>45601</v>
      </c>
      <c r="H609" s="1">
        <v>45607</v>
      </c>
      <c r="I609" s="2">
        <f>Table3[[#This Row],[Discharge_Date]]-Table3[[#This Row],[Admission_Date]]</f>
        <v>6</v>
      </c>
      <c r="J609">
        <v>71</v>
      </c>
      <c r="K609" t="s">
        <v>36</v>
      </c>
      <c r="L609" t="s">
        <v>16</v>
      </c>
      <c r="M609">
        <f>IF(Table3[[#This Row],[Treatment_Success]]="Yes",1,0)</f>
        <v>1</v>
      </c>
      <c r="N609">
        <v>86002</v>
      </c>
    </row>
    <row r="610" spans="1:14" x14ac:dyDescent="0.35">
      <c r="A610" t="s">
        <v>657</v>
      </c>
      <c r="B610">
        <v>68</v>
      </c>
      <c r="C610" t="str">
        <f>_xlfn.IFS(Table3[[#This Row],[Age]]&lt;=10, "Child",Table3[[#This Row],[Age]]&lt;18, "Teenger", Table3[[#This Row],[Age]]&lt;30, "Middle Age", Table3[[#This Row],[Age]]&lt; 60,"Adult",Table3[[#This Row],[Age]],"Senior Citizen")</f>
        <v>Senior Citizen</v>
      </c>
      <c r="D610" t="s">
        <v>18</v>
      </c>
      <c r="E610" t="s">
        <v>31</v>
      </c>
      <c r="F610" t="s">
        <v>22</v>
      </c>
      <c r="G610" s="1">
        <v>45644</v>
      </c>
      <c r="H610" s="1">
        <v>45656</v>
      </c>
      <c r="I610" s="2">
        <f>Table3[[#This Row],[Discharge_Date]]-Table3[[#This Row],[Admission_Date]]</f>
        <v>12</v>
      </c>
      <c r="J610">
        <v>75</v>
      </c>
      <c r="K610" t="s">
        <v>36</v>
      </c>
      <c r="L610" t="s">
        <v>16</v>
      </c>
      <c r="M610">
        <f>IF(Table3[[#This Row],[Treatment_Success]]="Yes",1,0)</f>
        <v>1</v>
      </c>
      <c r="N610">
        <v>22777</v>
      </c>
    </row>
    <row r="611" spans="1:14" x14ac:dyDescent="0.35">
      <c r="A611" t="s">
        <v>658</v>
      </c>
      <c r="B611">
        <v>16</v>
      </c>
      <c r="C611" t="str">
        <f>_xlfn.IFS(Table3[[#This Row],[Age]]&lt;=10, "Child",Table3[[#This Row],[Age]]&lt;18, "Teenger", Table3[[#This Row],[Age]]&lt;30, "Middle Age", Table3[[#This Row],[Age]]&lt; 60,"Adult",Table3[[#This Row],[Age]],"Senior Citizen")</f>
        <v>Teenger</v>
      </c>
      <c r="D611" t="s">
        <v>18</v>
      </c>
      <c r="E611" t="s">
        <v>38</v>
      </c>
      <c r="F611" t="s">
        <v>106</v>
      </c>
      <c r="G611" s="1">
        <v>45577</v>
      </c>
      <c r="H611" s="1">
        <v>45586</v>
      </c>
      <c r="I611" s="2">
        <f>Table3[[#This Row],[Discharge_Date]]-Table3[[#This Row],[Admission_Date]]</f>
        <v>9</v>
      </c>
      <c r="J611">
        <v>16</v>
      </c>
      <c r="K611" t="s">
        <v>33</v>
      </c>
      <c r="L611" t="s">
        <v>26</v>
      </c>
      <c r="M611">
        <f>IF(Table3[[#This Row],[Treatment_Success]]="Yes",1,0)</f>
        <v>0</v>
      </c>
      <c r="N611">
        <v>112807</v>
      </c>
    </row>
    <row r="612" spans="1:14" x14ac:dyDescent="0.35">
      <c r="A612" t="s">
        <v>659</v>
      </c>
      <c r="B612">
        <v>82</v>
      </c>
      <c r="C612" t="str">
        <f>_xlfn.IFS(Table3[[#This Row],[Age]]&lt;=10, "Child",Table3[[#This Row],[Age]]&lt;18, "Teenger", Table3[[#This Row],[Age]]&lt;30, "Middle Age", Table3[[#This Row],[Age]]&lt; 60,"Adult",Table3[[#This Row],[Age]],"Senior Citizen")</f>
        <v>Senior Citizen</v>
      </c>
      <c r="D612" t="s">
        <v>12</v>
      </c>
      <c r="E612" t="s">
        <v>13</v>
      </c>
      <c r="F612" t="s">
        <v>22</v>
      </c>
      <c r="G612" s="1">
        <v>45447</v>
      </c>
      <c r="H612" s="1">
        <v>45455</v>
      </c>
      <c r="I612" s="2">
        <f>Table3[[#This Row],[Discharge_Date]]-Table3[[#This Row],[Admission_Date]]</f>
        <v>8</v>
      </c>
      <c r="J612">
        <v>97</v>
      </c>
      <c r="K612" t="s">
        <v>15</v>
      </c>
      <c r="L612" t="s">
        <v>16</v>
      </c>
      <c r="M612">
        <f>IF(Table3[[#This Row],[Treatment_Success]]="Yes",1,0)</f>
        <v>1</v>
      </c>
      <c r="N612">
        <v>53430</v>
      </c>
    </row>
    <row r="613" spans="1:14" x14ac:dyDescent="0.35">
      <c r="A613" t="s">
        <v>660</v>
      </c>
      <c r="B613">
        <v>79</v>
      </c>
      <c r="C613" t="str">
        <f>_xlfn.IFS(Table3[[#This Row],[Age]]&lt;=10, "Child",Table3[[#This Row],[Age]]&lt;18, "Teenger", Table3[[#This Row],[Age]]&lt;30, "Middle Age", Table3[[#This Row],[Age]]&lt; 60,"Adult",Table3[[#This Row],[Age]],"Senior Citizen")</f>
        <v>Senior Citizen</v>
      </c>
      <c r="D613" t="s">
        <v>12</v>
      </c>
      <c r="E613" t="s">
        <v>28</v>
      </c>
      <c r="F613" t="s">
        <v>58</v>
      </c>
      <c r="G613" s="1">
        <v>45305</v>
      </c>
      <c r="H613" s="1">
        <v>45318</v>
      </c>
      <c r="I613" s="2">
        <f>Table3[[#This Row],[Discharge_Date]]-Table3[[#This Row],[Admission_Date]]</f>
        <v>13</v>
      </c>
      <c r="J613">
        <v>119</v>
      </c>
      <c r="K613" t="s">
        <v>36</v>
      </c>
      <c r="L613" t="s">
        <v>16</v>
      </c>
      <c r="M613">
        <f>IF(Table3[[#This Row],[Treatment_Success]]="Yes",1,0)</f>
        <v>1</v>
      </c>
      <c r="N613">
        <v>185191</v>
      </c>
    </row>
    <row r="614" spans="1:14" x14ac:dyDescent="0.35">
      <c r="A614" t="s">
        <v>661</v>
      </c>
      <c r="B614">
        <v>11</v>
      </c>
      <c r="C614" t="str">
        <f>_xlfn.IFS(Table3[[#This Row],[Age]]&lt;=10, "Child",Table3[[#This Row],[Age]]&lt;18, "Teenger", Table3[[#This Row],[Age]]&lt;30, "Middle Age", Table3[[#This Row],[Age]]&lt; 60,"Adult",Table3[[#This Row],[Age]],"Senior Citizen")</f>
        <v>Teenger</v>
      </c>
      <c r="D614" t="s">
        <v>12</v>
      </c>
      <c r="E614" t="s">
        <v>13</v>
      </c>
      <c r="F614" t="s">
        <v>49</v>
      </c>
      <c r="G614" s="1">
        <v>45305</v>
      </c>
      <c r="H614" s="1">
        <v>45311</v>
      </c>
      <c r="I614" s="2">
        <f>Table3[[#This Row],[Discharge_Date]]-Table3[[#This Row],[Admission_Date]]</f>
        <v>6</v>
      </c>
      <c r="J614">
        <v>241</v>
      </c>
      <c r="K614" t="s">
        <v>33</v>
      </c>
      <c r="L614" t="s">
        <v>16</v>
      </c>
      <c r="M614">
        <f>IF(Table3[[#This Row],[Treatment_Success]]="Yes",1,0)</f>
        <v>1</v>
      </c>
      <c r="N614">
        <v>106570</v>
      </c>
    </row>
    <row r="615" spans="1:14" x14ac:dyDescent="0.35">
      <c r="A615" t="s">
        <v>662</v>
      </c>
      <c r="B615">
        <v>18</v>
      </c>
      <c r="C615" t="str">
        <f>_xlfn.IFS(Table3[[#This Row],[Age]]&lt;=10, "Child",Table3[[#This Row],[Age]]&lt;18, "Teenger", Table3[[#This Row],[Age]]&lt;30, "Middle Age", Table3[[#This Row],[Age]]&lt; 60,"Adult",Table3[[#This Row],[Age]],"Senior Citizen")</f>
        <v>Middle Age</v>
      </c>
      <c r="D615" t="s">
        <v>18</v>
      </c>
      <c r="E615" t="s">
        <v>13</v>
      </c>
      <c r="F615" t="s">
        <v>14</v>
      </c>
      <c r="G615" s="1">
        <v>45543</v>
      </c>
      <c r="H615" s="1">
        <v>45551</v>
      </c>
      <c r="I615" s="2">
        <f>Table3[[#This Row],[Discharge_Date]]-Table3[[#This Row],[Admission_Date]]</f>
        <v>8</v>
      </c>
      <c r="J615">
        <v>17</v>
      </c>
      <c r="K615" t="s">
        <v>46</v>
      </c>
      <c r="L615" t="s">
        <v>16</v>
      </c>
      <c r="M615">
        <f>IF(Table3[[#This Row],[Treatment_Success]]="Yes",1,0)</f>
        <v>1</v>
      </c>
      <c r="N615">
        <v>75741</v>
      </c>
    </row>
    <row r="616" spans="1:14" x14ac:dyDescent="0.35">
      <c r="A616" t="s">
        <v>663</v>
      </c>
      <c r="B616">
        <v>86</v>
      </c>
      <c r="C616" t="str">
        <f>_xlfn.IFS(Table3[[#This Row],[Age]]&lt;=10, "Child",Table3[[#This Row],[Age]]&lt;18, "Teenger", Table3[[#This Row],[Age]]&lt;30, "Middle Age", Table3[[#This Row],[Age]]&lt; 60,"Adult",Table3[[#This Row],[Age]],"Senior Citizen")</f>
        <v>Senior Citizen</v>
      </c>
      <c r="D616" t="s">
        <v>18</v>
      </c>
      <c r="E616" t="s">
        <v>13</v>
      </c>
      <c r="F616" t="s">
        <v>45</v>
      </c>
      <c r="G616" s="1">
        <v>45503</v>
      </c>
      <c r="H616" s="1">
        <v>45507</v>
      </c>
      <c r="I616" s="2">
        <f>Table3[[#This Row],[Discharge_Date]]-Table3[[#This Row],[Admission_Date]]</f>
        <v>4</v>
      </c>
      <c r="J616">
        <v>91</v>
      </c>
      <c r="K616" t="s">
        <v>46</v>
      </c>
      <c r="L616" t="s">
        <v>26</v>
      </c>
      <c r="M616">
        <f>IF(Table3[[#This Row],[Treatment_Success]]="Yes",1,0)</f>
        <v>0</v>
      </c>
      <c r="N616">
        <v>185319</v>
      </c>
    </row>
    <row r="617" spans="1:14" x14ac:dyDescent="0.35">
      <c r="A617" t="s">
        <v>664</v>
      </c>
      <c r="B617">
        <v>59</v>
      </c>
      <c r="C617" t="str">
        <f>_xlfn.IFS(Table3[[#This Row],[Age]]&lt;=10, "Child",Table3[[#This Row],[Age]]&lt;18, "Teenger", Table3[[#This Row],[Age]]&lt;30, "Middle Age", Table3[[#This Row],[Age]]&lt; 60,"Adult",Table3[[#This Row],[Age]],"Senior Citizen")</f>
        <v>Adult</v>
      </c>
      <c r="D617" t="s">
        <v>18</v>
      </c>
      <c r="E617" t="s">
        <v>31</v>
      </c>
      <c r="F617" t="s">
        <v>56</v>
      </c>
      <c r="G617" s="1">
        <v>45458</v>
      </c>
      <c r="H617" s="1">
        <v>45472</v>
      </c>
      <c r="I617" s="2">
        <f>Table3[[#This Row],[Discharge_Date]]-Table3[[#This Row],[Admission_Date]]</f>
        <v>14</v>
      </c>
      <c r="J617">
        <v>22</v>
      </c>
      <c r="K617" t="s">
        <v>46</v>
      </c>
      <c r="L617" t="s">
        <v>16</v>
      </c>
      <c r="M617">
        <f>IF(Table3[[#This Row],[Treatment_Success]]="Yes",1,0)</f>
        <v>1</v>
      </c>
      <c r="N617">
        <v>108324</v>
      </c>
    </row>
    <row r="618" spans="1:14" x14ac:dyDescent="0.35">
      <c r="A618" t="s">
        <v>665</v>
      </c>
      <c r="B618">
        <v>74</v>
      </c>
      <c r="C618" t="str">
        <f>_xlfn.IFS(Table3[[#This Row],[Age]]&lt;=10, "Child",Table3[[#This Row],[Age]]&lt;18, "Teenger", Table3[[#This Row],[Age]]&lt;30, "Middle Age", Table3[[#This Row],[Age]]&lt; 60,"Adult",Table3[[#This Row],[Age]],"Senior Citizen")</f>
        <v>Senior Citizen</v>
      </c>
      <c r="D618" t="s">
        <v>18</v>
      </c>
      <c r="E618" t="s">
        <v>28</v>
      </c>
      <c r="F618" t="s">
        <v>90</v>
      </c>
      <c r="G618" s="1">
        <v>45605</v>
      </c>
      <c r="H618" s="1">
        <v>45617</v>
      </c>
      <c r="I618" s="2">
        <f>Table3[[#This Row],[Discharge_Date]]-Table3[[#This Row],[Admission_Date]]</f>
        <v>12</v>
      </c>
      <c r="J618">
        <v>232</v>
      </c>
      <c r="K618" t="s">
        <v>46</v>
      </c>
      <c r="L618" t="s">
        <v>16</v>
      </c>
      <c r="M618">
        <f>IF(Table3[[#This Row],[Treatment_Success]]="Yes",1,0)</f>
        <v>1</v>
      </c>
      <c r="N618">
        <v>69414</v>
      </c>
    </row>
    <row r="619" spans="1:14" x14ac:dyDescent="0.35">
      <c r="A619" t="s">
        <v>666</v>
      </c>
      <c r="B619">
        <v>51</v>
      </c>
      <c r="C619" t="str">
        <f>_xlfn.IFS(Table3[[#This Row],[Age]]&lt;=10, "Child",Table3[[#This Row],[Age]]&lt;18, "Teenger", Table3[[#This Row],[Age]]&lt;30, "Middle Age", Table3[[#This Row],[Age]]&lt; 60,"Adult",Table3[[#This Row],[Age]],"Senior Citizen")</f>
        <v>Adult</v>
      </c>
      <c r="D619" t="s">
        <v>18</v>
      </c>
      <c r="E619" t="s">
        <v>28</v>
      </c>
      <c r="F619" t="s">
        <v>56</v>
      </c>
      <c r="G619" s="1">
        <v>45557</v>
      </c>
      <c r="H619" s="1">
        <v>45566</v>
      </c>
      <c r="I619" s="2">
        <f>Table3[[#This Row],[Discharge_Date]]-Table3[[#This Row],[Admission_Date]]</f>
        <v>9</v>
      </c>
      <c r="J619">
        <v>265</v>
      </c>
      <c r="K619" t="s">
        <v>15</v>
      </c>
      <c r="L619" t="s">
        <v>16</v>
      </c>
      <c r="M619">
        <f>IF(Table3[[#This Row],[Treatment_Success]]="Yes",1,0)</f>
        <v>1</v>
      </c>
      <c r="N619">
        <v>81330</v>
      </c>
    </row>
    <row r="620" spans="1:14" x14ac:dyDescent="0.35">
      <c r="A620" t="s">
        <v>667</v>
      </c>
      <c r="B620">
        <v>39</v>
      </c>
      <c r="C620" t="str">
        <f>_xlfn.IFS(Table3[[#This Row],[Age]]&lt;=10, "Child",Table3[[#This Row],[Age]]&lt;18, "Teenger", Table3[[#This Row],[Age]]&lt;30, "Middle Age", Table3[[#This Row],[Age]]&lt; 60,"Adult",Table3[[#This Row],[Age]],"Senior Citizen")</f>
        <v>Adult</v>
      </c>
      <c r="D620" t="s">
        <v>12</v>
      </c>
      <c r="E620" t="s">
        <v>31</v>
      </c>
      <c r="F620" t="s">
        <v>66</v>
      </c>
      <c r="G620" s="1">
        <v>45517</v>
      </c>
      <c r="H620" s="1">
        <v>45524</v>
      </c>
      <c r="I620" s="2">
        <f>Table3[[#This Row],[Discharge_Date]]-Table3[[#This Row],[Admission_Date]]</f>
        <v>7</v>
      </c>
      <c r="J620">
        <v>217</v>
      </c>
      <c r="K620" t="s">
        <v>33</v>
      </c>
      <c r="L620" t="s">
        <v>16</v>
      </c>
      <c r="M620">
        <f>IF(Table3[[#This Row],[Treatment_Success]]="Yes",1,0)</f>
        <v>1</v>
      </c>
      <c r="N620">
        <v>185867</v>
      </c>
    </row>
    <row r="621" spans="1:14" x14ac:dyDescent="0.35">
      <c r="A621" t="s">
        <v>668</v>
      </c>
      <c r="B621">
        <v>19</v>
      </c>
      <c r="C621" t="str">
        <f>_xlfn.IFS(Table3[[#This Row],[Age]]&lt;=10, "Child",Table3[[#This Row],[Age]]&lt;18, "Teenger", Table3[[#This Row],[Age]]&lt;30, "Middle Age", Table3[[#This Row],[Age]]&lt; 60,"Adult",Table3[[#This Row],[Age]],"Senior Citizen")</f>
        <v>Middle Age</v>
      </c>
      <c r="D621" t="s">
        <v>12</v>
      </c>
      <c r="E621" t="s">
        <v>31</v>
      </c>
      <c r="F621" t="s">
        <v>45</v>
      </c>
      <c r="G621" s="1">
        <v>45556</v>
      </c>
      <c r="H621" s="1">
        <v>45571</v>
      </c>
      <c r="I621" s="2">
        <f>Table3[[#This Row],[Discharge_Date]]-Table3[[#This Row],[Admission_Date]]</f>
        <v>15</v>
      </c>
      <c r="J621">
        <v>257</v>
      </c>
      <c r="K621" t="s">
        <v>15</v>
      </c>
      <c r="L621" t="s">
        <v>16</v>
      </c>
      <c r="M621">
        <f>IF(Table3[[#This Row],[Treatment_Success]]="Yes",1,0)</f>
        <v>1</v>
      </c>
      <c r="N621">
        <v>158471</v>
      </c>
    </row>
    <row r="622" spans="1:14" x14ac:dyDescent="0.35">
      <c r="A622" t="s">
        <v>669</v>
      </c>
      <c r="B622">
        <v>18</v>
      </c>
      <c r="C622" t="str">
        <f>_xlfn.IFS(Table3[[#This Row],[Age]]&lt;=10, "Child",Table3[[#This Row],[Age]]&lt;18, "Teenger", Table3[[#This Row],[Age]]&lt;30, "Middle Age", Table3[[#This Row],[Age]]&lt; 60,"Adult",Table3[[#This Row],[Age]],"Senior Citizen")</f>
        <v>Middle Age</v>
      </c>
      <c r="D622" t="s">
        <v>12</v>
      </c>
      <c r="E622" t="s">
        <v>31</v>
      </c>
      <c r="F622" t="s">
        <v>95</v>
      </c>
      <c r="G622" s="1">
        <v>45648</v>
      </c>
      <c r="H622" s="1">
        <v>45657</v>
      </c>
      <c r="I622" s="2">
        <f>Table3[[#This Row],[Discharge_Date]]-Table3[[#This Row],[Admission_Date]]</f>
        <v>9</v>
      </c>
      <c r="J622">
        <v>231</v>
      </c>
      <c r="K622" t="s">
        <v>15</v>
      </c>
      <c r="L622" t="s">
        <v>16</v>
      </c>
      <c r="M622">
        <f>IF(Table3[[#This Row],[Treatment_Success]]="Yes",1,0)</f>
        <v>1</v>
      </c>
      <c r="N622">
        <v>123929</v>
      </c>
    </row>
    <row r="623" spans="1:14" x14ac:dyDescent="0.35">
      <c r="A623" t="s">
        <v>670</v>
      </c>
      <c r="B623">
        <v>26</v>
      </c>
      <c r="C623" t="str">
        <f>_xlfn.IFS(Table3[[#This Row],[Age]]&lt;=10, "Child",Table3[[#This Row],[Age]]&lt;18, "Teenger", Table3[[#This Row],[Age]]&lt;30, "Middle Age", Table3[[#This Row],[Age]]&lt; 60,"Adult",Table3[[#This Row],[Age]],"Senior Citizen")</f>
        <v>Middle Age</v>
      </c>
      <c r="D623" t="s">
        <v>12</v>
      </c>
      <c r="E623" t="s">
        <v>24</v>
      </c>
      <c r="F623" t="s">
        <v>32</v>
      </c>
      <c r="G623" s="1">
        <v>45594</v>
      </c>
      <c r="H623" s="1">
        <v>45609</v>
      </c>
      <c r="I623" s="2">
        <f>Table3[[#This Row],[Discharge_Date]]-Table3[[#This Row],[Admission_Date]]</f>
        <v>15</v>
      </c>
      <c r="J623">
        <v>166</v>
      </c>
      <c r="K623" t="s">
        <v>36</v>
      </c>
      <c r="L623" t="s">
        <v>16</v>
      </c>
      <c r="M623">
        <f>IF(Table3[[#This Row],[Treatment_Success]]="Yes",1,0)</f>
        <v>1</v>
      </c>
      <c r="N623">
        <v>28905</v>
      </c>
    </row>
    <row r="624" spans="1:14" x14ac:dyDescent="0.35">
      <c r="A624" t="s">
        <v>671</v>
      </c>
      <c r="B624">
        <v>58</v>
      </c>
      <c r="C624" t="str">
        <f>_xlfn.IFS(Table3[[#This Row],[Age]]&lt;=10, "Child",Table3[[#This Row],[Age]]&lt;18, "Teenger", Table3[[#This Row],[Age]]&lt;30, "Middle Age", Table3[[#This Row],[Age]]&lt; 60,"Adult",Table3[[#This Row],[Age]],"Senior Citizen")</f>
        <v>Adult</v>
      </c>
      <c r="D624" t="s">
        <v>12</v>
      </c>
      <c r="E624" t="s">
        <v>24</v>
      </c>
      <c r="F624" t="s">
        <v>49</v>
      </c>
      <c r="G624" s="1">
        <v>45350</v>
      </c>
      <c r="H624" s="1">
        <v>45362</v>
      </c>
      <c r="I624" s="2">
        <f>Table3[[#This Row],[Discharge_Date]]-Table3[[#This Row],[Admission_Date]]</f>
        <v>12</v>
      </c>
      <c r="J624">
        <v>197</v>
      </c>
      <c r="K624" t="s">
        <v>36</v>
      </c>
      <c r="L624" t="s">
        <v>26</v>
      </c>
      <c r="M624">
        <f>IF(Table3[[#This Row],[Treatment_Success]]="Yes",1,0)</f>
        <v>0</v>
      </c>
      <c r="N624">
        <v>149269</v>
      </c>
    </row>
    <row r="625" spans="1:14" x14ac:dyDescent="0.35">
      <c r="A625" t="s">
        <v>672</v>
      </c>
      <c r="B625">
        <v>22</v>
      </c>
      <c r="C625" t="str">
        <f>_xlfn.IFS(Table3[[#This Row],[Age]]&lt;=10, "Child",Table3[[#This Row],[Age]]&lt;18, "Teenger", Table3[[#This Row],[Age]]&lt;30, "Middle Age", Table3[[#This Row],[Age]]&lt; 60,"Adult",Table3[[#This Row],[Age]],"Senior Citizen")</f>
        <v>Middle Age</v>
      </c>
      <c r="D625" t="s">
        <v>12</v>
      </c>
      <c r="E625" t="s">
        <v>28</v>
      </c>
      <c r="F625" t="s">
        <v>54</v>
      </c>
      <c r="G625" s="1">
        <v>45486</v>
      </c>
      <c r="H625" s="1">
        <v>45487</v>
      </c>
      <c r="I625" s="2">
        <f>Table3[[#This Row],[Discharge_Date]]-Table3[[#This Row],[Admission_Date]]</f>
        <v>1</v>
      </c>
      <c r="J625">
        <v>77</v>
      </c>
      <c r="K625" t="s">
        <v>36</v>
      </c>
      <c r="L625" t="s">
        <v>16</v>
      </c>
      <c r="M625">
        <f>IF(Table3[[#This Row],[Treatment_Success]]="Yes",1,0)</f>
        <v>1</v>
      </c>
      <c r="N625">
        <v>51888</v>
      </c>
    </row>
    <row r="626" spans="1:14" x14ac:dyDescent="0.35">
      <c r="A626" t="s">
        <v>673</v>
      </c>
      <c r="B626">
        <v>54</v>
      </c>
      <c r="C626" t="str">
        <f>_xlfn.IFS(Table3[[#This Row],[Age]]&lt;=10, "Child",Table3[[#This Row],[Age]]&lt;18, "Teenger", Table3[[#This Row],[Age]]&lt;30, "Middle Age", Table3[[#This Row],[Age]]&lt; 60,"Adult",Table3[[#This Row],[Age]],"Senior Citizen")</f>
        <v>Adult</v>
      </c>
      <c r="D626" t="s">
        <v>12</v>
      </c>
      <c r="E626" t="s">
        <v>38</v>
      </c>
      <c r="F626" t="s">
        <v>25</v>
      </c>
      <c r="G626" s="1">
        <v>45656</v>
      </c>
      <c r="H626" s="1">
        <v>45657</v>
      </c>
      <c r="I626" s="2">
        <f>Table3[[#This Row],[Discharge_Date]]-Table3[[#This Row],[Admission_Date]]</f>
        <v>1</v>
      </c>
      <c r="J626">
        <v>229</v>
      </c>
      <c r="K626" t="s">
        <v>33</v>
      </c>
      <c r="L626" t="s">
        <v>16</v>
      </c>
      <c r="M626">
        <f>IF(Table3[[#This Row],[Treatment_Success]]="Yes",1,0)</f>
        <v>1</v>
      </c>
      <c r="N626">
        <v>35816</v>
      </c>
    </row>
    <row r="627" spans="1:14" x14ac:dyDescent="0.35">
      <c r="A627" t="s">
        <v>674</v>
      </c>
      <c r="B627">
        <v>1</v>
      </c>
      <c r="C627" t="str">
        <f>_xlfn.IFS(Table3[[#This Row],[Age]]&lt;=10, "Child",Table3[[#This Row],[Age]]&lt;18, "Teenger", Table3[[#This Row],[Age]]&lt;30, "Middle Age", Table3[[#This Row],[Age]]&lt; 60,"Adult",Table3[[#This Row],[Age]],"Senior Citizen")</f>
        <v>Child</v>
      </c>
      <c r="D627" t="s">
        <v>12</v>
      </c>
      <c r="E627" t="s">
        <v>24</v>
      </c>
      <c r="F627" t="s">
        <v>20</v>
      </c>
      <c r="G627" s="1">
        <v>45359</v>
      </c>
      <c r="H627" s="1">
        <v>45363</v>
      </c>
      <c r="I627" s="2">
        <f>Table3[[#This Row],[Discharge_Date]]-Table3[[#This Row],[Admission_Date]]</f>
        <v>4</v>
      </c>
      <c r="J627">
        <v>255</v>
      </c>
      <c r="K627" t="s">
        <v>46</v>
      </c>
      <c r="L627" t="s">
        <v>16</v>
      </c>
      <c r="M627">
        <f>IF(Table3[[#This Row],[Treatment_Success]]="Yes",1,0)</f>
        <v>1</v>
      </c>
      <c r="N627">
        <v>164379</v>
      </c>
    </row>
    <row r="628" spans="1:14" x14ac:dyDescent="0.35">
      <c r="A628" t="s">
        <v>675</v>
      </c>
      <c r="B628">
        <v>28</v>
      </c>
      <c r="C628" t="str">
        <f>_xlfn.IFS(Table3[[#This Row],[Age]]&lt;=10, "Child",Table3[[#This Row],[Age]]&lt;18, "Teenger", Table3[[#This Row],[Age]]&lt;30, "Middle Age", Table3[[#This Row],[Age]]&lt; 60,"Adult",Table3[[#This Row],[Age]],"Senior Citizen")</f>
        <v>Middle Age</v>
      </c>
      <c r="D628" t="s">
        <v>12</v>
      </c>
      <c r="E628" t="s">
        <v>31</v>
      </c>
      <c r="F628" t="s">
        <v>93</v>
      </c>
      <c r="G628" s="1">
        <v>45544</v>
      </c>
      <c r="H628" s="1">
        <v>45548</v>
      </c>
      <c r="I628" s="2">
        <f>Table3[[#This Row],[Discharge_Date]]-Table3[[#This Row],[Admission_Date]]</f>
        <v>4</v>
      </c>
      <c r="J628">
        <v>227</v>
      </c>
      <c r="K628" t="s">
        <v>15</v>
      </c>
      <c r="L628" t="s">
        <v>16</v>
      </c>
      <c r="M628">
        <f>IF(Table3[[#This Row],[Treatment_Success]]="Yes",1,0)</f>
        <v>1</v>
      </c>
      <c r="N628">
        <v>69150</v>
      </c>
    </row>
    <row r="629" spans="1:14" x14ac:dyDescent="0.35">
      <c r="A629" t="s">
        <v>676</v>
      </c>
      <c r="B629">
        <v>80</v>
      </c>
      <c r="C629" t="str">
        <f>_xlfn.IFS(Table3[[#This Row],[Age]]&lt;=10, "Child",Table3[[#This Row],[Age]]&lt;18, "Teenger", Table3[[#This Row],[Age]]&lt;30, "Middle Age", Table3[[#This Row],[Age]]&lt; 60,"Adult",Table3[[#This Row],[Age]],"Senior Citizen")</f>
        <v>Senior Citizen</v>
      </c>
      <c r="D629" t="s">
        <v>18</v>
      </c>
      <c r="E629" t="s">
        <v>24</v>
      </c>
      <c r="F629" t="s">
        <v>66</v>
      </c>
      <c r="G629" s="1">
        <v>45572</v>
      </c>
      <c r="H629" s="1">
        <v>45577</v>
      </c>
      <c r="I629" s="2">
        <f>Table3[[#This Row],[Discharge_Date]]-Table3[[#This Row],[Admission_Date]]</f>
        <v>5</v>
      </c>
      <c r="J629">
        <v>76</v>
      </c>
      <c r="K629" t="s">
        <v>15</v>
      </c>
      <c r="L629" t="s">
        <v>16</v>
      </c>
      <c r="M629">
        <f>IF(Table3[[#This Row],[Treatment_Success]]="Yes",1,0)</f>
        <v>1</v>
      </c>
      <c r="N629">
        <v>14626</v>
      </c>
    </row>
    <row r="630" spans="1:14" x14ac:dyDescent="0.35">
      <c r="A630" t="s">
        <v>677</v>
      </c>
      <c r="B630">
        <v>5</v>
      </c>
      <c r="C630" t="str">
        <f>_xlfn.IFS(Table3[[#This Row],[Age]]&lt;=10, "Child",Table3[[#This Row],[Age]]&lt;18, "Teenger", Table3[[#This Row],[Age]]&lt;30, "Middle Age", Table3[[#This Row],[Age]]&lt; 60,"Adult",Table3[[#This Row],[Age]],"Senior Citizen")</f>
        <v>Child</v>
      </c>
      <c r="D630" t="s">
        <v>12</v>
      </c>
      <c r="E630" t="s">
        <v>38</v>
      </c>
      <c r="F630" t="s">
        <v>45</v>
      </c>
      <c r="G630" s="1">
        <v>45366</v>
      </c>
      <c r="H630" s="1">
        <v>45380</v>
      </c>
      <c r="I630" s="2">
        <f>Table3[[#This Row],[Discharge_Date]]-Table3[[#This Row],[Admission_Date]]</f>
        <v>14</v>
      </c>
      <c r="J630">
        <v>26</v>
      </c>
      <c r="K630" t="s">
        <v>15</v>
      </c>
      <c r="L630" t="s">
        <v>26</v>
      </c>
      <c r="M630">
        <f>IF(Table3[[#This Row],[Treatment_Success]]="Yes",1,0)</f>
        <v>0</v>
      </c>
      <c r="N630">
        <v>51726</v>
      </c>
    </row>
    <row r="631" spans="1:14" x14ac:dyDescent="0.35">
      <c r="A631" t="s">
        <v>678</v>
      </c>
      <c r="B631">
        <v>37</v>
      </c>
      <c r="C631" t="str">
        <f>_xlfn.IFS(Table3[[#This Row],[Age]]&lt;=10, "Child",Table3[[#This Row],[Age]]&lt;18, "Teenger", Table3[[#This Row],[Age]]&lt;30, "Middle Age", Table3[[#This Row],[Age]]&lt; 60,"Adult",Table3[[#This Row],[Age]],"Senior Citizen")</f>
        <v>Adult</v>
      </c>
      <c r="D631" t="s">
        <v>18</v>
      </c>
      <c r="E631" t="s">
        <v>31</v>
      </c>
      <c r="F631" t="s">
        <v>25</v>
      </c>
      <c r="G631" s="1">
        <v>45374</v>
      </c>
      <c r="H631" s="1">
        <v>45385</v>
      </c>
      <c r="I631" s="2">
        <f>Table3[[#This Row],[Discharge_Date]]-Table3[[#This Row],[Admission_Date]]</f>
        <v>11</v>
      </c>
      <c r="J631">
        <v>297</v>
      </c>
      <c r="K631" t="s">
        <v>33</v>
      </c>
      <c r="L631" t="s">
        <v>16</v>
      </c>
      <c r="M631">
        <f>IF(Table3[[#This Row],[Treatment_Success]]="Yes",1,0)</f>
        <v>1</v>
      </c>
      <c r="N631">
        <v>29412</v>
      </c>
    </row>
    <row r="632" spans="1:14" x14ac:dyDescent="0.35">
      <c r="A632" t="s">
        <v>679</v>
      </c>
      <c r="B632">
        <v>48</v>
      </c>
      <c r="C632" t="str">
        <f>_xlfn.IFS(Table3[[#This Row],[Age]]&lt;=10, "Child",Table3[[#This Row],[Age]]&lt;18, "Teenger", Table3[[#This Row],[Age]]&lt;30, "Middle Age", Table3[[#This Row],[Age]]&lt; 60,"Adult",Table3[[#This Row],[Age]],"Senior Citizen")</f>
        <v>Adult</v>
      </c>
      <c r="D632" t="s">
        <v>12</v>
      </c>
      <c r="E632" t="s">
        <v>24</v>
      </c>
      <c r="F632" t="s">
        <v>22</v>
      </c>
      <c r="G632" s="1">
        <v>45445</v>
      </c>
      <c r="H632" s="1">
        <v>45451</v>
      </c>
      <c r="I632" s="2">
        <f>Table3[[#This Row],[Discharge_Date]]-Table3[[#This Row],[Admission_Date]]</f>
        <v>6</v>
      </c>
      <c r="J632">
        <v>219</v>
      </c>
      <c r="K632" t="s">
        <v>15</v>
      </c>
      <c r="L632" t="s">
        <v>16</v>
      </c>
      <c r="M632">
        <f>IF(Table3[[#This Row],[Treatment_Success]]="Yes",1,0)</f>
        <v>1</v>
      </c>
      <c r="N632">
        <v>128421</v>
      </c>
    </row>
    <row r="633" spans="1:14" x14ac:dyDescent="0.35">
      <c r="A633" t="s">
        <v>680</v>
      </c>
      <c r="B633">
        <v>89</v>
      </c>
      <c r="C633" t="str">
        <f>_xlfn.IFS(Table3[[#This Row],[Age]]&lt;=10, "Child",Table3[[#This Row],[Age]]&lt;18, "Teenger", Table3[[#This Row],[Age]]&lt;30, "Middle Age", Table3[[#This Row],[Age]]&lt; 60,"Adult",Table3[[#This Row],[Age]],"Senior Citizen")</f>
        <v>Senior Citizen</v>
      </c>
      <c r="D633" t="s">
        <v>12</v>
      </c>
      <c r="E633" t="s">
        <v>38</v>
      </c>
      <c r="F633" t="s">
        <v>49</v>
      </c>
      <c r="G633" s="1">
        <v>45360</v>
      </c>
      <c r="H633" s="1">
        <v>45362</v>
      </c>
      <c r="I633" s="2">
        <f>Table3[[#This Row],[Discharge_Date]]-Table3[[#This Row],[Admission_Date]]</f>
        <v>2</v>
      </c>
      <c r="J633">
        <v>212</v>
      </c>
      <c r="K633" t="s">
        <v>36</v>
      </c>
      <c r="L633" t="s">
        <v>16</v>
      </c>
      <c r="M633">
        <f>IF(Table3[[#This Row],[Treatment_Success]]="Yes",1,0)</f>
        <v>1</v>
      </c>
      <c r="N633">
        <v>165446</v>
      </c>
    </row>
    <row r="634" spans="1:14" x14ac:dyDescent="0.35">
      <c r="A634" t="s">
        <v>681</v>
      </c>
      <c r="B634">
        <v>74</v>
      </c>
      <c r="C634" t="str">
        <f>_xlfn.IFS(Table3[[#This Row],[Age]]&lt;=10, "Child",Table3[[#This Row],[Age]]&lt;18, "Teenger", Table3[[#This Row],[Age]]&lt;30, "Middle Age", Table3[[#This Row],[Age]]&lt; 60,"Adult",Table3[[#This Row],[Age]],"Senior Citizen")</f>
        <v>Senior Citizen</v>
      </c>
      <c r="D634" t="s">
        <v>18</v>
      </c>
      <c r="E634" t="s">
        <v>31</v>
      </c>
      <c r="F634" t="s">
        <v>25</v>
      </c>
      <c r="G634" s="1">
        <v>45321</v>
      </c>
      <c r="H634" s="1">
        <v>45323</v>
      </c>
      <c r="I634" s="2">
        <f>Table3[[#This Row],[Discharge_Date]]-Table3[[#This Row],[Admission_Date]]</f>
        <v>2</v>
      </c>
      <c r="J634">
        <v>148</v>
      </c>
      <c r="K634" t="s">
        <v>46</v>
      </c>
      <c r="L634" t="s">
        <v>16</v>
      </c>
      <c r="M634">
        <f>IF(Table3[[#This Row],[Treatment_Success]]="Yes",1,0)</f>
        <v>1</v>
      </c>
      <c r="N634">
        <v>73068</v>
      </c>
    </row>
    <row r="635" spans="1:14" x14ac:dyDescent="0.35">
      <c r="A635" t="s">
        <v>682</v>
      </c>
      <c r="B635">
        <v>80</v>
      </c>
      <c r="C635" t="str">
        <f>_xlfn.IFS(Table3[[#This Row],[Age]]&lt;=10, "Child",Table3[[#This Row],[Age]]&lt;18, "Teenger", Table3[[#This Row],[Age]]&lt;30, "Middle Age", Table3[[#This Row],[Age]]&lt; 60,"Adult",Table3[[#This Row],[Age]],"Senior Citizen")</f>
        <v>Senior Citizen</v>
      </c>
      <c r="D635" t="s">
        <v>12</v>
      </c>
      <c r="E635" t="s">
        <v>13</v>
      </c>
      <c r="F635" t="s">
        <v>35</v>
      </c>
      <c r="G635" s="1">
        <v>45561</v>
      </c>
      <c r="H635" s="1">
        <v>45571</v>
      </c>
      <c r="I635" s="2">
        <f>Table3[[#This Row],[Discharge_Date]]-Table3[[#This Row],[Admission_Date]]</f>
        <v>10</v>
      </c>
      <c r="J635">
        <v>289</v>
      </c>
      <c r="K635" t="s">
        <v>46</v>
      </c>
      <c r="L635" t="s">
        <v>26</v>
      </c>
      <c r="M635">
        <f>IF(Table3[[#This Row],[Treatment_Success]]="Yes",1,0)</f>
        <v>0</v>
      </c>
      <c r="N635">
        <v>134107</v>
      </c>
    </row>
    <row r="636" spans="1:14" x14ac:dyDescent="0.35">
      <c r="A636" t="s">
        <v>683</v>
      </c>
      <c r="B636">
        <v>79</v>
      </c>
      <c r="C636" t="str">
        <f>_xlfn.IFS(Table3[[#This Row],[Age]]&lt;=10, "Child",Table3[[#This Row],[Age]]&lt;18, "Teenger", Table3[[#This Row],[Age]]&lt;30, "Middle Age", Table3[[#This Row],[Age]]&lt; 60,"Adult",Table3[[#This Row],[Age]],"Senior Citizen")</f>
        <v>Senior Citizen</v>
      </c>
      <c r="D636" t="s">
        <v>18</v>
      </c>
      <c r="E636" t="s">
        <v>38</v>
      </c>
      <c r="F636" t="s">
        <v>29</v>
      </c>
      <c r="G636" s="1">
        <v>45384</v>
      </c>
      <c r="H636" s="1">
        <v>45399</v>
      </c>
      <c r="I636" s="2">
        <f>Table3[[#This Row],[Discharge_Date]]-Table3[[#This Row],[Admission_Date]]</f>
        <v>15</v>
      </c>
      <c r="J636">
        <v>1</v>
      </c>
      <c r="K636" t="s">
        <v>15</v>
      </c>
      <c r="L636" t="s">
        <v>16</v>
      </c>
      <c r="M636">
        <f>IF(Table3[[#This Row],[Treatment_Success]]="Yes",1,0)</f>
        <v>1</v>
      </c>
      <c r="N636">
        <v>126866</v>
      </c>
    </row>
    <row r="637" spans="1:14" x14ac:dyDescent="0.35">
      <c r="A637" t="s">
        <v>684</v>
      </c>
      <c r="B637">
        <v>16</v>
      </c>
      <c r="C637" t="str">
        <f>_xlfn.IFS(Table3[[#This Row],[Age]]&lt;=10, "Child",Table3[[#This Row],[Age]]&lt;18, "Teenger", Table3[[#This Row],[Age]]&lt;30, "Middle Age", Table3[[#This Row],[Age]]&lt; 60,"Adult",Table3[[#This Row],[Age]],"Senior Citizen")</f>
        <v>Teenger</v>
      </c>
      <c r="D637" t="s">
        <v>18</v>
      </c>
      <c r="E637" t="s">
        <v>28</v>
      </c>
      <c r="F637" t="s">
        <v>93</v>
      </c>
      <c r="G637" s="1">
        <v>45612</v>
      </c>
      <c r="H637" s="1">
        <v>45625</v>
      </c>
      <c r="I637" s="2">
        <f>Table3[[#This Row],[Discharge_Date]]-Table3[[#This Row],[Admission_Date]]</f>
        <v>13</v>
      </c>
      <c r="J637">
        <v>212</v>
      </c>
      <c r="K637" t="s">
        <v>15</v>
      </c>
      <c r="L637" t="s">
        <v>16</v>
      </c>
      <c r="M637">
        <f>IF(Table3[[#This Row],[Treatment_Success]]="Yes",1,0)</f>
        <v>1</v>
      </c>
      <c r="N637">
        <v>96658</v>
      </c>
    </row>
    <row r="638" spans="1:14" x14ac:dyDescent="0.35">
      <c r="A638" t="s">
        <v>685</v>
      </c>
      <c r="B638">
        <v>82</v>
      </c>
      <c r="C638" t="str">
        <f>_xlfn.IFS(Table3[[#This Row],[Age]]&lt;=10, "Child",Table3[[#This Row],[Age]]&lt;18, "Teenger", Table3[[#This Row],[Age]]&lt;30, "Middle Age", Table3[[#This Row],[Age]]&lt; 60,"Adult",Table3[[#This Row],[Age]],"Senior Citizen")</f>
        <v>Senior Citizen</v>
      </c>
      <c r="D638" t="s">
        <v>18</v>
      </c>
      <c r="E638" t="s">
        <v>24</v>
      </c>
      <c r="F638" t="s">
        <v>68</v>
      </c>
      <c r="G638" s="1">
        <v>45578</v>
      </c>
      <c r="H638" s="1">
        <v>45591</v>
      </c>
      <c r="I638" s="2">
        <f>Table3[[#This Row],[Discharge_Date]]-Table3[[#This Row],[Admission_Date]]</f>
        <v>13</v>
      </c>
      <c r="J638">
        <v>104</v>
      </c>
      <c r="K638" t="s">
        <v>33</v>
      </c>
      <c r="L638" t="s">
        <v>16</v>
      </c>
      <c r="M638">
        <f>IF(Table3[[#This Row],[Treatment_Success]]="Yes",1,0)</f>
        <v>1</v>
      </c>
      <c r="N638">
        <v>22782</v>
      </c>
    </row>
    <row r="639" spans="1:14" x14ac:dyDescent="0.35">
      <c r="A639" t="s">
        <v>686</v>
      </c>
      <c r="B639">
        <v>65</v>
      </c>
      <c r="C639" t="str">
        <f>_xlfn.IFS(Table3[[#This Row],[Age]]&lt;=10, "Child",Table3[[#This Row],[Age]]&lt;18, "Teenger", Table3[[#This Row],[Age]]&lt;30, "Middle Age", Table3[[#This Row],[Age]]&lt; 60,"Adult",Table3[[#This Row],[Age]],"Senior Citizen")</f>
        <v>Senior Citizen</v>
      </c>
      <c r="D639" t="s">
        <v>12</v>
      </c>
      <c r="E639" t="s">
        <v>24</v>
      </c>
      <c r="F639" t="s">
        <v>90</v>
      </c>
      <c r="G639" s="1">
        <v>45449</v>
      </c>
      <c r="H639" s="1">
        <v>45454</v>
      </c>
      <c r="I639" s="2">
        <f>Table3[[#This Row],[Discharge_Date]]-Table3[[#This Row],[Admission_Date]]</f>
        <v>5</v>
      </c>
      <c r="J639">
        <v>171</v>
      </c>
      <c r="K639" t="s">
        <v>33</v>
      </c>
      <c r="L639" t="s">
        <v>26</v>
      </c>
      <c r="M639">
        <f>IF(Table3[[#This Row],[Treatment_Success]]="Yes",1,0)</f>
        <v>0</v>
      </c>
      <c r="N639">
        <v>194896</v>
      </c>
    </row>
    <row r="640" spans="1:14" x14ac:dyDescent="0.35">
      <c r="A640" t="s">
        <v>687</v>
      </c>
      <c r="B640">
        <v>4</v>
      </c>
      <c r="C640" t="str">
        <f>_xlfn.IFS(Table3[[#This Row],[Age]]&lt;=10, "Child",Table3[[#This Row],[Age]]&lt;18, "Teenger", Table3[[#This Row],[Age]]&lt;30, "Middle Age", Table3[[#This Row],[Age]]&lt; 60,"Adult",Table3[[#This Row],[Age]],"Senior Citizen")</f>
        <v>Child</v>
      </c>
      <c r="D640" t="s">
        <v>18</v>
      </c>
      <c r="E640" t="s">
        <v>13</v>
      </c>
      <c r="F640" t="s">
        <v>95</v>
      </c>
      <c r="G640" s="1">
        <v>45583</v>
      </c>
      <c r="H640" s="1">
        <v>45593</v>
      </c>
      <c r="I640" s="2">
        <f>Table3[[#This Row],[Discharge_Date]]-Table3[[#This Row],[Admission_Date]]</f>
        <v>10</v>
      </c>
      <c r="J640">
        <v>174</v>
      </c>
      <c r="K640" t="s">
        <v>46</v>
      </c>
      <c r="L640" t="s">
        <v>26</v>
      </c>
      <c r="M640">
        <f>IF(Table3[[#This Row],[Treatment_Success]]="Yes",1,0)</f>
        <v>0</v>
      </c>
      <c r="N640">
        <v>14321</v>
      </c>
    </row>
    <row r="641" spans="1:14" x14ac:dyDescent="0.35">
      <c r="A641" t="s">
        <v>688</v>
      </c>
      <c r="B641">
        <v>62</v>
      </c>
      <c r="C641" t="str">
        <f>_xlfn.IFS(Table3[[#This Row],[Age]]&lt;=10, "Child",Table3[[#This Row],[Age]]&lt;18, "Teenger", Table3[[#This Row],[Age]]&lt;30, "Middle Age", Table3[[#This Row],[Age]]&lt; 60,"Adult",Table3[[#This Row],[Age]],"Senior Citizen")</f>
        <v>Senior Citizen</v>
      </c>
      <c r="D641" t="s">
        <v>18</v>
      </c>
      <c r="E641" t="s">
        <v>31</v>
      </c>
      <c r="F641" t="s">
        <v>61</v>
      </c>
      <c r="G641" s="1">
        <v>45622</v>
      </c>
      <c r="H641" s="1">
        <v>45625</v>
      </c>
      <c r="I641" s="2">
        <f>Table3[[#This Row],[Discharge_Date]]-Table3[[#This Row],[Admission_Date]]</f>
        <v>3</v>
      </c>
      <c r="J641">
        <v>172</v>
      </c>
      <c r="K641" t="s">
        <v>46</v>
      </c>
      <c r="L641" t="s">
        <v>26</v>
      </c>
      <c r="M641">
        <f>IF(Table3[[#This Row],[Treatment_Success]]="Yes",1,0)</f>
        <v>0</v>
      </c>
      <c r="N641">
        <v>199664</v>
      </c>
    </row>
    <row r="642" spans="1:14" x14ac:dyDescent="0.35">
      <c r="A642" t="s">
        <v>689</v>
      </c>
      <c r="B642">
        <v>67</v>
      </c>
      <c r="C642" t="str">
        <f>_xlfn.IFS(Table3[[#This Row],[Age]]&lt;=10, "Child",Table3[[#This Row],[Age]]&lt;18, "Teenger", Table3[[#This Row],[Age]]&lt;30, "Middle Age", Table3[[#This Row],[Age]]&lt; 60,"Adult",Table3[[#This Row],[Age]],"Senior Citizen")</f>
        <v>Senior Citizen</v>
      </c>
      <c r="D642" t="s">
        <v>12</v>
      </c>
      <c r="E642" t="s">
        <v>28</v>
      </c>
      <c r="F642" t="s">
        <v>25</v>
      </c>
      <c r="G642" s="1">
        <v>45320</v>
      </c>
      <c r="H642" s="1">
        <v>45334</v>
      </c>
      <c r="I642" s="2">
        <f>Table3[[#This Row],[Discharge_Date]]-Table3[[#This Row],[Admission_Date]]</f>
        <v>14</v>
      </c>
      <c r="J642">
        <v>162</v>
      </c>
      <c r="K642" t="s">
        <v>15</v>
      </c>
      <c r="L642" t="s">
        <v>16</v>
      </c>
      <c r="M642">
        <f>IF(Table3[[#This Row],[Treatment_Success]]="Yes",1,0)</f>
        <v>1</v>
      </c>
      <c r="N642">
        <v>156361</v>
      </c>
    </row>
    <row r="643" spans="1:14" x14ac:dyDescent="0.35">
      <c r="A643" t="s">
        <v>690</v>
      </c>
      <c r="B643">
        <v>46</v>
      </c>
      <c r="C643" t="str">
        <f>_xlfn.IFS(Table3[[#This Row],[Age]]&lt;=10, "Child",Table3[[#This Row],[Age]]&lt;18, "Teenger", Table3[[#This Row],[Age]]&lt;30, "Middle Age", Table3[[#This Row],[Age]]&lt; 60,"Adult",Table3[[#This Row],[Age]],"Senior Citizen")</f>
        <v>Adult</v>
      </c>
      <c r="D643" t="s">
        <v>18</v>
      </c>
      <c r="E643" t="s">
        <v>13</v>
      </c>
      <c r="F643" t="s">
        <v>32</v>
      </c>
      <c r="G643" s="1">
        <v>45642</v>
      </c>
      <c r="H643" s="1">
        <v>45648</v>
      </c>
      <c r="I643" s="2">
        <f>Table3[[#This Row],[Discharge_Date]]-Table3[[#This Row],[Admission_Date]]</f>
        <v>6</v>
      </c>
      <c r="J643">
        <v>16</v>
      </c>
      <c r="K643" t="s">
        <v>33</v>
      </c>
      <c r="L643" t="s">
        <v>26</v>
      </c>
      <c r="M643">
        <f>IF(Table3[[#This Row],[Treatment_Success]]="Yes",1,0)</f>
        <v>0</v>
      </c>
      <c r="N643">
        <v>169236</v>
      </c>
    </row>
    <row r="644" spans="1:14" x14ac:dyDescent="0.35">
      <c r="A644" t="s">
        <v>691</v>
      </c>
      <c r="B644">
        <v>22</v>
      </c>
      <c r="C644" t="str">
        <f>_xlfn.IFS(Table3[[#This Row],[Age]]&lt;=10, "Child",Table3[[#This Row],[Age]]&lt;18, "Teenger", Table3[[#This Row],[Age]]&lt;30, "Middle Age", Table3[[#This Row],[Age]]&lt; 60,"Adult",Table3[[#This Row],[Age]],"Senior Citizen")</f>
        <v>Middle Age</v>
      </c>
      <c r="D644" t="s">
        <v>12</v>
      </c>
      <c r="E644" t="s">
        <v>13</v>
      </c>
      <c r="F644" t="s">
        <v>35</v>
      </c>
      <c r="G644" s="1">
        <v>45565</v>
      </c>
      <c r="H644" s="1">
        <v>45579</v>
      </c>
      <c r="I644" s="2">
        <f>Table3[[#This Row],[Discharge_Date]]-Table3[[#This Row],[Admission_Date]]</f>
        <v>14</v>
      </c>
      <c r="J644">
        <v>60</v>
      </c>
      <c r="K644" t="s">
        <v>33</v>
      </c>
      <c r="L644" t="s">
        <v>16</v>
      </c>
      <c r="M644">
        <f>IF(Table3[[#This Row],[Treatment_Success]]="Yes",1,0)</f>
        <v>1</v>
      </c>
      <c r="N644">
        <v>191080</v>
      </c>
    </row>
    <row r="645" spans="1:14" x14ac:dyDescent="0.35">
      <c r="A645" t="s">
        <v>692</v>
      </c>
      <c r="B645">
        <v>53</v>
      </c>
      <c r="C645" t="str">
        <f>_xlfn.IFS(Table3[[#This Row],[Age]]&lt;=10, "Child",Table3[[#This Row],[Age]]&lt;18, "Teenger", Table3[[#This Row],[Age]]&lt;30, "Middle Age", Table3[[#This Row],[Age]]&lt; 60,"Adult",Table3[[#This Row],[Age]],"Senior Citizen")</f>
        <v>Adult</v>
      </c>
      <c r="D645" t="s">
        <v>18</v>
      </c>
      <c r="E645" t="s">
        <v>31</v>
      </c>
      <c r="F645" t="s">
        <v>14</v>
      </c>
      <c r="G645" s="1">
        <v>45308</v>
      </c>
      <c r="H645" s="1">
        <v>45313</v>
      </c>
      <c r="I645" s="2">
        <f>Table3[[#This Row],[Discharge_Date]]-Table3[[#This Row],[Admission_Date]]</f>
        <v>5</v>
      </c>
      <c r="J645">
        <v>191</v>
      </c>
      <c r="K645" t="s">
        <v>46</v>
      </c>
      <c r="L645" t="s">
        <v>16</v>
      </c>
      <c r="M645">
        <f>IF(Table3[[#This Row],[Treatment_Success]]="Yes",1,0)</f>
        <v>1</v>
      </c>
      <c r="N645">
        <v>61659</v>
      </c>
    </row>
    <row r="646" spans="1:14" x14ac:dyDescent="0.35">
      <c r="A646" t="s">
        <v>693</v>
      </c>
      <c r="B646">
        <v>23</v>
      </c>
      <c r="C646" t="str">
        <f>_xlfn.IFS(Table3[[#This Row],[Age]]&lt;=10, "Child",Table3[[#This Row],[Age]]&lt;18, "Teenger", Table3[[#This Row],[Age]]&lt;30, "Middle Age", Table3[[#This Row],[Age]]&lt; 60,"Adult",Table3[[#This Row],[Age]],"Senior Citizen")</f>
        <v>Middle Age</v>
      </c>
      <c r="D646" t="s">
        <v>18</v>
      </c>
      <c r="E646" t="s">
        <v>38</v>
      </c>
      <c r="F646" t="s">
        <v>52</v>
      </c>
      <c r="G646" s="1">
        <v>45560</v>
      </c>
      <c r="H646" s="1">
        <v>45565</v>
      </c>
      <c r="I646" s="2">
        <f>Table3[[#This Row],[Discharge_Date]]-Table3[[#This Row],[Admission_Date]]</f>
        <v>5</v>
      </c>
      <c r="J646">
        <v>104</v>
      </c>
      <c r="K646" t="s">
        <v>15</v>
      </c>
      <c r="L646" t="s">
        <v>26</v>
      </c>
      <c r="M646">
        <f>IF(Table3[[#This Row],[Treatment_Success]]="Yes",1,0)</f>
        <v>0</v>
      </c>
      <c r="N646">
        <v>137643</v>
      </c>
    </row>
    <row r="647" spans="1:14" x14ac:dyDescent="0.35">
      <c r="A647" t="s">
        <v>694</v>
      </c>
      <c r="B647">
        <v>62</v>
      </c>
      <c r="C647" t="str">
        <f>_xlfn.IFS(Table3[[#This Row],[Age]]&lt;=10, "Child",Table3[[#This Row],[Age]]&lt;18, "Teenger", Table3[[#This Row],[Age]]&lt;30, "Middle Age", Table3[[#This Row],[Age]]&lt; 60,"Adult",Table3[[#This Row],[Age]],"Senior Citizen")</f>
        <v>Senior Citizen</v>
      </c>
      <c r="D647" t="s">
        <v>18</v>
      </c>
      <c r="E647" t="s">
        <v>13</v>
      </c>
      <c r="F647" t="s">
        <v>95</v>
      </c>
      <c r="G647" s="1">
        <v>45304</v>
      </c>
      <c r="H647" s="1">
        <v>45317</v>
      </c>
      <c r="I647" s="2">
        <f>Table3[[#This Row],[Discharge_Date]]-Table3[[#This Row],[Admission_Date]]</f>
        <v>13</v>
      </c>
      <c r="J647">
        <v>248</v>
      </c>
      <c r="K647" t="s">
        <v>33</v>
      </c>
      <c r="L647" t="s">
        <v>16</v>
      </c>
      <c r="M647">
        <f>IF(Table3[[#This Row],[Treatment_Success]]="Yes",1,0)</f>
        <v>1</v>
      </c>
      <c r="N647">
        <v>42563</v>
      </c>
    </row>
    <row r="648" spans="1:14" x14ac:dyDescent="0.35">
      <c r="A648" t="s">
        <v>695</v>
      </c>
      <c r="B648">
        <v>67</v>
      </c>
      <c r="C648" t="str">
        <f>_xlfn.IFS(Table3[[#This Row],[Age]]&lt;=10, "Child",Table3[[#This Row],[Age]]&lt;18, "Teenger", Table3[[#This Row],[Age]]&lt;30, "Middle Age", Table3[[#This Row],[Age]]&lt; 60,"Adult",Table3[[#This Row],[Age]],"Senior Citizen")</f>
        <v>Senior Citizen</v>
      </c>
      <c r="D648" t="s">
        <v>18</v>
      </c>
      <c r="E648" t="s">
        <v>13</v>
      </c>
      <c r="F648" t="s">
        <v>25</v>
      </c>
      <c r="G648" s="1">
        <v>45342</v>
      </c>
      <c r="H648" s="1">
        <v>45356</v>
      </c>
      <c r="I648" s="2">
        <f>Table3[[#This Row],[Discharge_Date]]-Table3[[#This Row],[Admission_Date]]</f>
        <v>14</v>
      </c>
      <c r="J648">
        <v>19</v>
      </c>
      <c r="K648" t="s">
        <v>46</v>
      </c>
      <c r="L648" t="s">
        <v>26</v>
      </c>
      <c r="M648">
        <f>IF(Table3[[#This Row],[Treatment_Success]]="Yes",1,0)</f>
        <v>0</v>
      </c>
      <c r="N648">
        <v>192086</v>
      </c>
    </row>
    <row r="649" spans="1:14" x14ac:dyDescent="0.35">
      <c r="A649" t="s">
        <v>696</v>
      </c>
      <c r="B649">
        <v>1</v>
      </c>
      <c r="C649" t="str">
        <f>_xlfn.IFS(Table3[[#This Row],[Age]]&lt;=10, "Child",Table3[[#This Row],[Age]]&lt;18, "Teenger", Table3[[#This Row],[Age]]&lt;30, "Middle Age", Table3[[#This Row],[Age]]&lt; 60,"Adult",Table3[[#This Row],[Age]],"Senior Citizen")</f>
        <v>Child</v>
      </c>
      <c r="D649" t="s">
        <v>12</v>
      </c>
      <c r="E649" t="s">
        <v>24</v>
      </c>
      <c r="F649" t="s">
        <v>54</v>
      </c>
      <c r="G649" s="1">
        <v>45559</v>
      </c>
      <c r="H649" s="1">
        <v>45561</v>
      </c>
      <c r="I649" s="2">
        <f>Table3[[#This Row],[Discharge_Date]]-Table3[[#This Row],[Admission_Date]]</f>
        <v>2</v>
      </c>
      <c r="J649">
        <v>45</v>
      </c>
      <c r="K649" t="s">
        <v>33</v>
      </c>
      <c r="L649" t="s">
        <v>26</v>
      </c>
      <c r="M649">
        <f>IF(Table3[[#This Row],[Treatment_Success]]="Yes",1,0)</f>
        <v>0</v>
      </c>
      <c r="N649">
        <v>17095</v>
      </c>
    </row>
    <row r="650" spans="1:14" x14ac:dyDescent="0.35">
      <c r="A650" t="s">
        <v>697</v>
      </c>
      <c r="B650">
        <v>85</v>
      </c>
      <c r="C650" t="str">
        <f>_xlfn.IFS(Table3[[#This Row],[Age]]&lt;=10, "Child",Table3[[#This Row],[Age]]&lt;18, "Teenger", Table3[[#This Row],[Age]]&lt;30, "Middle Age", Table3[[#This Row],[Age]]&lt; 60,"Adult",Table3[[#This Row],[Age]],"Senior Citizen")</f>
        <v>Senior Citizen</v>
      </c>
      <c r="D650" t="s">
        <v>12</v>
      </c>
      <c r="E650" t="s">
        <v>24</v>
      </c>
      <c r="F650" t="s">
        <v>58</v>
      </c>
      <c r="G650" s="1">
        <v>45344</v>
      </c>
      <c r="H650" s="1">
        <v>45353</v>
      </c>
      <c r="I650" s="2">
        <f>Table3[[#This Row],[Discharge_Date]]-Table3[[#This Row],[Admission_Date]]</f>
        <v>9</v>
      </c>
      <c r="J650">
        <v>160</v>
      </c>
      <c r="K650" t="s">
        <v>36</v>
      </c>
      <c r="L650" t="s">
        <v>16</v>
      </c>
      <c r="M650">
        <f>IF(Table3[[#This Row],[Treatment_Success]]="Yes",1,0)</f>
        <v>1</v>
      </c>
      <c r="N650">
        <v>57574</v>
      </c>
    </row>
    <row r="651" spans="1:14" x14ac:dyDescent="0.35">
      <c r="A651" t="s">
        <v>698</v>
      </c>
      <c r="B651">
        <v>36</v>
      </c>
      <c r="C651" t="str">
        <f>_xlfn.IFS(Table3[[#This Row],[Age]]&lt;=10, "Child",Table3[[#This Row],[Age]]&lt;18, "Teenger", Table3[[#This Row],[Age]]&lt;30, "Middle Age", Table3[[#This Row],[Age]]&lt; 60,"Adult",Table3[[#This Row],[Age]],"Senior Citizen")</f>
        <v>Adult</v>
      </c>
      <c r="D651" t="s">
        <v>12</v>
      </c>
      <c r="E651" t="s">
        <v>31</v>
      </c>
      <c r="F651" t="s">
        <v>54</v>
      </c>
      <c r="G651" s="1">
        <v>45390</v>
      </c>
      <c r="H651" s="1">
        <v>45395</v>
      </c>
      <c r="I651" s="2">
        <f>Table3[[#This Row],[Discharge_Date]]-Table3[[#This Row],[Admission_Date]]</f>
        <v>5</v>
      </c>
      <c r="J651">
        <v>61</v>
      </c>
      <c r="K651" t="s">
        <v>33</v>
      </c>
      <c r="L651" t="s">
        <v>16</v>
      </c>
      <c r="M651">
        <f>IF(Table3[[#This Row],[Treatment_Success]]="Yes",1,0)</f>
        <v>1</v>
      </c>
      <c r="N651">
        <v>46286</v>
      </c>
    </row>
    <row r="652" spans="1:14" x14ac:dyDescent="0.35">
      <c r="A652" t="s">
        <v>699</v>
      </c>
      <c r="B652">
        <v>2</v>
      </c>
      <c r="C652" t="str">
        <f>_xlfn.IFS(Table3[[#This Row],[Age]]&lt;=10, "Child",Table3[[#This Row],[Age]]&lt;18, "Teenger", Table3[[#This Row],[Age]]&lt;30, "Middle Age", Table3[[#This Row],[Age]]&lt; 60,"Adult",Table3[[#This Row],[Age]],"Senior Citizen")</f>
        <v>Child</v>
      </c>
      <c r="D652" t="s">
        <v>18</v>
      </c>
      <c r="E652" t="s">
        <v>13</v>
      </c>
      <c r="F652" t="s">
        <v>61</v>
      </c>
      <c r="G652" s="1">
        <v>45432</v>
      </c>
      <c r="H652" s="1">
        <v>45434</v>
      </c>
      <c r="I652" s="2">
        <f>Table3[[#This Row],[Discharge_Date]]-Table3[[#This Row],[Admission_Date]]</f>
        <v>2</v>
      </c>
      <c r="J652">
        <v>180</v>
      </c>
      <c r="K652" t="s">
        <v>33</v>
      </c>
      <c r="L652" t="s">
        <v>16</v>
      </c>
      <c r="M652">
        <f>IF(Table3[[#This Row],[Treatment_Success]]="Yes",1,0)</f>
        <v>1</v>
      </c>
      <c r="N652">
        <v>42108</v>
      </c>
    </row>
    <row r="653" spans="1:14" x14ac:dyDescent="0.35">
      <c r="A653" t="s">
        <v>700</v>
      </c>
      <c r="B653">
        <v>37</v>
      </c>
      <c r="C653" t="str">
        <f>_xlfn.IFS(Table3[[#This Row],[Age]]&lt;=10, "Child",Table3[[#This Row],[Age]]&lt;18, "Teenger", Table3[[#This Row],[Age]]&lt;30, "Middle Age", Table3[[#This Row],[Age]]&lt; 60,"Adult",Table3[[#This Row],[Age]],"Senior Citizen")</f>
        <v>Adult</v>
      </c>
      <c r="D653" t="s">
        <v>18</v>
      </c>
      <c r="E653" t="s">
        <v>13</v>
      </c>
      <c r="F653" t="s">
        <v>45</v>
      </c>
      <c r="G653" s="1">
        <v>45652</v>
      </c>
      <c r="H653" s="1">
        <v>45665</v>
      </c>
      <c r="I653" s="2">
        <f>Table3[[#This Row],[Discharge_Date]]-Table3[[#This Row],[Admission_Date]]</f>
        <v>13</v>
      </c>
      <c r="J653">
        <v>160</v>
      </c>
      <c r="K653" t="s">
        <v>33</v>
      </c>
      <c r="L653" t="s">
        <v>26</v>
      </c>
      <c r="M653">
        <f>IF(Table3[[#This Row],[Treatment_Success]]="Yes",1,0)</f>
        <v>0</v>
      </c>
      <c r="N653">
        <v>18297</v>
      </c>
    </row>
    <row r="654" spans="1:14" x14ac:dyDescent="0.35">
      <c r="A654" t="s">
        <v>701</v>
      </c>
      <c r="B654">
        <v>61</v>
      </c>
      <c r="C654" t="str">
        <f>_xlfn.IFS(Table3[[#This Row],[Age]]&lt;=10, "Child",Table3[[#This Row],[Age]]&lt;18, "Teenger", Table3[[#This Row],[Age]]&lt;30, "Middle Age", Table3[[#This Row],[Age]]&lt; 60,"Adult",Table3[[#This Row],[Age]],"Senior Citizen")</f>
        <v>Senior Citizen</v>
      </c>
      <c r="D654" t="s">
        <v>18</v>
      </c>
      <c r="E654" t="s">
        <v>24</v>
      </c>
      <c r="F654" t="s">
        <v>56</v>
      </c>
      <c r="G654" s="1">
        <v>45358</v>
      </c>
      <c r="H654" s="1">
        <v>45359</v>
      </c>
      <c r="I654" s="2">
        <f>Table3[[#This Row],[Discharge_Date]]-Table3[[#This Row],[Admission_Date]]</f>
        <v>1</v>
      </c>
      <c r="J654">
        <v>28</v>
      </c>
      <c r="K654" t="s">
        <v>15</v>
      </c>
      <c r="L654" t="s">
        <v>26</v>
      </c>
      <c r="M654">
        <f>IF(Table3[[#This Row],[Treatment_Success]]="Yes",1,0)</f>
        <v>0</v>
      </c>
      <c r="N654">
        <v>107738</v>
      </c>
    </row>
    <row r="655" spans="1:14" x14ac:dyDescent="0.35">
      <c r="A655" t="s">
        <v>702</v>
      </c>
      <c r="B655">
        <v>77</v>
      </c>
      <c r="C655" t="str">
        <f>_xlfn.IFS(Table3[[#This Row],[Age]]&lt;=10, "Child",Table3[[#This Row],[Age]]&lt;18, "Teenger", Table3[[#This Row],[Age]]&lt;30, "Middle Age", Table3[[#This Row],[Age]]&lt; 60,"Adult",Table3[[#This Row],[Age]],"Senior Citizen")</f>
        <v>Senior Citizen</v>
      </c>
      <c r="D655" t="s">
        <v>12</v>
      </c>
      <c r="E655" t="s">
        <v>28</v>
      </c>
      <c r="F655" t="s">
        <v>63</v>
      </c>
      <c r="G655" s="1">
        <v>45383</v>
      </c>
      <c r="H655" s="1">
        <v>45395</v>
      </c>
      <c r="I655" s="2">
        <f>Table3[[#This Row],[Discharge_Date]]-Table3[[#This Row],[Admission_Date]]</f>
        <v>12</v>
      </c>
      <c r="J655">
        <v>160</v>
      </c>
      <c r="K655" t="s">
        <v>33</v>
      </c>
      <c r="L655" t="s">
        <v>16</v>
      </c>
      <c r="M655">
        <f>IF(Table3[[#This Row],[Treatment_Success]]="Yes",1,0)</f>
        <v>1</v>
      </c>
      <c r="N655">
        <v>191882</v>
      </c>
    </row>
    <row r="656" spans="1:14" x14ac:dyDescent="0.35">
      <c r="A656" t="s">
        <v>703</v>
      </c>
      <c r="B656">
        <v>69</v>
      </c>
      <c r="C656" t="str">
        <f>_xlfn.IFS(Table3[[#This Row],[Age]]&lt;=10, "Child",Table3[[#This Row],[Age]]&lt;18, "Teenger", Table3[[#This Row],[Age]]&lt;30, "Middle Age", Table3[[#This Row],[Age]]&lt; 60,"Adult",Table3[[#This Row],[Age]],"Senior Citizen")</f>
        <v>Senior Citizen</v>
      </c>
      <c r="D656" t="s">
        <v>18</v>
      </c>
      <c r="E656" t="s">
        <v>31</v>
      </c>
      <c r="F656" t="s">
        <v>58</v>
      </c>
      <c r="G656" s="1">
        <v>45635</v>
      </c>
      <c r="H656" s="1">
        <v>45648</v>
      </c>
      <c r="I656" s="2">
        <f>Table3[[#This Row],[Discharge_Date]]-Table3[[#This Row],[Admission_Date]]</f>
        <v>13</v>
      </c>
      <c r="J656">
        <v>68</v>
      </c>
      <c r="K656" t="s">
        <v>15</v>
      </c>
      <c r="L656" t="s">
        <v>26</v>
      </c>
      <c r="M656">
        <f>IF(Table3[[#This Row],[Treatment_Success]]="Yes",1,0)</f>
        <v>0</v>
      </c>
      <c r="N656">
        <v>30496</v>
      </c>
    </row>
    <row r="657" spans="1:14" x14ac:dyDescent="0.35">
      <c r="A657" t="s">
        <v>704</v>
      </c>
      <c r="B657">
        <v>88</v>
      </c>
      <c r="C657" t="str">
        <f>_xlfn.IFS(Table3[[#This Row],[Age]]&lt;=10, "Child",Table3[[#This Row],[Age]]&lt;18, "Teenger", Table3[[#This Row],[Age]]&lt;30, "Middle Age", Table3[[#This Row],[Age]]&lt; 60,"Adult",Table3[[#This Row],[Age]],"Senior Citizen")</f>
        <v>Senior Citizen</v>
      </c>
      <c r="D657" t="s">
        <v>12</v>
      </c>
      <c r="E657" t="s">
        <v>31</v>
      </c>
      <c r="F657" t="s">
        <v>14</v>
      </c>
      <c r="G657" s="1">
        <v>45525</v>
      </c>
      <c r="H657" s="1">
        <v>45530</v>
      </c>
      <c r="I657" s="2">
        <f>Table3[[#This Row],[Discharge_Date]]-Table3[[#This Row],[Admission_Date]]</f>
        <v>5</v>
      </c>
      <c r="J657">
        <v>115</v>
      </c>
      <c r="K657" t="s">
        <v>36</v>
      </c>
      <c r="L657" t="s">
        <v>16</v>
      </c>
      <c r="M657">
        <f>IF(Table3[[#This Row],[Treatment_Success]]="Yes",1,0)</f>
        <v>1</v>
      </c>
      <c r="N657">
        <v>100276</v>
      </c>
    </row>
    <row r="658" spans="1:14" x14ac:dyDescent="0.35">
      <c r="A658" t="s">
        <v>705</v>
      </c>
      <c r="B658">
        <v>90</v>
      </c>
      <c r="C658" t="str">
        <f>_xlfn.IFS(Table3[[#This Row],[Age]]&lt;=10, "Child",Table3[[#This Row],[Age]]&lt;18, "Teenger", Table3[[#This Row],[Age]]&lt;30, "Middle Age", Table3[[#This Row],[Age]]&lt; 60,"Adult",Table3[[#This Row],[Age]],"Senior Citizen")</f>
        <v>Senior Citizen</v>
      </c>
      <c r="D658" t="s">
        <v>12</v>
      </c>
      <c r="E658" t="s">
        <v>38</v>
      </c>
      <c r="F658" t="s">
        <v>20</v>
      </c>
      <c r="G658" s="1">
        <v>45492</v>
      </c>
      <c r="H658" s="1">
        <v>45495</v>
      </c>
      <c r="I658" s="2">
        <f>Table3[[#This Row],[Discharge_Date]]-Table3[[#This Row],[Admission_Date]]</f>
        <v>3</v>
      </c>
      <c r="J658">
        <v>250</v>
      </c>
      <c r="K658" t="s">
        <v>15</v>
      </c>
      <c r="L658" t="s">
        <v>16</v>
      </c>
      <c r="M658">
        <f>IF(Table3[[#This Row],[Treatment_Success]]="Yes",1,0)</f>
        <v>1</v>
      </c>
      <c r="N658">
        <v>129606</v>
      </c>
    </row>
    <row r="659" spans="1:14" x14ac:dyDescent="0.35">
      <c r="A659" t="s">
        <v>706</v>
      </c>
      <c r="B659">
        <v>62</v>
      </c>
      <c r="C659" t="str">
        <f>_xlfn.IFS(Table3[[#This Row],[Age]]&lt;=10, "Child",Table3[[#This Row],[Age]]&lt;18, "Teenger", Table3[[#This Row],[Age]]&lt;30, "Middle Age", Table3[[#This Row],[Age]]&lt; 60,"Adult",Table3[[#This Row],[Age]],"Senior Citizen")</f>
        <v>Senior Citizen</v>
      </c>
      <c r="D659" t="s">
        <v>12</v>
      </c>
      <c r="E659" t="s">
        <v>13</v>
      </c>
      <c r="F659" t="s">
        <v>83</v>
      </c>
      <c r="G659" s="1">
        <v>45349</v>
      </c>
      <c r="H659" s="1">
        <v>45355</v>
      </c>
      <c r="I659" s="2">
        <f>Table3[[#This Row],[Discharge_Date]]-Table3[[#This Row],[Admission_Date]]</f>
        <v>6</v>
      </c>
      <c r="J659">
        <v>179</v>
      </c>
      <c r="K659" t="s">
        <v>36</v>
      </c>
      <c r="L659" t="s">
        <v>16</v>
      </c>
      <c r="M659">
        <f>IF(Table3[[#This Row],[Treatment_Success]]="Yes",1,0)</f>
        <v>1</v>
      </c>
      <c r="N659">
        <v>111348</v>
      </c>
    </row>
    <row r="660" spans="1:14" x14ac:dyDescent="0.35">
      <c r="A660" t="s">
        <v>707</v>
      </c>
      <c r="B660">
        <v>72</v>
      </c>
      <c r="C660" t="str">
        <f>_xlfn.IFS(Table3[[#This Row],[Age]]&lt;=10, "Child",Table3[[#This Row],[Age]]&lt;18, "Teenger", Table3[[#This Row],[Age]]&lt;30, "Middle Age", Table3[[#This Row],[Age]]&lt; 60,"Adult",Table3[[#This Row],[Age]],"Senior Citizen")</f>
        <v>Senior Citizen</v>
      </c>
      <c r="D660" t="s">
        <v>18</v>
      </c>
      <c r="E660" t="s">
        <v>38</v>
      </c>
      <c r="F660" t="s">
        <v>61</v>
      </c>
      <c r="G660" s="1">
        <v>45346</v>
      </c>
      <c r="H660" s="1">
        <v>45352</v>
      </c>
      <c r="I660" s="2">
        <f>Table3[[#This Row],[Discharge_Date]]-Table3[[#This Row],[Admission_Date]]</f>
        <v>6</v>
      </c>
      <c r="J660">
        <v>237</v>
      </c>
      <c r="K660" t="s">
        <v>46</v>
      </c>
      <c r="L660" t="s">
        <v>26</v>
      </c>
      <c r="M660">
        <f>IF(Table3[[#This Row],[Treatment_Success]]="Yes",1,0)</f>
        <v>0</v>
      </c>
      <c r="N660">
        <v>67541</v>
      </c>
    </row>
    <row r="661" spans="1:14" x14ac:dyDescent="0.35">
      <c r="A661" t="s">
        <v>708</v>
      </c>
      <c r="B661">
        <v>71</v>
      </c>
      <c r="C661" t="str">
        <f>_xlfn.IFS(Table3[[#This Row],[Age]]&lt;=10, "Child",Table3[[#This Row],[Age]]&lt;18, "Teenger", Table3[[#This Row],[Age]]&lt;30, "Middle Age", Table3[[#This Row],[Age]]&lt; 60,"Adult",Table3[[#This Row],[Age]],"Senior Citizen")</f>
        <v>Senior Citizen</v>
      </c>
      <c r="D661" t="s">
        <v>18</v>
      </c>
      <c r="E661" t="s">
        <v>31</v>
      </c>
      <c r="F661" t="s">
        <v>56</v>
      </c>
      <c r="G661" s="1">
        <v>45609</v>
      </c>
      <c r="H661" s="1">
        <v>45613</v>
      </c>
      <c r="I661" s="2">
        <f>Table3[[#This Row],[Discharge_Date]]-Table3[[#This Row],[Admission_Date]]</f>
        <v>4</v>
      </c>
      <c r="J661">
        <v>34</v>
      </c>
      <c r="K661" t="s">
        <v>33</v>
      </c>
      <c r="L661" t="s">
        <v>16</v>
      </c>
      <c r="M661">
        <f>IF(Table3[[#This Row],[Treatment_Success]]="Yes",1,0)</f>
        <v>1</v>
      </c>
      <c r="N661">
        <v>186943</v>
      </c>
    </row>
    <row r="662" spans="1:14" x14ac:dyDescent="0.35">
      <c r="A662" t="s">
        <v>709</v>
      </c>
      <c r="B662">
        <v>56</v>
      </c>
      <c r="C662" t="str">
        <f>_xlfn.IFS(Table3[[#This Row],[Age]]&lt;=10, "Child",Table3[[#This Row],[Age]]&lt;18, "Teenger", Table3[[#This Row],[Age]]&lt;30, "Middle Age", Table3[[#This Row],[Age]]&lt; 60,"Adult",Table3[[#This Row],[Age]],"Senior Citizen")</f>
        <v>Adult</v>
      </c>
      <c r="D662" t="s">
        <v>12</v>
      </c>
      <c r="E662" t="s">
        <v>28</v>
      </c>
      <c r="F662" t="s">
        <v>40</v>
      </c>
      <c r="G662" s="1">
        <v>45594</v>
      </c>
      <c r="H662" s="1">
        <v>45601</v>
      </c>
      <c r="I662" s="2">
        <f>Table3[[#This Row],[Discharge_Date]]-Table3[[#This Row],[Admission_Date]]</f>
        <v>7</v>
      </c>
      <c r="J662">
        <v>121</v>
      </c>
      <c r="K662" t="s">
        <v>36</v>
      </c>
      <c r="L662" t="s">
        <v>16</v>
      </c>
      <c r="M662">
        <f>IF(Table3[[#This Row],[Treatment_Success]]="Yes",1,0)</f>
        <v>1</v>
      </c>
      <c r="N662">
        <v>198820</v>
      </c>
    </row>
    <row r="663" spans="1:14" x14ac:dyDescent="0.35">
      <c r="A663" t="s">
        <v>710</v>
      </c>
      <c r="B663">
        <v>63</v>
      </c>
      <c r="C663" t="str">
        <f>_xlfn.IFS(Table3[[#This Row],[Age]]&lt;=10, "Child",Table3[[#This Row],[Age]]&lt;18, "Teenger", Table3[[#This Row],[Age]]&lt;30, "Middle Age", Table3[[#This Row],[Age]]&lt; 60,"Adult",Table3[[#This Row],[Age]],"Senior Citizen")</f>
        <v>Senior Citizen</v>
      </c>
      <c r="D663" t="s">
        <v>18</v>
      </c>
      <c r="E663" t="s">
        <v>28</v>
      </c>
      <c r="F663" t="s">
        <v>35</v>
      </c>
      <c r="G663" s="1">
        <v>45656</v>
      </c>
      <c r="H663" s="1">
        <v>45666</v>
      </c>
      <c r="I663" s="2">
        <f>Table3[[#This Row],[Discharge_Date]]-Table3[[#This Row],[Admission_Date]]</f>
        <v>10</v>
      </c>
      <c r="J663">
        <v>238</v>
      </c>
      <c r="K663" t="s">
        <v>33</v>
      </c>
      <c r="L663" t="s">
        <v>16</v>
      </c>
      <c r="M663">
        <f>IF(Table3[[#This Row],[Treatment_Success]]="Yes",1,0)</f>
        <v>1</v>
      </c>
      <c r="N663">
        <v>121710</v>
      </c>
    </row>
    <row r="664" spans="1:14" x14ac:dyDescent="0.35">
      <c r="A664" t="s">
        <v>711</v>
      </c>
      <c r="B664">
        <v>52</v>
      </c>
      <c r="C664" t="str">
        <f>_xlfn.IFS(Table3[[#This Row],[Age]]&lt;=10, "Child",Table3[[#This Row],[Age]]&lt;18, "Teenger", Table3[[#This Row],[Age]]&lt;30, "Middle Age", Table3[[#This Row],[Age]]&lt; 60,"Adult",Table3[[#This Row],[Age]],"Senior Citizen")</f>
        <v>Adult</v>
      </c>
      <c r="D664" t="s">
        <v>18</v>
      </c>
      <c r="E664" t="s">
        <v>28</v>
      </c>
      <c r="F664" t="s">
        <v>90</v>
      </c>
      <c r="G664" s="1">
        <v>45382</v>
      </c>
      <c r="H664" s="1">
        <v>45387</v>
      </c>
      <c r="I664" s="2">
        <f>Table3[[#This Row],[Discharge_Date]]-Table3[[#This Row],[Admission_Date]]</f>
        <v>5</v>
      </c>
      <c r="J664">
        <v>195</v>
      </c>
      <c r="K664" t="s">
        <v>33</v>
      </c>
      <c r="L664" t="s">
        <v>26</v>
      </c>
      <c r="M664">
        <f>IF(Table3[[#This Row],[Treatment_Success]]="Yes",1,0)</f>
        <v>0</v>
      </c>
      <c r="N664">
        <v>174080</v>
      </c>
    </row>
    <row r="665" spans="1:14" x14ac:dyDescent="0.35">
      <c r="A665" t="s">
        <v>712</v>
      </c>
      <c r="B665">
        <v>12</v>
      </c>
      <c r="C665" t="str">
        <f>_xlfn.IFS(Table3[[#This Row],[Age]]&lt;=10, "Child",Table3[[#This Row],[Age]]&lt;18, "Teenger", Table3[[#This Row],[Age]]&lt;30, "Middle Age", Table3[[#This Row],[Age]]&lt; 60,"Adult",Table3[[#This Row],[Age]],"Senior Citizen")</f>
        <v>Teenger</v>
      </c>
      <c r="D665" t="s">
        <v>18</v>
      </c>
      <c r="E665" t="s">
        <v>13</v>
      </c>
      <c r="F665" t="s">
        <v>58</v>
      </c>
      <c r="G665" s="1">
        <v>45630</v>
      </c>
      <c r="H665" s="1">
        <v>45631</v>
      </c>
      <c r="I665" s="2">
        <f>Table3[[#This Row],[Discharge_Date]]-Table3[[#This Row],[Admission_Date]]</f>
        <v>1</v>
      </c>
      <c r="J665">
        <v>1</v>
      </c>
      <c r="K665" t="s">
        <v>36</v>
      </c>
      <c r="L665" t="s">
        <v>16</v>
      </c>
      <c r="M665">
        <f>IF(Table3[[#This Row],[Treatment_Success]]="Yes",1,0)</f>
        <v>1</v>
      </c>
      <c r="N665">
        <v>123744</v>
      </c>
    </row>
    <row r="666" spans="1:14" x14ac:dyDescent="0.35">
      <c r="A666" t="s">
        <v>713</v>
      </c>
      <c r="B666">
        <v>50</v>
      </c>
      <c r="C666" t="str">
        <f>_xlfn.IFS(Table3[[#This Row],[Age]]&lt;=10, "Child",Table3[[#This Row],[Age]]&lt;18, "Teenger", Table3[[#This Row],[Age]]&lt;30, "Middle Age", Table3[[#This Row],[Age]]&lt; 60,"Adult",Table3[[#This Row],[Age]],"Senior Citizen")</f>
        <v>Adult</v>
      </c>
      <c r="D666" t="s">
        <v>12</v>
      </c>
      <c r="E666" t="s">
        <v>13</v>
      </c>
      <c r="F666" t="s">
        <v>29</v>
      </c>
      <c r="G666" s="1">
        <v>45564</v>
      </c>
      <c r="H666" s="1">
        <v>45569</v>
      </c>
      <c r="I666" s="2">
        <f>Table3[[#This Row],[Discharge_Date]]-Table3[[#This Row],[Admission_Date]]</f>
        <v>5</v>
      </c>
      <c r="J666">
        <v>163</v>
      </c>
      <c r="K666" t="s">
        <v>33</v>
      </c>
      <c r="L666" t="s">
        <v>16</v>
      </c>
      <c r="M666">
        <f>IF(Table3[[#This Row],[Treatment_Success]]="Yes",1,0)</f>
        <v>1</v>
      </c>
      <c r="N666">
        <v>118961</v>
      </c>
    </row>
    <row r="667" spans="1:14" x14ac:dyDescent="0.35">
      <c r="A667" t="s">
        <v>714</v>
      </c>
      <c r="B667">
        <v>75</v>
      </c>
      <c r="C667" t="str">
        <f>_xlfn.IFS(Table3[[#This Row],[Age]]&lt;=10, "Child",Table3[[#This Row],[Age]]&lt;18, "Teenger", Table3[[#This Row],[Age]]&lt;30, "Middle Age", Table3[[#This Row],[Age]]&lt; 60,"Adult",Table3[[#This Row],[Age]],"Senior Citizen")</f>
        <v>Senior Citizen</v>
      </c>
      <c r="D667" t="s">
        <v>18</v>
      </c>
      <c r="E667" t="s">
        <v>28</v>
      </c>
      <c r="F667" t="s">
        <v>49</v>
      </c>
      <c r="G667" s="1">
        <v>45468</v>
      </c>
      <c r="H667" s="1">
        <v>45470</v>
      </c>
      <c r="I667" s="2">
        <f>Table3[[#This Row],[Discharge_Date]]-Table3[[#This Row],[Admission_Date]]</f>
        <v>2</v>
      </c>
      <c r="J667">
        <v>207</v>
      </c>
      <c r="K667" t="s">
        <v>36</v>
      </c>
      <c r="L667" t="s">
        <v>16</v>
      </c>
      <c r="M667">
        <f>IF(Table3[[#This Row],[Treatment_Success]]="Yes",1,0)</f>
        <v>1</v>
      </c>
      <c r="N667">
        <v>21360</v>
      </c>
    </row>
    <row r="668" spans="1:14" x14ac:dyDescent="0.35">
      <c r="A668" t="s">
        <v>715</v>
      </c>
      <c r="B668">
        <v>71</v>
      </c>
      <c r="C668" t="str">
        <f>_xlfn.IFS(Table3[[#This Row],[Age]]&lt;=10, "Child",Table3[[#This Row],[Age]]&lt;18, "Teenger", Table3[[#This Row],[Age]]&lt;30, "Middle Age", Table3[[#This Row],[Age]]&lt; 60,"Adult",Table3[[#This Row],[Age]],"Senior Citizen")</f>
        <v>Senior Citizen</v>
      </c>
      <c r="D668" t="s">
        <v>18</v>
      </c>
      <c r="E668" t="s">
        <v>24</v>
      </c>
      <c r="F668" t="s">
        <v>40</v>
      </c>
      <c r="G668" s="1">
        <v>45481</v>
      </c>
      <c r="H668" s="1">
        <v>45496</v>
      </c>
      <c r="I668" s="2">
        <f>Table3[[#This Row],[Discharge_Date]]-Table3[[#This Row],[Admission_Date]]</f>
        <v>15</v>
      </c>
      <c r="J668">
        <v>287</v>
      </c>
      <c r="K668" t="s">
        <v>33</v>
      </c>
      <c r="L668" t="s">
        <v>16</v>
      </c>
      <c r="M668">
        <f>IF(Table3[[#This Row],[Treatment_Success]]="Yes",1,0)</f>
        <v>1</v>
      </c>
      <c r="N668">
        <v>78979</v>
      </c>
    </row>
    <row r="669" spans="1:14" x14ac:dyDescent="0.35">
      <c r="A669" t="s">
        <v>716</v>
      </c>
      <c r="B669">
        <v>56</v>
      </c>
      <c r="C669" t="str">
        <f>_xlfn.IFS(Table3[[#This Row],[Age]]&lt;=10, "Child",Table3[[#This Row],[Age]]&lt;18, "Teenger", Table3[[#This Row],[Age]]&lt;30, "Middle Age", Table3[[#This Row],[Age]]&lt; 60,"Adult",Table3[[#This Row],[Age]],"Senior Citizen")</f>
        <v>Adult</v>
      </c>
      <c r="D669" t="s">
        <v>12</v>
      </c>
      <c r="E669" t="s">
        <v>38</v>
      </c>
      <c r="F669" t="s">
        <v>40</v>
      </c>
      <c r="G669" s="1">
        <v>45307</v>
      </c>
      <c r="H669" s="1">
        <v>45311</v>
      </c>
      <c r="I669" s="2">
        <f>Table3[[#This Row],[Discharge_Date]]-Table3[[#This Row],[Admission_Date]]</f>
        <v>4</v>
      </c>
      <c r="J669">
        <v>196</v>
      </c>
      <c r="K669" t="s">
        <v>46</v>
      </c>
      <c r="L669" t="s">
        <v>26</v>
      </c>
      <c r="M669">
        <f>IF(Table3[[#This Row],[Treatment_Success]]="Yes",1,0)</f>
        <v>0</v>
      </c>
      <c r="N669">
        <v>119082</v>
      </c>
    </row>
    <row r="670" spans="1:14" x14ac:dyDescent="0.35">
      <c r="A670" t="s">
        <v>717</v>
      </c>
      <c r="B670">
        <v>85</v>
      </c>
      <c r="C670" t="str">
        <f>_xlfn.IFS(Table3[[#This Row],[Age]]&lt;=10, "Child",Table3[[#This Row],[Age]]&lt;18, "Teenger", Table3[[#This Row],[Age]]&lt;30, "Middle Age", Table3[[#This Row],[Age]]&lt; 60,"Adult",Table3[[#This Row],[Age]],"Senior Citizen")</f>
        <v>Senior Citizen</v>
      </c>
      <c r="D670" t="s">
        <v>18</v>
      </c>
      <c r="E670" t="s">
        <v>31</v>
      </c>
      <c r="F670" t="s">
        <v>106</v>
      </c>
      <c r="G670" s="1">
        <v>45571</v>
      </c>
      <c r="H670" s="1">
        <v>45575</v>
      </c>
      <c r="I670" s="2">
        <f>Table3[[#This Row],[Discharge_Date]]-Table3[[#This Row],[Admission_Date]]</f>
        <v>4</v>
      </c>
      <c r="J670">
        <v>97</v>
      </c>
      <c r="K670" t="s">
        <v>46</v>
      </c>
      <c r="L670" t="s">
        <v>16</v>
      </c>
      <c r="M670">
        <f>IF(Table3[[#This Row],[Treatment_Success]]="Yes",1,0)</f>
        <v>1</v>
      </c>
      <c r="N670">
        <v>114375</v>
      </c>
    </row>
    <row r="671" spans="1:14" x14ac:dyDescent="0.35">
      <c r="A671" t="s">
        <v>718</v>
      </c>
      <c r="B671">
        <v>86</v>
      </c>
      <c r="C671" t="str">
        <f>_xlfn.IFS(Table3[[#This Row],[Age]]&lt;=10, "Child",Table3[[#This Row],[Age]]&lt;18, "Teenger", Table3[[#This Row],[Age]]&lt;30, "Middle Age", Table3[[#This Row],[Age]]&lt; 60,"Adult",Table3[[#This Row],[Age]],"Senior Citizen")</f>
        <v>Senior Citizen</v>
      </c>
      <c r="D671" t="s">
        <v>18</v>
      </c>
      <c r="E671" t="s">
        <v>13</v>
      </c>
      <c r="F671" t="s">
        <v>80</v>
      </c>
      <c r="G671" s="1">
        <v>45370</v>
      </c>
      <c r="H671" s="1">
        <v>45375</v>
      </c>
      <c r="I671" s="2">
        <f>Table3[[#This Row],[Discharge_Date]]-Table3[[#This Row],[Admission_Date]]</f>
        <v>5</v>
      </c>
      <c r="J671">
        <v>37</v>
      </c>
      <c r="K671" t="s">
        <v>15</v>
      </c>
      <c r="L671" t="s">
        <v>16</v>
      </c>
      <c r="M671">
        <f>IF(Table3[[#This Row],[Treatment_Success]]="Yes",1,0)</f>
        <v>1</v>
      </c>
      <c r="N671">
        <v>194094</v>
      </c>
    </row>
    <row r="672" spans="1:14" x14ac:dyDescent="0.35">
      <c r="A672" t="s">
        <v>719</v>
      </c>
      <c r="B672">
        <v>56</v>
      </c>
      <c r="C672" t="str">
        <f>_xlfn.IFS(Table3[[#This Row],[Age]]&lt;=10, "Child",Table3[[#This Row],[Age]]&lt;18, "Teenger", Table3[[#This Row],[Age]]&lt;30, "Middle Age", Table3[[#This Row],[Age]]&lt; 60,"Adult",Table3[[#This Row],[Age]],"Senior Citizen")</f>
        <v>Adult</v>
      </c>
      <c r="D672" t="s">
        <v>18</v>
      </c>
      <c r="E672" t="s">
        <v>24</v>
      </c>
      <c r="F672" t="s">
        <v>106</v>
      </c>
      <c r="G672" s="1">
        <v>45541</v>
      </c>
      <c r="H672" s="1">
        <v>45552</v>
      </c>
      <c r="I672" s="2">
        <f>Table3[[#This Row],[Discharge_Date]]-Table3[[#This Row],[Admission_Date]]</f>
        <v>11</v>
      </c>
      <c r="J672">
        <v>213</v>
      </c>
      <c r="K672" t="s">
        <v>46</v>
      </c>
      <c r="L672" t="s">
        <v>26</v>
      </c>
      <c r="M672">
        <f>IF(Table3[[#This Row],[Treatment_Success]]="Yes",1,0)</f>
        <v>0</v>
      </c>
      <c r="N672">
        <v>168380</v>
      </c>
    </row>
    <row r="673" spans="1:14" x14ac:dyDescent="0.35">
      <c r="A673" t="s">
        <v>720</v>
      </c>
      <c r="B673">
        <v>66</v>
      </c>
      <c r="C673" t="str">
        <f>_xlfn.IFS(Table3[[#This Row],[Age]]&lt;=10, "Child",Table3[[#This Row],[Age]]&lt;18, "Teenger", Table3[[#This Row],[Age]]&lt;30, "Middle Age", Table3[[#This Row],[Age]]&lt; 60,"Adult",Table3[[#This Row],[Age]],"Senior Citizen")</f>
        <v>Senior Citizen</v>
      </c>
      <c r="D673" t="s">
        <v>12</v>
      </c>
      <c r="E673" t="s">
        <v>28</v>
      </c>
      <c r="F673" t="s">
        <v>20</v>
      </c>
      <c r="G673" s="1">
        <v>45384</v>
      </c>
      <c r="H673" s="1">
        <v>45392</v>
      </c>
      <c r="I673" s="2">
        <f>Table3[[#This Row],[Discharge_Date]]-Table3[[#This Row],[Admission_Date]]</f>
        <v>8</v>
      </c>
      <c r="J673">
        <v>197</v>
      </c>
      <c r="K673" t="s">
        <v>33</v>
      </c>
      <c r="L673" t="s">
        <v>16</v>
      </c>
      <c r="M673">
        <f>IF(Table3[[#This Row],[Treatment_Success]]="Yes",1,0)</f>
        <v>1</v>
      </c>
      <c r="N673">
        <v>53704</v>
      </c>
    </row>
    <row r="674" spans="1:14" x14ac:dyDescent="0.35">
      <c r="A674" t="s">
        <v>721</v>
      </c>
      <c r="B674">
        <v>1</v>
      </c>
      <c r="C674" t="str">
        <f>_xlfn.IFS(Table3[[#This Row],[Age]]&lt;=10, "Child",Table3[[#This Row],[Age]]&lt;18, "Teenger", Table3[[#This Row],[Age]]&lt;30, "Middle Age", Table3[[#This Row],[Age]]&lt; 60,"Adult",Table3[[#This Row],[Age]],"Senior Citizen")</f>
        <v>Child</v>
      </c>
      <c r="D674" t="s">
        <v>12</v>
      </c>
      <c r="E674" t="s">
        <v>13</v>
      </c>
      <c r="F674" t="s">
        <v>40</v>
      </c>
      <c r="G674" s="1">
        <v>45509</v>
      </c>
      <c r="H674" s="1">
        <v>45519</v>
      </c>
      <c r="I674" s="2">
        <f>Table3[[#This Row],[Discharge_Date]]-Table3[[#This Row],[Admission_Date]]</f>
        <v>10</v>
      </c>
      <c r="J674">
        <v>257</v>
      </c>
      <c r="K674" t="s">
        <v>33</v>
      </c>
      <c r="L674" t="s">
        <v>26</v>
      </c>
      <c r="M674">
        <f>IF(Table3[[#This Row],[Treatment_Success]]="Yes",1,0)</f>
        <v>0</v>
      </c>
      <c r="N674">
        <v>148174</v>
      </c>
    </row>
    <row r="675" spans="1:14" x14ac:dyDescent="0.35">
      <c r="A675" t="s">
        <v>722</v>
      </c>
      <c r="B675">
        <v>5</v>
      </c>
      <c r="C675" t="str">
        <f>_xlfn.IFS(Table3[[#This Row],[Age]]&lt;=10, "Child",Table3[[#This Row],[Age]]&lt;18, "Teenger", Table3[[#This Row],[Age]]&lt;30, "Middle Age", Table3[[#This Row],[Age]]&lt; 60,"Adult",Table3[[#This Row],[Age]],"Senior Citizen")</f>
        <v>Child</v>
      </c>
      <c r="D675" t="s">
        <v>18</v>
      </c>
      <c r="E675" t="s">
        <v>28</v>
      </c>
      <c r="F675" t="s">
        <v>43</v>
      </c>
      <c r="G675" s="1">
        <v>45587</v>
      </c>
      <c r="H675" s="1">
        <v>45593</v>
      </c>
      <c r="I675" s="2">
        <f>Table3[[#This Row],[Discharge_Date]]-Table3[[#This Row],[Admission_Date]]</f>
        <v>6</v>
      </c>
      <c r="J675">
        <v>189</v>
      </c>
      <c r="K675" t="s">
        <v>15</v>
      </c>
      <c r="L675" t="s">
        <v>26</v>
      </c>
      <c r="M675">
        <f>IF(Table3[[#This Row],[Treatment_Success]]="Yes",1,0)</f>
        <v>0</v>
      </c>
      <c r="N675">
        <v>186009</v>
      </c>
    </row>
    <row r="676" spans="1:14" x14ac:dyDescent="0.35">
      <c r="A676" t="s">
        <v>723</v>
      </c>
      <c r="B676">
        <v>68</v>
      </c>
      <c r="C676" t="str">
        <f>_xlfn.IFS(Table3[[#This Row],[Age]]&lt;=10, "Child",Table3[[#This Row],[Age]]&lt;18, "Teenger", Table3[[#This Row],[Age]]&lt;30, "Middle Age", Table3[[#This Row],[Age]]&lt; 60,"Adult",Table3[[#This Row],[Age]],"Senior Citizen")</f>
        <v>Senior Citizen</v>
      </c>
      <c r="D676" t="s">
        <v>12</v>
      </c>
      <c r="E676" t="s">
        <v>31</v>
      </c>
      <c r="F676" t="s">
        <v>49</v>
      </c>
      <c r="G676" s="1">
        <v>45332</v>
      </c>
      <c r="H676" s="1">
        <v>45335</v>
      </c>
      <c r="I676" s="2">
        <f>Table3[[#This Row],[Discharge_Date]]-Table3[[#This Row],[Admission_Date]]</f>
        <v>3</v>
      </c>
      <c r="J676">
        <v>41</v>
      </c>
      <c r="K676" t="s">
        <v>15</v>
      </c>
      <c r="L676" t="s">
        <v>16</v>
      </c>
      <c r="M676">
        <f>IF(Table3[[#This Row],[Treatment_Success]]="Yes",1,0)</f>
        <v>1</v>
      </c>
      <c r="N676">
        <v>128850</v>
      </c>
    </row>
    <row r="677" spans="1:14" x14ac:dyDescent="0.35">
      <c r="A677" t="s">
        <v>724</v>
      </c>
      <c r="B677">
        <v>85</v>
      </c>
      <c r="C677" t="str">
        <f>_xlfn.IFS(Table3[[#This Row],[Age]]&lt;=10, "Child",Table3[[#This Row],[Age]]&lt;18, "Teenger", Table3[[#This Row],[Age]]&lt;30, "Middle Age", Table3[[#This Row],[Age]]&lt; 60,"Adult",Table3[[#This Row],[Age]],"Senior Citizen")</f>
        <v>Senior Citizen</v>
      </c>
      <c r="D677" t="s">
        <v>18</v>
      </c>
      <c r="E677" t="s">
        <v>28</v>
      </c>
      <c r="F677" t="s">
        <v>58</v>
      </c>
      <c r="G677" s="1">
        <v>45614</v>
      </c>
      <c r="H677" s="1">
        <v>45626</v>
      </c>
      <c r="I677" s="2">
        <f>Table3[[#This Row],[Discharge_Date]]-Table3[[#This Row],[Admission_Date]]</f>
        <v>12</v>
      </c>
      <c r="J677">
        <v>160</v>
      </c>
      <c r="K677" t="s">
        <v>15</v>
      </c>
      <c r="L677" t="s">
        <v>16</v>
      </c>
      <c r="M677">
        <f>IF(Table3[[#This Row],[Treatment_Success]]="Yes",1,0)</f>
        <v>1</v>
      </c>
      <c r="N677">
        <v>145255</v>
      </c>
    </row>
    <row r="678" spans="1:14" x14ac:dyDescent="0.35">
      <c r="A678" t="s">
        <v>725</v>
      </c>
      <c r="B678">
        <v>59</v>
      </c>
      <c r="C678" t="str">
        <f>_xlfn.IFS(Table3[[#This Row],[Age]]&lt;=10, "Child",Table3[[#This Row],[Age]]&lt;18, "Teenger", Table3[[#This Row],[Age]]&lt;30, "Middle Age", Table3[[#This Row],[Age]]&lt; 60,"Adult",Table3[[#This Row],[Age]],"Senior Citizen")</f>
        <v>Adult</v>
      </c>
      <c r="D678" t="s">
        <v>12</v>
      </c>
      <c r="E678" t="s">
        <v>28</v>
      </c>
      <c r="F678" t="s">
        <v>25</v>
      </c>
      <c r="G678" s="1">
        <v>45297</v>
      </c>
      <c r="H678" s="1">
        <v>45305</v>
      </c>
      <c r="I678" s="2">
        <f>Table3[[#This Row],[Discharge_Date]]-Table3[[#This Row],[Admission_Date]]</f>
        <v>8</v>
      </c>
      <c r="J678">
        <v>170</v>
      </c>
      <c r="K678" t="s">
        <v>46</v>
      </c>
      <c r="L678" t="s">
        <v>16</v>
      </c>
      <c r="M678">
        <f>IF(Table3[[#This Row],[Treatment_Success]]="Yes",1,0)</f>
        <v>1</v>
      </c>
      <c r="N678">
        <v>82232</v>
      </c>
    </row>
    <row r="679" spans="1:14" x14ac:dyDescent="0.35">
      <c r="A679" t="s">
        <v>726</v>
      </c>
      <c r="B679">
        <v>5</v>
      </c>
      <c r="C679" t="str">
        <f>_xlfn.IFS(Table3[[#This Row],[Age]]&lt;=10, "Child",Table3[[#This Row],[Age]]&lt;18, "Teenger", Table3[[#This Row],[Age]]&lt;30, "Middle Age", Table3[[#This Row],[Age]]&lt; 60,"Adult",Table3[[#This Row],[Age]],"Senior Citizen")</f>
        <v>Child</v>
      </c>
      <c r="D679" t="s">
        <v>12</v>
      </c>
      <c r="E679" t="s">
        <v>28</v>
      </c>
      <c r="F679" t="s">
        <v>32</v>
      </c>
      <c r="G679" s="1">
        <v>45440</v>
      </c>
      <c r="H679" s="1">
        <v>45443</v>
      </c>
      <c r="I679" s="2">
        <f>Table3[[#This Row],[Discharge_Date]]-Table3[[#This Row],[Admission_Date]]</f>
        <v>3</v>
      </c>
      <c r="J679">
        <v>32</v>
      </c>
      <c r="K679" t="s">
        <v>46</v>
      </c>
      <c r="L679" t="s">
        <v>16</v>
      </c>
      <c r="M679">
        <f>IF(Table3[[#This Row],[Treatment_Success]]="Yes",1,0)</f>
        <v>1</v>
      </c>
      <c r="N679">
        <v>155171</v>
      </c>
    </row>
    <row r="680" spans="1:14" x14ac:dyDescent="0.35">
      <c r="A680" t="s">
        <v>727</v>
      </c>
      <c r="B680">
        <v>38</v>
      </c>
      <c r="C680" t="str">
        <f>_xlfn.IFS(Table3[[#This Row],[Age]]&lt;=10, "Child",Table3[[#This Row],[Age]]&lt;18, "Teenger", Table3[[#This Row],[Age]]&lt;30, "Middle Age", Table3[[#This Row],[Age]]&lt; 60,"Adult",Table3[[#This Row],[Age]],"Senior Citizen")</f>
        <v>Adult</v>
      </c>
      <c r="D680" t="s">
        <v>18</v>
      </c>
      <c r="E680" t="s">
        <v>38</v>
      </c>
      <c r="F680" t="s">
        <v>43</v>
      </c>
      <c r="G680" s="1">
        <v>45318</v>
      </c>
      <c r="H680" s="1">
        <v>45329</v>
      </c>
      <c r="I680" s="2">
        <f>Table3[[#This Row],[Discharge_Date]]-Table3[[#This Row],[Admission_Date]]</f>
        <v>11</v>
      </c>
      <c r="J680">
        <v>43</v>
      </c>
      <c r="K680" t="s">
        <v>36</v>
      </c>
      <c r="L680" t="s">
        <v>16</v>
      </c>
      <c r="M680">
        <f>IF(Table3[[#This Row],[Treatment_Success]]="Yes",1,0)</f>
        <v>1</v>
      </c>
      <c r="N680">
        <v>77836</v>
      </c>
    </row>
    <row r="681" spans="1:14" x14ac:dyDescent="0.35">
      <c r="A681" t="s">
        <v>728</v>
      </c>
      <c r="B681">
        <v>79</v>
      </c>
      <c r="C681" t="str">
        <f>_xlfn.IFS(Table3[[#This Row],[Age]]&lt;=10, "Child",Table3[[#This Row],[Age]]&lt;18, "Teenger", Table3[[#This Row],[Age]]&lt;30, "Middle Age", Table3[[#This Row],[Age]]&lt; 60,"Adult",Table3[[#This Row],[Age]],"Senior Citizen")</f>
        <v>Senior Citizen</v>
      </c>
      <c r="D681" t="s">
        <v>12</v>
      </c>
      <c r="E681" t="s">
        <v>38</v>
      </c>
      <c r="F681" t="s">
        <v>32</v>
      </c>
      <c r="G681" s="1">
        <v>45421</v>
      </c>
      <c r="H681" s="1">
        <v>45424</v>
      </c>
      <c r="I681" s="2">
        <f>Table3[[#This Row],[Discharge_Date]]-Table3[[#This Row],[Admission_Date]]</f>
        <v>3</v>
      </c>
      <c r="J681">
        <v>8</v>
      </c>
      <c r="K681" t="s">
        <v>15</v>
      </c>
      <c r="L681" t="s">
        <v>16</v>
      </c>
      <c r="M681">
        <f>IF(Table3[[#This Row],[Treatment_Success]]="Yes",1,0)</f>
        <v>1</v>
      </c>
      <c r="N681">
        <v>160128</v>
      </c>
    </row>
    <row r="682" spans="1:14" x14ac:dyDescent="0.35">
      <c r="A682" t="s">
        <v>729</v>
      </c>
      <c r="B682">
        <v>58</v>
      </c>
      <c r="C682" t="str">
        <f>_xlfn.IFS(Table3[[#This Row],[Age]]&lt;=10, "Child",Table3[[#This Row],[Age]]&lt;18, "Teenger", Table3[[#This Row],[Age]]&lt;30, "Middle Age", Table3[[#This Row],[Age]]&lt; 60,"Adult",Table3[[#This Row],[Age]],"Senior Citizen")</f>
        <v>Adult</v>
      </c>
      <c r="D682" t="s">
        <v>12</v>
      </c>
      <c r="E682" t="s">
        <v>13</v>
      </c>
      <c r="F682" t="s">
        <v>32</v>
      </c>
      <c r="G682" s="1">
        <v>45369</v>
      </c>
      <c r="H682" s="1">
        <v>45380</v>
      </c>
      <c r="I682" s="2">
        <f>Table3[[#This Row],[Discharge_Date]]-Table3[[#This Row],[Admission_Date]]</f>
        <v>11</v>
      </c>
      <c r="J682">
        <v>121</v>
      </c>
      <c r="K682" t="s">
        <v>46</v>
      </c>
      <c r="L682" t="s">
        <v>16</v>
      </c>
      <c r="M682">
        <f>IF(Table3[[#This Row],[Treatment_Success]]="Yes",1,0)</f>
        <v>1</v>
      </c>
      <c r="N682">
        <v>143251</v>
      </c>
    </row>
    <row r="683" spans="1:14" x14ac:dyDescent="0.35">
      <c r="A683" t="s">
        <v>730</v>
      </c>
      <c r="B683">
        <v>11</v>
      </c>
      <c r="C683" t="str">
        <f>_xlfn.IFS(Table3[[#This Row],[Age]]&lt;=10, "Child",Table3[[#This Row],[Age]]&lt;18, "Teenger", Table3[[#This Row],[Age]]&lt;30, "Middle Age", Table3[[#This Row],[Age]]&lt; 60,"Adult",Table3[[#This Row],[Age]],"Senior Citizen")</f>
        <v>Teenger</v>
      </c>
      <c r="D683" t="s">
        <v>18</v>
      </c>
      <c r="E683" t="s">
        <v>28</v>
      </c>
      <c r="F683" t="s">
        <v>106</v>
      </c>
      <c r="G683" s="1">
        <v>45308</v>
      </c>
      <c r="H683" s="1">
        <v>45314</v>
      </c>
      <c r="I683" s="2">
        <f>Table3[[#This Row],[Discharge_Date]]-Table3[[#This Row],[Admission_Date]]</f>
        <v>6</v>
      </c>
      <c r="J683">
        <v>254</v>
      </c>
      <c r="K683" t="s">
        <v>46</v>
      </c>
      <c r="L683" t="s">
        <v>26</v>
      </c>
      <c r="M683">
        <f>IF(Table3[[#This Row],[Treatment_Success]]="Yes",1,0)</f>
        <v>0</v>
      </c>
      <c r="N683">
        <v>67376</v>
      </c>
    </row>
    <row r="684" spans="1:14" x14ac:dyDescent="0.35">
      <c r="A684" t="s">
        <v>731</v>
      </c>
      <c r="B684">
        <v>82</v>
      </c>
      <c r="C684" t="str">
        <f>_xlfn.IFS(Table3[[#This Row],[Age]]&lt;=10, "Child",Table3[[#This Row],[Age]]&lt;18, "Teenger", Table3[[#This Row],[Age]]&lt;30, "Middle Age", Table3[[#This Row],[Age]]&lt; 60,"Adult",Table3[[#This Row],[Age]],"Senior Citizen")</f>
        <v>Senior Citizen</v>
      </c>
      <c r="D684" t="s">
        <v>18</v>
      </c>
      <c r="E684" t="s">
        <v>13</v>
      </c>
      <c r="F684" t="s">
        <v>58</v>
      </c>
      <c r="G684" s="1">
        <v>45630</v>
      </c>
      <c r="H684" s="1">
        <v>45638</v>
      </c>
      <c r="I684" s="2">
        <f>Table3[[#This Row],[Discharge_Date]]-Table3[[#This Row],[Admission_Date]]</f>
        <v>8</v>
      </c>
      <c r="J684">
        <v>177</v>
      </c>
      <c r="K684" t="s">
        <v>15</v>
      </c>
      <c r="L684" t="s">
        <v>16</v>
      </c>
      <c r="M684">
        <f>IF(Table3[[#This Row],[Treatment_Success]]="Yes",1,0)</f>
        <v>1</v>
      </c>
      <c r="N684">
        <v>35407</v>
      </c>
    </row>
    <row r="685" spans="1:14" x14ac:dyDescent="0.35">
      <c r="A685" t="s">
        <v>732</v>
      </c>
      <c r="B685">
        <v>60</v>
      </c>
      <c r="C685" t="str">
        <f>_xlfn.IFS(Table3[[#This Row],[Age]]&lt;=10, "Child",Table3[[#This Row],[Age]]&lt;18, "Teenger", Table3[[#This Row],[Age]]&lt;30, "Middle Age", Table3[[#This Row],[Age]]&lt; 60,"Adult",Table3[[#This Row],[Age]],"Senior Citizen")</f>
        <v>Senior Citizen</v>
      </c>
      <c r="D685" t="s">
        <v>12</v>
      </c>
      <c r="E685" t="s">
        <v>31</v>
      </c>
      <c r="F685" t="s">
        <v>83</v>
      </c>
      <c r="G685" s="1">
        <v>45318</v>
      </c>
      <c r="H685" s="1">
        <v>45321</v>
      </c>
      <c r="I685" s="2">
        <f>Table3[[#This Row],[Discharge_Date]]-Table3[[#This Row],[Admission_Date]]</f>
        <v>3</v>
      </c>
      <c r="J685">
        <v>244</v>
      </c>
      <c r="K685" t="s">
        <v>36</v>
      </c>
      <c r="L685" t="s">
        <v>26</v>
      </c>
      <c r="M685">
        <f>IF(Table3[[#This Row],[Treatment_Success]]="Yes",1,0)</f>
        <v>0</v>
      </c>
      <c r="N685">
        <v>184178</v>
      </c>
    </row>
    <row r="686" spans="1:14" x14ac:dyDescent="0.35">
      <c r="A686" t="s">
        <v>733</v>
      </c>
      <c r="B686">
        <v>61</v>
      </c>
      <c r="C686" t="str">
        <f>_xlfn.IFS(Table3[[#This Row],[Age]]&lt;=10, "Child",Table3[[#This Row],[Age]]&lt;18, "Teenger", Table3[[#This Row],[Age]]&lt;30, "Middle Age", Table3[[#This Row],[Age]]&lt; 60,"Adult",Table3[[#This Row],[Age]],"Senior Citizen")</f>
        <v>Senior Citizen</v>
      </c>
      <c r="D686" t="s">
        <v>12</v>
      </c>
      <c r="E686" t="s">
        <v>13</v>
      </c>
      <c r="F686" t="s">
        <v>49</v>
      </c>
      <c r="G686" s="1">
        <v>45653</v>
      </c>
      <c r="H686" s="1">
        <v>45660</v>
      </c>
      <c r="I686" s="2">
        <f>Table3[[#This Row],[Discharge_Date]]-Table3[[#This Row],[Admission_Date]]</f>
        <v>7</v>
      </c>
      <c r="J686">
        <v>223</v>
      </c>
      <c r="K686" t="s">
        <v>15</v>
      </c>
      <c r="L686" t="s">
        <v>16</v>
      </c>
      <c r="M686">
        <f>IF(Table3[[#This Row],[Treatment_Success]]="Yes",1,0)</f>
        <v>1</v>
      </c>
      <c r="N686">
        <v>122655</v>
      </c>
    </row>
    <row r="687" spans="1:14" x14ac:dyDescent="0.35">
      <c r="A687" t="s">
        <v>734</v>
      </c>
      <c r="B687">
        <v>41</v>
      </c>
      <c r="C687" t="str">
        <f>_xlfn.IFS(Table3[[#This Row],[Age]]&lt;=10, "Child",Table3[[#This Row],[Age]]&lt;18, "Teenger", Table3[[#This Row],[Age]]&lt;30, "Middle Age", Table3[[#This Row],[Age]]&lt; 60,"Adult",Table3[[#This Row],[Age]],"Senior Citizen")</f>
        <v>Adult</v>
      </c>
      <c r="D687" t="s">
        <v>18</v>
      </c>
      <c r="E687" t="s">
        <v>24</v>
      </c>
      <c r="F687" t="s">
        <v>61</v>
      </c>
      <c r="G687" s="1">
        <v>45487</v>
      </c>
      <c r="H687" s="1">
        <v>45498</v>
      </c>
      <c r="I687" s="2">
        <f>Table3[[#This Row],[Discharge_Date]]-Table3[[#This Row],[Admission_Date]]</f>
        <v>11</v>
      </c>
      <c r="J687">
        <v>182</v>
      </c>
      <c r="K687" t="s">
        <v>46</v>
      </c>
      <c r="L687" t="s">
        <v>16</v>
      </c>
      <c r="M687">
        <f>IF(Table3[[#This Row],[Treatment_Success]]="Yes",1,0)</f>
        <v>1</v>
      </c>
      <c r="N687">
        <v>92809</v>
      </c>
    </row>
    <row r="688" spans="1:14" x14ac:dyDescent="0.35">
      <c r="A688" t="s">
        <v>735</v>
      </c>
      <c r="B688">
        <v>13</v>
      </c>
      <c r="C688" t="str">
        <f>_xlfn.IFS(Table3[[#This Row],[Age]]&lt;=10, "Child",Table3[[#This Row],[Age]]&lt;18, "Teenger", Table3[[#This Row],[Age]]&lt;30, "Middle Age", Table3[[#This Row],[Age]]&lt; 60,"Adult",Table3[[#This Row],[Age]],"Senior Citizen")</f>
        <v>Teenger</v>
      </c>
      <c r="D688" t="s">
        <v>12</v>
      </c>
      <c r="E688" t="s">
        <v>28</v>
      </c>
      <c r="F688" t="s">
        <v>56</v>
      </c>
      <c r="G688" s="1">
        <v>45430</v>
      </c>
      <c r="H688" s="1">
        <v>45435</v>
      </c>
      <c r="I688" s="2">
        <f>Table3[[#This Row],[Discharge_Date]]-Table3[[#This Row],[Admission_Date]]</f>
        <v>5</v>
      </c>
      <c r="J688">
        <v>237</v>
      </c>
      <c r="K688" t="s">
        <v>36</v>
      </c>
      <c r="L688" t="s">
        <v>16</v>
      </c>
      <c r="M688">
        <f>IF(Table3[[#This Row],[Treatment_Success]]="Yes",1,0)</f>
        <v>1</v>
      </c>
      <c r="N688">
        <v>141302</v>
      </c>
    </row>
    <row r="689" spans="1:14" x14ac:dyDescent="0.35">
      <c r="A689" t="s">
        <v>736</v>
      </c>
      <c r="B689">
        <v>89</v>
      </c>
      <c r="C689" t="str">
        <f>_xlfn.IFS(Table3[[#This Row],[Age]]&lt;=10, "Child",Table3[[#This Row],[Age]]&lt;18, "Teenger", Table3[[#This Row],[Age]]&lt;30, "Middle Age", Table3[[#This Row],[Age]]&lt; 60,"Adult",Table3[[#This Row],[Age]],"Senior Citizen")</f>
        <v>Senior Citizen</v>
      </c>
      <c r="D689" t="s">
        <v>18</v>
      </c>
      <c r="E689" t="s">
        <v>38</v>
      </c>
      <c r="F689" t="s">
        <v>61</v>
      </c>
      <c r="G689" s="1">
        <v>45464</v>
      </c>
      <c r="H689" s="1">
        <v>45475</v>
      </c>
      <c r="I689" s="2">
        <f>Table3[[#This Row],[Discharge_Date]]-Table3[[#This Row],[Admission_Date]]</f>
        <v>11</v>
      </c>
      <c r="J689">
        <v>6</v>
      </c>
      <c r="K689" t="s">
        <v>15</v>
      </c>
      <c r="L689" t="s">
        <v>16</v>
      </c>
      <c r="M689">
        <f>IF(Table3[[#This Row],[Treatment_Success]]="Yes",1,0)</f>
        <v>1</v>
      </c>
      <c r="N689">
        <v>8135</v>
      </c>
    </row>
    <row r="690" spans="1:14" x14ac:dyDescent="0.35">
      <c r="A690" t="s">
        <v>737</v>
      </c>
      <c r="B690">
        <v>68</v>
      </c>
      <c r="C690" t="str">
        <f>_xlfn.IFS(Table3[[#This Row],[Age]]&lt;=10, "Child",Table3[[#This Row],[Age]]&lt;18, "Teenger", Table3[[#This Row],[Age]]&lt;30, "Middle Age", Table3[[#This Row],[Age]]&lt; 60,"Adult",Table3[[#This Row],[Age]],"Senior Citizen")</f>
        <v>Senior Citizen</v>
      </c>
      <c r="D690" t="s">
        <v>18</v>
      </c>
      <c r="E690" t="s">
        <v>31</v>
      </c>
      <c r="F690" t="s">
        <v>63</v>
      </c>
      <c r="G690" s="1">
        <v>45502</v>
      </c>
      <c r="H690" s="1">
        <v>45504</v>
      </c>
      <c r="I690" s="2">
        <f>Table3[[#This Row],[Discharge_Date]]-Table3[[#This Row],[Admission_Date]]</f>
        <v>2</v>
      </c>
      <c r="J690">
        <v>113</v>
      </c>
      <c r="K690" t="s">
        <v>33</v>
      </c>
      <c r="L690" t="s">
        <v>16</v>
      </c>
      <c r="M690">
        <f>IF(Table3[[#This Row],[Treatment_Success]]="Yes",1,0)</f>
        <v>1</v>
      </c>
      <c r="N690">
        <v>55614</v>
      </c>
    </row>
    <row r="691" spans="1:14" x14ac:dyDescent="0.35">
      <c r="A691" t="s">
        <v>738</v>
      </c>
      <c r="B691">
        <v>80</v>
      </c>
      <c r="C691" t="str">
        <f>_xlfn.IFS(Table3[[#This Row],[Age]]&lt;=10, "Child",Table3[[#This Row],[Age]]&lt;18, "Teenger", Table3[[#This Row],[Age]]&lt;30, "Middle Age", Table3[[#This Row],[Age]]&lt; 60,"Adult",Table3[[#This Row],[Age]],"Senior Citizen")</f>
        <v>Senior Citizen</v>
      </c>
      <c r="D691" t="s">
        <v>18</v>
      </c>
      <c r="E691" t="s">
        <v>24</v>
      </c>
      <c r="F691" t="s">
        <v>35</v>
      </c>
      <c r="G691" s="1">
        <v>45309</v>
      </c>
      <c r="H691" s="1">
        <v>45310</v>
      </c>
      <c r="I691" s="2">
        <f>Table3[[#This Row],[Discharge_Date]]-Table3[[#This Row],[Admission_Date]]</f>
        <v>1</v>
      </c>
      <c r="J691">
        <v>112</v>
      </c>
      <c r="K691" t="s">
        <v>15</v>
      </c>
      <c r="L691" t="s">
        <v>16</v>
      </c>
      <c r="M691">
        <f>IF(Table3[[#This Row],[Treatment_Success]]="Yes",1,0)</f>
        <v>1</v>
      </c>
      <c r="N691">
        <v>27645</v>
      </c>
    </row>
    <row r="692" spans="1:14" x14ac:dyDescent="0.35">
      <c r="A692" t="s">
        <v>739</v>
      </c>
      <c r="B692">
        <v>49</v>
      </c>
      <c r="C692" t="str">
        <f>_xlfn.IFS(Table3[[#This Row],[Age]]&lt;=10, "Child",Table3[[#This Row],[Age]]&lt;18, "Teenger", Table3[[#This Row],[Age]]&lt;30, "Middle Age", Table3[[#This Row],[Age]]&lt; 60,"Adult",Table3[[#This Row],[Age]],"Senior Citizen")</f>
        <v>Adult</v>
      </c>
      <c r="D692" t="s">
        <v>18</v>
      </c>
      <c r="E692" t="s">
        <v>24</v>
      </c>
      <c r="F692" t="s">
        <v>40</v>
      </c>
      <c r="G692" s="1">
        <v>45601</v>
      </c>
      <c r="H692" s="1">
        <v>45604</v>
      </c>
      <c r="I692" s="2">
        <f>Table3[[#This Row],[Discharge_Date]]-Table3[[#This Row],[Admission_Date]]</f>
        <v>3</v>
      </c>
      <c r="J692">
        <v>95</v>
      </c>
      <c r="K692" t="s">
        <v>33</v>
      </c>
      <c r="L692" t="s">
        <v>16</v>
      </c>
      <c r="M692">
        <f>IF(Table3[[#This Row],[Treatment_Success]]="Yes",1,0)</f>
        <v>1</v>
      </c>
      <c r="N692">
        <v>127409</v>
      </c>
    </row>
    <row r="693" spans="1:14" x14ac:dyDescent="0.35">
      <c r="A693" t="s">
        <v>740</v>
      </c>
      <c r="B693">
        <v>10</v>
      </c>
      <c r="C693" t="str">
        <f>_xlfn.IFS(Table3[[#This Row],[Age]]&lt;=10, "Child",Table3[[#This Row],[Age]]&lt;18, "Teenger", Table3[[#This Row],[Age]]&lt;30, "Middle Age", Table3[[#This Row],[Age]]&lt; 60,"Adult",Table3[[#This Row],[Age]],"Senior Citizen")</f>
        <v>Child</v>
      </c>
      <c r="D693" t="s">
        <v>12</v>
      </c>
      <c r="E693" t="s">
        <v>38</v>
      </c>
      <c r="F693" t="s">
        <v>22</v>
      </c>
      <c r="G693" s="1">
        <v>45630</v>
      </c>
      <c r="H693" s="1">
        <v>45645</v>
      </c>
      <c r="I693" s="2">
        <f>Table3[[#This Row],[Discharge_Date]]-Table3[[#This Row],[Admission_Date]]</f>
        <v>15</v>
      </c>
      <c r="J693">
        <v>219</v>
      </c>
      <c r="K693" t="s">
        <v>33</v>
      </c>
      <c r="L693" t="s">
        <v>16</v>
      </c>
      <c r="M693">
        <f>IF(Table3[[#This Row],[Treatment_Success]]="Yes",1,0)</f>
        <v>1</v>
      </c>
      <c r="N693">
        <v>47458</v>
      </c>
    </row>
    <row r="694" spans="1:14" x14ac:dyDescent="0.35">
      <c r="A694" t="s">
        <v>741</v>
      </c>
      <c r="B694">
        <v>8</v>
      </c>
      <c r="C694" t="str">
        <f>_xlfn.IFS(Table3[[#This Row],[Age]]&lt;=10, "Child",Table3[[#This Row],[Age]]&lt;18, "Teenger", Table3[[#This Row],[Age]]&lt;30, "Middle Age", Table3[[#This Row],[Age]]&lt; 60,"Adult",Table3[[#This Row],[Age]],"Senior Citizen")</f>
        <v>Child</v>
      </c>
      <c r="D694" t="s">
        <v>12</v>
      </c>
      <c r="E694" t="s">
        <v>31</v>
      </c>
      <c r="F694" t="s">
        <v>95</v>
      </c>
      <c r="G694" s="1">
        <v>45329</v>
      </c>
      <c r="H694" s="1">
        <v>45334</v>
      </c>
      <c r="I694" s="2">
        <f>Table3[[#This Row],[Discharge_Date]]-Table3[[#This Row],[Admission_Date]]</f>
        <v>5</v>
      </c>
      <c r="J694">
        <v>31</v>
      </c>
      <c r="K694" t="s">
        <v>33</v>
      </c>
      <c r="L694" t="s">
        <v>16</v>
      </c>
      <c r="M694">
        <f>IF(Table3[[#This Row],[Treatment_Success]]="Yes",1,0)</f>
        <v>1</v>
      </c>
      <c r="N694">
        <v>51643</v>
      </c>
    </row>
    <row r="695" spans="1:14" x14ac:dyDescent="0.35">
      <c r="A695" t="s">
        <v>742</v>
      </c>
      <c r="B695">
        <v>63</v>
      </c>
      <c r="C695" t="str">
        <f>_xlfn.IFS(Table3[[#This Row],[Age]]&lt;=10, "Child",Table3[[#This Row],[Age]]&lt;18, "Teenger", Table3[[#This Row],[Age]]&lt;30, "Middle Age", Table3[[#This Row],[Age]]&lt; 60,"Adult",Table3[[#This Row],[Age]],"Senior Citizen")</f>
        <v>Senior Citizen</v>
      </c>
      <c r="D695" t="s">
        <v>18</v>
      </c>
      <c r="E695" t="s">
        <v>28</v>
      </c>
      <c r="F695" t="s">
        <v>56</v>
      </c>
      <c r="G695" s="1">
        <v>45517</v>
      </c>
      <c r="H695" s="1">
        <v>45519</v>
      </c>
      <c r="I695" s="2">
        <f>Table3[[#This Row],[Discharge_Date]]-Table3[[#This Row],[Admission_Date]]</f>
        <v>2</v>
      </c>
      <c r="J695">
        <v>92</v>
      </c>
      <c r="K695" t="s">
        <v>46</v>
      </c>
      <c r="L695" t="s">
        <v>16</v>
      </c>
      <c r="M695">
        <f>IF(Table3[[#This Row],[Treatment_Success]]="Yes",1,0)</f>
        <v>1</v>
      </c>
      <c r="N695">
        <v>42715</v>
      </c>
    </row>
    <row r="696" spans="1:14" x14ac:dyDescent="0.35">
      <c r="A696" t="s">
        <v>743</v>
      </c>
      <c r="B696">
        <v>56</v>
      </c>
      <c r="C696" t="str">
        <f>_xlfn.IFS(Table3[[#This Row],[Age]]&lt;=10, "Child",Table3[[#This Row],[Age]]&lt;18, "Teenger", Table3[[#This Row],[Age]]&lt;30, "Middle Age", Table3[[#This Row],[Age]]&lt; 60,"Adult",Table3[[#This Row],[Age]],"Senior Citizen")</f>
        <v>Adult</v>
      </c>
      <c r="D696" t="s">
        <v>18</v>
      </c>
      <c r="E696" t="s">
        <v>28</v>
      </c>
      <c r="F696" t="s">
        <v>68</v>
      </c>
      <c r="G696" s="1">
        <v>45568</v>
      </c>
      <c r="H696" s="1">
        <v>45581</v>
      </c>
      <c r="I696" s="2">
        <f>Table3[[#This Row],[Discharge_Date]]-Table3[[#This Row],[Admission_Date]]</f>
        <v>13</v>
      </c>
      <c r="J696">
        <v>55</v>
      </c>
      <c r="K696" t="s">
        <v>46</v>
      </c>
      <c r="L696" t="s">
        <v>16</v>
      </c>
      <c r="M696">
        <f>IF(Table3[[#This Row],[Treatment_Success]]="Yes",1,0)</f>
        <v>1</v>
      </c>
      <c r="N696">
        <v>32076</v>
      </c>
    </row>
    <row r="697" spans="1:14" x14ac:dyDescent="0.35">
      <c r="A697" t="s">
        <v>744</v>
      </c>
      <c r="B697">
        <v>10</v>
      </c>
      <c r="C697" t="str">
        <f>_xlfn.IFS(Table3[[#This Row],[Age]]&lt;=10, "Child",Table3[[#This Row],[Age]]&lt;18, "Teenger", Table3[[#This Row],[Age]]&lt;30, "Middle Age", Table3[[#This Row],[Age]]&lt; 60,"Adult",Table3[[#This Row],[Age]],"Senior Citizen")</f>
        <v>Child</v>
      </c>
      <c r="D697" t="s">
        <v>12</v>
      </c>
      <c r="E697" t="s">
        <v>31</v>
      </c>
      <c r="F697" t="s">
        <v>80</v>
      </c>
      <c r="G697" s="1">
        <v>45309</v>
      </c>
      <c r="H697" s="1">
        <v>45311</v>
      </c>
      <c r="I697" s="2">
        <f>Table3[[#This Row],[Discharge_Date]]-Table3[[#This Row],[Admission_Date]]</f>
        <v>2</v>
      </c>
      <c r="J697">
        <v>255</v>
      </c>
      <c r="K697" t="s">
        <v>36</v>
      </c>
      <c r="L697" t="s">
        <v>16</v>
      </c>
      <c r="M697">
        <f>IF(Table3[[#This Row],[Treatment_Success]]="Yes",1,0)</f>
        <v>1</v>
      </c>
      <c r="N697">
        <v>14918</v>
      </c>
    </row>
    <row r="698" spans="1:14" x14ac:dyDescent="0.35">
      <c r="A698" t="s">
        <v>745</v>
      </c>
      <c r="B698">
        <v>35</v>
      </c>
      <c r="C698" t="str">
        <f>_xlfn.IFS(Table3[[#This Row],[Age]]&lt;=10, "Child",Table3[[#This Row],[Age]]&lt;18, "Teenger", Table3[[#This Row],[Age]]&lt;30, "Middle Age", Table3[[#This Row],[Age]]&lt; 60,"Adult",Table3[[#This Row],[Age]],"Senior Citizen")</f>
        <v>Adult</v>
      </c>
      <c r="D698" t="s">
        <v>18</v>
      </c>
      <c r="E698" t="s">
        <v>38</v>
      </c>
      <c r="F698" t="s">
        <v>56</v>
      </c>
      <c r="G698" s="1">
        <v>45632</v>
      </c>
      <c r="H698" s="1">
        <v>45639</v>
      </c>
      <c r="I698" s="2">
        <f>Table3[[#This Row],[Discharge_Date]]-Table3[[#This Row],[Admission_Date]]</f>
        <v>7</v>
      </c>
      <c r="J698">
        <v>295</v>
      </c>
      <c r="K698" t="s">
        <v>15</v>
      </c>
      <c r="L698" t="s">
        <v>26</v>
      </c>
      <c r="M698">
        <f>IF(Table3[[#This Row],[Treatment_Success]]="Yes",1,0)</f>
        <v>0</v>
      </c>
      <c r="N698">
        <v>130341</v>
      </c>
    </row>
    <row r="699" spans="1:14" x14ac:dyDescent="0.35">
      <c r="A699" t="s">
        <v>746</v>
      </c>
      <c r="B699">
        <v>9</v>
      </c>
      <c r="C699" t="str">
        <f>_xlfn.IFS(Table3[[#This Row],[Age]]&lt;=10, "Child",Table3[[#This Row],[Age]]&lt;18, "Teenger", Table3[[#This Row],[Age]]&lt;30, "Middle Age", Table3[[#This Row],[Age]]&lt; 60,"Adult",Table3[[#This Row],[Age]],"Senior Citizen")</f>
        <v>Child</v>
      </c>
      <c r="D699" t="s">
        <v>18</v>
      </c>
      <c r="E699" t="s">
        <v>24</v>
      </c>
      <c r="F699" t="s">
        <v>56</v>
      </c>
      <c r="G699" s="1">
        <v>45515</v>
      </c>
      <c r="H699" s="1">
        <v>45522</v>
      </c>
      <c r="I699" s="2">
        <f>Table3[[#This Row],[Discharge_Date]]-Table3[[#This Row],[Admission_Date]]</f>
        <v>7</v>
      </c>
      <c r="J699">
        <v>247</v>
      </c>
      <c r="K699" t="s">
        <v>15</v>
      </c>
      <c r="L699" t="s">
        <v>16</v>
      </c>
      <c r="M699">
        <f>IF(Table3[[#This Row],[Treatment_Success]]="Yes",1,0)</f>
        <v>1</v>
      </c>
      <c r="N699">
        <v>92409</v>
      </c>
    </row>
    <row r="700" spans="1:14" x14ac:dyDescent="0.35">
      <c r="A700" t="s">
        <v>747</v>
      </c>
      <c r="B700">
        <v>52</v>
      </c>
      <c r="C700" t="str">
        <f>_xlfn.IFS(Table3[[#This Row],[Age]]&lt;=10, "Child",Table3[[#This Row],[Age]]&lt;18, "Teenger", Table3[[#This Row],[Age]]&lt;30, "Middle Age", Table3[[#This Row],[Age]]&lt; 60,"Adult",Table3[[#This Row],[Age]],"Senior Citizen")</f>
        <v>Adult</v>
      </c>
      <c r="D700" t="s">
        <v>18</v>
      </c>
      <c r="E700" t="s">
        <v>24</v>
      </c>
      <c r="F700" t="s">
        <v>63</v>
      </c>
      <c r="G700" s="1">
        <v>45641</v>
      </c>
      <c r="H700" s="1">
        <v>45646</v>
      </c>
      <c r="I700" s="2">
        <f>Table3[[#This Row],[Discharge_Date]]-Table3[[#This Row],[Admission_Date]]</f>
        <v>5</v>
      </c>
      <c r="J700">
        <v>274</v>
      </c>
      <c r="K700" t="s">
        <v>33</v>
      </c>
      <c r="L700" t="s">
        <v>16</v>
      </c>
      <c r="M700">
        <f>IF(Table3[[#This Row],[Treatment_Success]]="Yes",1,0)</f>
        <v>1</v>
      </c>
      <c r="N700">
        <v>125491</v>
      </c>
    </row>
    <row r="701" spans="1:14" x14ac:dyDescent="0.35">
      <c r="A701" t="s">
        <v>748</v>
      </c>
      <c r="B701">
        <v>26</v>
      </c>
      <c r="C701" t="str">
        <f>_xlfn.IFS(Table3[[#This Row],[Age]]&lt;=10, "Child",Table3[[#This Row],[Age]]&lt;18, "Teenger", Table3[[#This Row],[Age]]&lt;30, "Middle Age", Table3[[#This Row],[Age]]&lt; 60,"Adult",Table3[[#This Row],[Age]],"Senior Citizen")</f>
        <v>Middle Age</v>
      </c>
      <c r="D701" t="s">
        <v>18</v>
      </c>
      <c r="E701" t="s">
        <v>28</v>
      </c>
      <c r="F701" t="s">
        <v>52</v>
      </c>
      <c r="G701" s="1">
        <v>45440</v>
      </c>
      <c r="H701" s="1">
        <v>45451</v>
      </c>
      <c r="I701" s="2">
        <f>Table3[[#This Row],[Discharge_Date]]-Table3[[#This Row],[Admission_Date]]</f>
        <v>11</v>
      </c>
      <c r="J701">
        <v>197</v>
      </c>
      <c r="K701" t="s">
        <v>36</v>
      </c>
      <c r="L701" t="s">
        <v>16</v>
      </c>
      <c r="M701">
        <f>IF(Table3[[#This Row],[Treatment_Success]]="Yes",1,0)</f>
        <v>1</v>
      </c>
      <c r="N701">
        <v>187421</v>
      </c>
    </row>
    <row r="702" spans="1:14" x14ac:dyDescent="0.35">
      <c r="A702" t="s">
        <v>749</v>
      </c>
      <c r="B702">
        <v>14</v>
      </c>
      <c r="C702" t="str">
        <f>_xlfn.IFS(Table3[[#This Row],[Age]]&lt;=10, "Child",Table3[[#This Row],[Age]]&lt;18, "Teenger", Table3[[#This Row],[Age]]&lt;30, "Middle Age", Table3[[#This Row],[Age]]&lt; 60,"Adult",Table3[[#This Row],[Age]],"Senior Citizen")</f>
        <v>Teenger</v>
      </c>
      <c r="D702" t="s">
        <v>12</v>
      </c>
      <c r="E702" t="s">
        <v>31</v>
      </c>
      <c r="F702" t="s">
        <v>45</v>
      </c>
      <c r="G702" s="1">
        <v>45491</v>
      </c>
      <c r="H702" s="1">
        <v>45506</v>
      </c>
      <c r="I702" s="2">
        <f>Table3[[#This Row],[Discharge_Date]]-Table3[[#This Row],[Admission_Date]]</f>
        <v>15</v>
      </c>
      <c r="J702">
        <v>225</v>
      </c>
      <c r="K702" t="s">
        <v>36</v>
      </c>
      <c r="L702" t="s">
        <v>16</v>
      </c>
      <c r="M702">
        <f>IF(Table3[[#This Row],[Treatment_Success]]="Yes",1,0)</f>
        <v>1</v>
      </c>
      <c r="N702">
        <v>14358</v>
      </c>
    </row>
    <row r="703" spans="1:14" x14ac:dyDescent="0.35">
      <c r="A703" t="s">
        <v>750</v>
      </c>
      <c r="B703">
        <v>76</v>
      </c>
      <c r="C703" t="str">
        <f>_xlfn.IFS(Table3[[#This Row],[Age]]&lt;=10, "Child",Table3[[#This Row],[Age]]&lt;18, "Teenger", Table3[[#This Row],[Age]]&lt;30, "Middle Age", Table3[[#This Row],[Age]]&lt; 60,"Adult",Table3[[#This Row],[Age]],"Senior Citizen")</f>
        <v>Senior Citizen</v>
      </c>
      <c r="D703" t="s">
        <v>18</v>
      </c>
      <c r="E703" t="s">
        <v>31</v>
      </c>
      <c r="F703" t="s">
        <v>56</v>
      </c>
      <c r="G703" s="1">
        <v>45390</v>
      </c>
      <c r="H703" s="1">
        <v>45391</v>
      </c>
      <c r="I703" s="2">
        <f>Table3[[#This Row],[Discharge_Date]]-Table3[[#This Row],[Admission_Date]]</f>
        <v>1</v>
      </c>
      <c r="J703">
        <v>33</v>
      </c>
      <c r="K703" t="s">
        <v>33</v>
      </c>
      <c r="L703" t="s">
        <v>26</v>
      </c>
      <c r="M703">
        <f>IF(Table3[[#This Row],[Treatment_Success]]="Yes",1,0)</f>
        <v>0</v>
      </c>
      <c r="N703">
        <v>144969</v>
      </c>
    </row>
    <row r="704" spans="1:14" x14ac:dyDescent="0.35">
      <c r="A704" t="s">
        <v>751</v>
      </c>
      <c r="B704">
        <v>5</v>
      </c>
      <c r="C704" t="str">
        <f>_xlfn.IFS(Table3[[#This Row],[Age]]&lt;=10, "Child",Table3[[#This Row],[Age]]&lt;18, "Teenger", Table3[[#This Row],[Age]]&lt;30, "Middle Age", Table3[[#This Row],[Age]]&lt; 60,"Adult",Table3[[#This Row],[Age]],"Senior Citizen")</f>
        <v>Child</v>
      </c>
      <c r="D704" t="s">
        <v>12</v>
      </c>
      <c r="E704" t="s">
        <v>24</v>
      </c>
      <c r="F704" t="s">
        <v>95</v>
      </c>
      <c r="G704" s="1">
        <v>45522</v>
      </c>
      <c r="H704" s="1">
        <v>45523</v>
      </c>
      <c r="I704" s="2">
        <f>Table3[[#This Row],[Discharge_Date]]-Table3[[#This Row],[Admission_Date]]</f>
        <v>1</v>
      </c>
      <c r="J704">
        <v>22</v>
      </c>
      <c r="K704" t="s">
        <v>46</v>
      </c>
      <c r="L704" t="s">
        <v>16</v>
      </c>
      <c r="M704">
        <f>IF(Table3[[#This Row],[Treatment_Success]]="Yes",1,0)</f>
        <v>1</v>
      </c>
      <c r="N704">
        <v>60490</v>
      </c>
    </row>
    <row r="705" spans="1:14" x14ac:dyDescent="0.35">
      <c r="A705" t="s">
        <v>752</v>
      </c>
      <c r="B705">
        <v>67</v>
      </c>
      <c r="C705" t="str">
        <f>_xlfn.IFS(Table3[[#This Row],[Age]]&lt;=10, "Child",Table3[[#This Row],[Age]]&lt;18, "Teenger", Table3[[#This Row],[Age]]&lt;30, "Middle Age", Table3[[#This Row],[Age]]&lt; 60,"Adult",Table3[[#This Row],[Age]],"Senior Citizen")</f>
        <v>Senior Citizen</v>
      </c>
      <c r="D705" t="s">
        <v>12</v>
      </c>
      <c r="E705" t="s">
        <v>28</v>
      </c>
      <c r="F705" t="s">
        <v>106</v>
      </c>
      <c r="G705" s="1">
        <v>45626</v>
      </c>
      <c r="H705" s="1">
        <v>45637</v>
      </c>
      <c r="I705" s="2">
        <f>Table3[[#This Row],[Discharge_Date]]-Table3[[#This Row],[Admission_Date]]</f>
        <v>11</v>
      </c>
      <c r="J705">
        <v>297</v>
      </c>
      <c r="K705" t="s">
        <v>36</v>
      </c>
      <c r="L705" t="s">
        <v>16</v>
      </c>
      <c r="M705">
        <f>IF(Table3[[#This Row],[Treatment_Success]]="Yes",1,0)</f>
        <v>1</v>
      </c>
      <c r="N705">
        <v>14667</v>
      </c>
    </row>
    <row r="706" spans="1:14" x14ac:dyDescent="0.35">
      <c r="A706" t="s">
        <v>753</v>
      </c>
      <c r="B706">
        <v>84</v>
      </c>
      <c r="C706" t="str">
        <f>_xlfn.IFS(Table3[[#This Row],[Age]]&lt;=10, "Child",Table3[[#This Row],[Age]]&lt;18, "Teenger", Table3[[#This Row],[Age]]&lt;30, "Middle Age", Table3[[#This Row],[Age]]&lt; 60,"Adult",Table3[[#This Row],[Age]],"Senior Citizen")</f>
        <v>Senior Citizen</v>
      </c>
      <c r="D706" t="s">
        <v>18</v>
      </c>
      <c r="E706" t="s">
        <v>31</v>
      </c>
      <c r="F706" t="s">
        <v>35</v>
      </c>
      <c r="G706" s="1">
        <v>45364</v>
      </c>
      <c r="H706" s="1">
        <v>45372</v>
      </c>
      <c r="I706" s="2">
        <f>Table3[[#This Row],[Discharge_Date]]-Table3[[#This Row],[Admission_Date]]</f>
        <v>8</v>
      </c>
      <c r="J706">
        <v>24</v>
      </c>
      <c r="K706" t="s">
        <v>36</v>
      </c>
      <c r="L706" t="s">
        <v>16</v>
      </c>
      <c r="M706">
        <f>IF(Table3[[#This Row],[Treatment_Success]]="Yes",1,0)</f>
        <v>1</v>
      </c>
      <c r="N706">
        <v>8765</v>
      </c>
    </row>
    <row r="707" spans="1:14" x14ac:dyDescent="0.35">
      <c r="A707" t="s">
        <v>754</v>
      </c>
      <c r="B707">
        <v>7</v>
      </c>
      <c r="C707" t="str">
        <f>_xlfn.IFS(Table3[[#This Row],[Age]]&lt;=10, "Child",Table3[[#This Row],[Age]]&lt;18, "Teenger", Table3[[#This Row],[Age]]&lt;30, "Middle Age", Table3[[#This Row],[Age]]&lt; 60,"Adult",Table3[[#This Row],[Age]],"Senior Citizen")</f>
        <v>Child</v>
      </c>
      <c r="D707" t="s">
        <v>12</v>
      </c>
      <c r="E707" t="s">
        <v>24</v>
      </c>
      <c r="F707" t="s">
        <v>20</v>
      </c>
      <c r="G707" s="1">
        <v>45380</v>
      </c>
      <c r="H707" s="1">
        <v>45391</v>
      </c>
      <c r="I707" s="2">
        <f>Table3[[#This Row],[Discharge_Date]]-Table3[[#This Row],[Admission_Date]]</f>
        <v>11</v>
      </c>
      <c r="J707">
        <v>88</v>
      </c>
      <c r="K707" t="s">
        <v>15</v>
      </c>
      <c r="L707" t="s">
        <v>16</v>
      </c>
      <c r="M707">
        <f>IF(Table3[[#This Row],[Treatment_Success]]="Yes",1,0)</f>
        <v>1</v>
      </c>
      <c r="N707">
        <v>34931</v>
      </c>
    </row>
    <row r="708" spans="1:14" x14ac:dyDescent="0.35">
      <c r="A708" t="s">
        <v>755</v>
      </c>
      <c r="B708">
        <v>79</v>
      </c>
      <c r="C708" t="str">
        <f>_xlfn.IFS(Table3[[#This Row],[Age]]&lt;=10, "Child",Table3[[#This Row],[Age]]&lt;18, "Teenger", Table3[[#This Row],[Age]]&lt;30, "Middle Age", Table3[[#This Row],[Age]]&lt; 60,"Adult",Table3[[#This Row],[Age]],"Senior Citizen")</f>
        <v>Senior Citizen</v>
      </c>
      <c r="D708" t="s">
        <v>18</v>
      </c>
      <c r="E708" t="s">
        <v>24</v>
      </c>
      <c r="F708" t="s">
        <v>29</v>
      </c>
      <c r="G708" s="1">
        <v>45546</v>
      </c>
      <c r="H708" s="1">
        <v>45556</v>
      </c>
      <c r="I708" s="2">
        <f>Table3[[#This Row],[Discharge_Date]]-Table3[[#This Row],[Admission_Date]]</f>
        <v>10</v>
      </c>
      <c r="J708">
        <v>219</v>
      </c>
      <c r="K708" t="s">
        <v>33</v>
      </c>
      <c r="L708" t="s">
        <v>26</v>
      </c>
      <c r="M708">
        <f>IF(Table3[[#This Row],[Treatment_Success]]="Yes",1,0)</f>
        <v>0</v>
      </c>
      <c r="N708">
        <v>89996</v>
      </c>
    </row>
    <row r="709" spans="1:14" x14ac:dyDescent="0.35">
      <c r="A709" t="s">
        <v>756</v>
      </c>
      <c r="B709">
        <v>74</v>
      </c>
      <c r="C709" t="str">
        <f>_xlfn.IFS(Table3[[#This Row],[Age]]&lt;=10, "Child",Table3[[#This Row],[Age]]&lt;18, "Teenger", Table3[[#This Row],[Age]]&lt;30, "Middle Age", Table3[[#This Row],[Age]]&lt; 60,"Adult",Table3[[#This Row],[Age]],"Senior Citizen")</f>
        <v>Senior Citizen</v>
      </c>
      <c r="D709" t="s">
        <v>18</v>
      </c>
      <c r="E709" t="s">
        <v>38</v>
      </c>
      <c r="F709" t="s">
        <v>29</v>
      </c>
      <c r="G709" s="1">
        <v>45353</v>
      </c>
      <c r="H709" s="1">
        <v>45364</v>
      </c>
      <c r="I709" s="2">
        <f>Table3[[#This Row],[Discharge_Date]]-Table3[[#This Row],[Admission_Date]]</f>
        <v>11</v>
      </c>
      <c r="J709">
        <v>24</v>
      </c>
      <c r="K709" t="s">
        <v>36</v>
      </c>
      <c r="L709" t="s">
        <v>16</v>
      </c>
      <c r="M709">
        <f>IF(Table3[[#This Row],[Treatment_Success]]="Yes",1,0)</f>
        <v>1</v>
      </c>
      <c r="N709">
        <v>21573</v>
      </c>
    </row>
    <row r="710" spans="1:14" x14ac:dyDescent="0.35">
      <c r="A710" t="s">
        <v>757</v>
      </c>
      <c r="B710">
        <v>19</v>
      </c>
      <c r="C710" t="str">
        <f>_xlfn.IFS(Table3[[#This Row],[Age]]&lt;=10, "Child",Table3[[#This Row],[Age]]&lt;18, "Teenger", Table3[[#This Row],[Age]]&lt;30, "Middle Age", Table3[[#This Row],[Age]]&lt; 60,"Adult",Table3[[#This Row],[Age]],"Senior Citizen")</f>
        <v>Middle Age</v>
      </c>
      <c r="D710" t="s">
        <v>12</v>
      </c>
      <c r="E710" t="s">
        <v>13</v>
      </c>
      <c r="F710" t="s">
        <v>40</v>
      </c>
      <c r="G710" s="1">
        <v>45353</v>
      </c>
      <c r="H710" s="1">
        <v>45358</v>
      </c>
      <c r="I710" s="2">
        <f>Table3[[#This Row],[Discharge_Date]]-Table3[[#This Row],[Admission_Date]]</f>
        <v>5</v>
      </c>
      <c r="J710">
        <v>190</v>
      </c>
      <c r="K710" t="s">
        <v>36</v>
      </c>
      <c r="L710" t="s">
        <v>26</v>
      </c>
      <c r="M710">
        <f>IF(Table3[[#This Row],[Treatment_Success]]="Yes",1,0)</f>
        <v>0</v>
      </c>
      <c r="N710">
        <v>68869</v>
      </c>
    </row>
    <row r="711" spans="1:14" x14ac:dyDescent="0.35">
      <c r="A711" t="s">
        <v>758</v>
      </c>
      <c r="B711">
        <v>18</v>
      </c>
      <c r="C711" t="str">
        <f>_xlfn.IFS(Table3[[#This Row],[Age]]&lt;=10, "Child",Table3[[#This Row],[Age]]&lt;18, "Teenger", Table3[[#This Row],[Age]]&lt;30, "Middle Age", Table3[[#This Row],[Age]]&lt; 60,"Adult",Table3[[#This Row],[Age]],"Senior Citizen")</f>
        <v>Middle Age</v>
      </c>
      <c r="D711" t="s">
        <v>18</v>
      </c>
      <c r="E711" t="s">
        <v>28</v>
      </c>
      <c r="F711" t="s">
        <v>56</v>
      </c>
      <c r="G711" s="1">
        <v>45589</v>
      </c>
      <c r="H711" s="1">
        <v>45590</v>
      </c>
      <c r="I711" s="2">
        <f>Table3[[#This Row],[Discharge_Date]]-Table3[[#This Row],[Admission_Date]]</f>
        <v>1</v>
      </c>
      <c r="J711">
        <v>81</v>
      </c>
      <c r="K711" t="s">
        <v>15</v>
      </c>
      <c r="L711" t="s">
        <v>26</v>
      </c>
      <c r="M711">
        <f>IF(Table3[[#This Row],[Treatment_Success]]="Yes",1,0)</f>
        <v>0</v>
      </c>
      <c r="N711">
        <v>26160</v>
      </c>
    </row>
    <row r="712" spans="1:14" x14ac:dyDescent="0.35">
      <c r="A712" t="s">
        <v>759</v>
      </c>
      <c r="B712">
        <v>23</v>
      </c>
      <c r="C712" t="str">
        <f>_xlfn.IFS(Table3[[#This Row],[Age]]&lt;=10, "Child",Table3[[#This Row],[Age]]&lt;18, "Teenger", Table3[[#This Row],[Age]]&lt;30, "Middle Age", Table3[[#This Row],[Age]]&lt; 60,"Adult",Table3[[#This Row],[Age]],"Senior Citizen")</f>
        <v>Middle Age</v>
      </c>
      <c r="D712" t="s">
        <v>18</v>
      </c>
      <c r="E712" t="s">
        <v>28</v>
      </c>
      <c r="F712" t="s">
        <v>83</v>
      </c>
      <c r="G712" s="1">
        <v>45295</v>
      </c>
      <c r="H712" s="1">
        <v>45296</v>
      </c>
      <c r="I712" s="2">
        <f>Table3[[#This Row],[Discharge_Date]]-Table3[[#This Row],[Admission_Date]]</f>
        <v>1</v>
      </c>
      <c r="J712">
        <v>214</v>
      </c>
      <c r="K712" t="s">
        <v>46</v>
      </c>
      <c r="L712" t="s">
        <v>16</v>
      </c>
      <c r="M712">
        <f>IF(Table3[[#This Row],[Treatment_Success]]="Yes",1,0)</f>
        <v>1</v>
      </c>
      <c r="N712">
        <v>59043</v>
      </c>
    </row>
    <row r="713" spans="1:14" x14ac:dyDescent="0.35">
      <c r="A713" t="s">
        <v>760</v>
      </c>
      <c r="B713">
        <v>35</v>
      </c>
      <c r="C713" t="str">
        <f>_xlfn.IFS(Table3[[#This Row],[Age]]&lt;=10, "Child",Table3[[#This Row],[Age]]&lt;18, "Teenger", Table3[[#This Row],[Age]]&lt;30, "Middle Age", Table3[[#This Row],[Age]]&lt; 60,"Adult",Table3[[#This Row],[Age]],"Senior Citizen")</f>
        <v>Adult</v>
      </c>
      <c r="D713" t="s">
        <v>12</v>
      </c>
      <c r="E713" t="s">
        <v>31</v>
      </c>
      <c r="F713" t="s">
        <v>14</v>
      </c>
      <c r="G713" s="1">
        <v>45365</v>
      </c>
      <c r="H713" s="1">
        <v>45376</v>
      </c>
      <c r="I713" s="2">
        <f>Table3[[#This Row],[Discharge_Date]]-Table3[[#This Row],[Admission_Date]]</f>
        <v>11</v>
      </c>
      <c r="J713">
        <v>90</v>
      </c>
      <c r="K713" t="s">
        <v>15</v>
      </c>
      <c r="L713" t="s">
        <v>16</v>
      </c>
      <c r="M713">
        <f>IF(Table3[[#This Row],[Treatment_Success]]="Yes",1,0)</f>
        <v>1</v>
      </c>
      <c r="N713">
        <v>193009</v>
      </c>
    </row>
    <row r="714" spans="1:14" x14ac:dyDescent="0.35">
      <c r="A714" t="s">
        <v>761</v>
      </c>
      <c r="B714">
        <v>12</v>
      </c>
      <c r="C714" t="str">
        <f>_xlfn.IFS(Table3[[#This Row],[Age]]&lt;=10, "Child",Table3[[#This Row],[Age]]&lt;18, "Teenger", Table3[[#This Row],[Age]]&lt;30, "Middle Age", Table3[[#This Row],[Age]]&lt; 60,"Adult",Table3[[#This Row],[Age]],"Senior Citizen")</f>
        <v>Teenger</v>
      </c>
      <c r="D714" t="s">
        <v>12</v>
      </c>
      <c r="E714" t="s">
        <v>38</v>
      </c>
      <c r="F714" t="s">
        <v>93</v>
      </c>
      <c r="G714" s="1">
        <v>45547</v>
      </c>
      <c r="H714" s="1">
        <v>45557</v>
      </c>
      <c r="I714" s="2">
        <f>Table3[[#This Row],[Discharge_Date]]-Table3[[#This Row],[Admission_Date]]</f>
        <v>10</v>
      </c>
      <c r="J714">
        <v>3</v>
      </c>
      <c r="K714" t="s">
        <v>36</v>
      </c>
      <c r="L714" t="s">
        <v>16</v>
      </c>
      <c r="M714">
        <f>IF(Table3[[#This Row],[Treatment_Success]]="Yes",1,0)</f>
        <v>1</v>
      </c>
      <c r="N714">
        <v>35803</v>
      </c>
    </row>
    <row r="715" spans="1:14" x14ac:dyDescent="0.35">
      <c r="A715" t="s">
        <v>762</v>
      </c>
      <c r="B715">
        <v>80</v>
      </c>
      <c r="C715" t="str">
        <f>_xlfn.IFS(Table3[[#This Row],[Age]]&lt;=10, "Child",Table3[[#This Row],[Age]]&lt;18, "Teenger", Table3[[#This Row],[Age]]&lt;30, "Middle Age", Table3[[#This Row],[Age]]&lt; 60,"Adult",Table3[[#This Row],[Age]],"Senior Citizen")</f>
        <v>Senior Citizen</v>
      </c>
      <c r="D715" t="s">
        <v>12</v>
      </c>
      <c r="E715" t="s">
        <v>28</v>
      </c>
      <c r="F715" t="s">
        <v>49</v>
      </c>
      <c r="G715" s="1">
        <v>45563</v>
      </c>
      <c r="H715" s="1">
        <v>45565</v>
      </c>
      <c r="I715" s="2">
        <f>Table3[[#This Row],[Discharge_Date]]-Table3[[#This Row],[Admission_Date]]</f>
        <v>2</v>
      </c>
      <c r="J715">
        <v>113</v>
      </c>
      <c r="K715" t="s">
        <v>46</v>
      </c>
      <c r="L715" t="s">
        <v>16</v>
      </c>
      <c r="M715">
        <f>IF(Table3[[#This Row],[Treatment_Success]]="Yes",1,0)</f>
        <v>1</v>
      </c>
      <c r="N715">
        <v>77463</v>
      </c>
    </row>
    <row r="716" spans="1:14" x14ac:dyDescent="0.35">
      <c r="A716" t="s">
        <v>763</v>
      </c>
      <c r="B716">
        <v>15</v>
      </c>
      <c r="C716" t="str">
        <f>_xlfn.IFS(Table3[[#This Row],[Age]]&lt;=10, "Child",Table3[[#This Row],[Age]]&lt;18, "Teenger", Table3[[#This Row],[Age]]&lt;30, "Middle Age", Table3[[#This Row],[Age]]&lt; 60,"Adult",Table3[[#This Row],[Age]],"Senior Citizen")</f>
        <v>Teenger</v>
      </c>
      <c r="D716" t="s">
        <v>18</v>
      </c>
      <c r="E716" t="s">
        <v>31</v>
      </c>
      <c r="F716" t="s">
        <v>43</v>
      </c>
      <c r="G716" s="1">
        <v>45319</v>
      </c>
      <c r="H716" s="1">
        <v>45323</v>
      </c>
      <c r="I716" s="2">
        <f>Table3[[#This Row],[Discharge_Date]]-Table3[[#This Row],[Admission_Date]]</f>
        <v>4</v>
      </c>
      <c r="J716">
        <v>91</v>
      </c>
      <c r="K716" t="s">
        <v>36</v>
      </c>
      <c r="L716" t="s">
        <v>16</v>
      </c>
      <c r="M716">
        <f>IF(Table3[[#This Row],[Treatment_Success]]="Yes",1,0)</f>
        <v>1</v>
      </c>
      <c r="N716">
        <v>19163</v>
      </c>
    </row>
    <row r="717" spans="1:14" x14ac:dyDescent="0.35">
      <c r="A717" t="s">
        <v>764</v>
      </c>
      <c r="B717">
        <v>37</v>
      </c>
      <c r="C717" t="str">
        <f>_xlfn.IFS(Table3[[#This Row],[Age]]&lt;=10, "Child",Table3[[#This Row],[Age]]&lt;18, "Teenger", Table3[[#This Row],[Age]]&lt;30, "Middle Age", Table3[[#This Row],[Age]]&lt; 60,"Adult",Table3[[#This Row],[Age]],"Senior Citizen")</f>
        <v>Adult</v>
      </c>
      <c r="D717" t="s">
        <v>18</v>
      </c>
      <c r="E717" t="s">
        <v>31</v>
      </c>
      <c r="F717" t="s">
        <v>32</v>
      </c>
      <c r="G717" s="1">
        <v>45622</v>
      </c>
      <c r="H717" s="1">
        <v>45628</v>
      </c>
      <c r="I717" s="2">
        <f>Table3[[#This Row],[Discharge_Date]]-Table3[[#This Row],[Admission_Date]]</f>
        <v>6</v>
      </c>
      <c r="J717">
        <v>172</v>
      </c>
      <c r="K717" t="s">
        <v>46</v>
      </c>
      <c r="L717" t="s">
        <v>16</v>
      </c>
      <c r="M717">
        <f>IF(Table3[[#This Row],[Treatment_Success]]="Yes",1,0)</f>
        <v>1</v>
      </c>
      <c r="N717">
        <v>32373</v>
      </c>
    </row>
    <row r="718" spans="1:14" x14ac:dyDescent="0.35">
      <c r="A718" t="s">
        <v>765</v>
      </c>
      <c r="B718">
        <v>69</v>
      </c>
      <c r="C718" t="str">
        <f>_xlfn.IFS(Table3[[#This Row],[Age]]&lt;=10, "Child",Table3[[#This Row],[Age]]&lt;18, "Teenger", Table3[[#This Row],[Age]]&lt;30, "Middle Age", Table3[[#This Row],[Age]]&lt; 60,"Adult",Table3[[#This Row],[Age]],"Senior Citizen")</f>
        <v>Senior Citizen</v>
      </c>
      <c r="D718" t="s">
        <v>18</v>
      </c>
      <c r="E718" t="s">
        <v>13</v>
      </c>
      <c r="F718" t="s">
        <v>80</v>
      </c>
      <c r="G718" s="1">
        <v>45318</v>
      </c>
      <c r="H718" s="1">
        <v>45333</v>
      </c>
      <c r="I718" s="2">
        <f>Table3[[#This Row],[Discharge_Date]]-Table3[[#This Row],[Admission_Date]]</f>
        <v>15</v>
      </c>
      <c r="J718">
        <v>249</v>
      </c>
      <c r="K718" t="s">
        <v>15</v>
      </c>
      <c r="L718" t="s">
        <v>16</v>
      </c>
      <c r="M718">
        <f>IF(Table3[[#This Row],[Treatment_Success]]="Yes",1,0)</f>
        <v>1</v>
      </c>
      <c r="N718">
        <v>66682</v>
      </c>
    </row>
    <row r="719" spans="1:14" x14ac:dyDescent="0.35">
      <c r="A719" t="s">
        <v>766</v>
      </c>
      <c r="B719">
        <v>75</v>
      </c>
      <c r="C719" t="str">
        <f>_xlfn.IFS(Table3[[#This Row],[Age]]&lt;=10, "Child",Table3[[#This Row],[Age]]&lt;18, "Teenger", Table3[[#This Row],[Age]]&lt;30, "Middle Age", Table3[[#This Row],[Age]]&lt; 60,"Adult",Table3[[#This Row],[Age]],"Senior Citizen")</f>
        <v>Senior Citizen</v>
      </c>
      <c r="D719" t="s">
        <v>12</v>
      </c>
      <c r="E719" t="s">
        <v>31</v>
      </c>
      <c r="F719" t="s">
        <v>29</v>
      </c>
      <c r="G719" s="1">
        <v>45519</v>
      </c>
      <c r="H719" s="1">
        <v>45529</v>
      </c>
      <c r="I719" s="2">
        <f>Table3[[#This Row],[Discharge_Date]]-Table3[[#This Row],[Admission_Date]]</f>
        <v>10</v>
      </c>
      <c r="J719">
        <v>167</v>
      </c>
      <c r="K719" t="s">
        <v>36</v>
      </c>
      <c r="L719" t="s">
        <v>16</v>
      </c>
      <c r="M719">
        <f>IF(Table3[[#This Row],[Treatment_Success]]="Yes",1,0)</f>
        <v>1</v>
      </c>
      <c r="N719">
        <v>90493</v>
      </c>
    </row>
    <row r="720" spans="1:14" x14ac:dyDescent="0.35">
      <c r="A720" t="s">
        <v>767</v>
      </c>
      <c r="B720">
        <v>31</v>
      </c>
      <c r="C720" t="str">
        <f>_xlfn.IFS(Table3[[#This Row],[Age]]&lt;=10, "Child",Table3[[#This Row],[Age]]&lt;18, "Teenger", Table3[[#This Row],[Age]]&lt;30, "Middle Age", Table3[[#This Row],[Age]]&lt; 60,"Adult",Table3[[#This Row],[Age]],"Senior Citizen")</f>
        <v>Adult</v>
      </c>
      <c r="D720" t="s">
        <v>12</v>
      </c>
      <c r="E720" t="s">
        <v>13</v>
      </c>
      <c r="F720" t="s">
        <v>56</v>
      </c>
      <c r="G720" s="1">
        <v>45408</v>
      </c>
      <c r="H720" s="1">
        <v>45410</v>
      </c>
      <c r="I720" s="2">
        <f>Table3[[#This Row],[Discharge_Date]]-Table3[[#This Row],[Admission_Date]]</f>
        <v>2</v>
      </c>
      <c r="J720">
        <v>113</v>
      </c>
      <c r="K720" t="s">
        <v>15</v>
      </c>
      <c r="L720" t="s">
        <v>26</v>
      </c>
      <c r="M720">
        <f>IF(Table3[[#This Row],[Treatment_Success]]="Yes",1,0)</f>
        <v>0</v>
      </c>
      <c r="N720">
        <v>158378</v>
      </c>
    </row>
    <row r="721" spans="1:14" x14ac:dyDescent="0.35">
      <c r="A721" t="s">
        <v>768</v>
      </c>
      <c r="B721">
        <v>56</v>
      </c>
      <c r="C721" t="str">
        <f>_xlfn.IFS(Table3[[#This Row],[Age]]&lt;=10, "Child",Table3[[#This Row],[Age]]&lt;18, "Teenger", Table3[[#This Row],[Age]]&lt;30, "Middle Age", Table3[[#This Row],[Age]]&lt; 60,"Adult",Table3[[#This Row],[Age]],"Senior Citizen")</f>
        <v>Adult</v>
      </c>
      <c r="D721" t="s">
        <v>18</v>
      </c>
      <c r="E721" t="s">
        <v>13</v>
      </c>
      <c r="F721" t="s">
        <v>35</v>
      </c>
      <c r="G721" s="1">
        <v>45540</v>
      </c>
      <c r="H721" s="1">
        <v>45541</v>
      </c>
      <c r="I721" s="2">
        <f>Table3[[#This Row],[Discharge_Date]]-Table3[[#This Row],[Admission_Date]]</f>
        <v>1</v>
      </c>
      <c r="J721">
        <v>233</v>
      </c>
      <c r="K721" t="s">
        <v>36</v>
      </c>
      <c r="L721" t="s">
        <v>26</v>
      </c>
      <c r="M721">
        <f>IF(Table3[[#This Row],[Treatment_Success]]="Yes",1,0)</f>
        <v>0</v>
      </c>
      <c r="N721">
        <v>102906</v>
      </c>
    </row>
    <row r="722" spans="1:14" x14ac:dyDescent="0.35">
      <c r="A722" t="s">
        <v>769</v>
      </c>
      <c r="B722">
        <v>25</v>
      </c>
      <c r="C722" t="str">
        <f>_xlfn.IFS(Table3[[#This Row],[Age]]&lt;=10, "Child",Table3[[#This Row],[Age]]&lt;18, "Teenger", Table3[[#This Row],[Age]]&lt;30, "Middle Age", Table3[[#This Row],[Age]]&lt; 60,"Adult",Table3[[#This Row],[Age]],"Senior Citizen")</f>
        <v>Middle Age</v>
      </c>
      <c r="D722" t="s">
        <v>12</v>
      </c>
      <c r="E722" t="s">
        <v>38</v>
      </c>
      <c r="F722" t="s">
        <v>29</v>
      </c>
      <c r="G722" s="1">
        <v>45361</v>
      </c>
      <c r="H722" s="1">
        <v>45369</v>
      </c>
      <c r="I722" s="2">
        <f>Table3[[#This Row],[Discharge_Date]]-Table3[[#This Row],[Admission_Date]]</f>
        <v>8</v>
      </c>
      <c r="J722">
        <v>172</v>
      </c>
      <c r="K722" t="s">
        <v>36</v>
      </c>
      <c r="L722" t="s">
        <v>16</v>
      </c>
      <c r="M722">
        <f>IF(Table3[[#This Row],[Treatment_Success]]="Yes",1,0)</f>
        <v>1</v>
      </c>
      <c r="N722">
        <v>186458</v>
      </c>
    </row>
    <row r="723" spans="1:14" x14ac:dyDescent="0.35">
      <c r="A723" t="s">
        <v>770</v>
      </c>
      <c r="B723">
        <v>36</v>
      </c>
      <c r="C723" t="str">
        <f>_xlfn.IFS(Table3[[#This Row],[Age]]&lt;=10, "Child",Table3[[#This Row],[Age]]&lt;18, "Teenger", Table3[[#This Row],[Age]]&lt;30, "Middle Age", Table3[[#This Row],[Age]]&lt; 60,"Adult",Table3[[#This Row],[Age]],"Senior Citizen")</f>
        <v>Adult</v>
      </c>
      <c r="D723" t="s">
        <v>18</v>
      </c>
      <c r="E723" t="s">
        <v>24</v>
      </c>
      <c r="F723" t="s">
        <v>20</v>
      </c>
      <c r="G723" s="1">
        <v>45583</v>
      </c>
      <c r="H723" s="1">
        <v>45584</v>
      </c>
      <c r="I723" s="2">
        <f>Table3[[#This Row],[Discharge_Date]]-Table3[[#This Row],[Admission_Date]]</f>
        <v>1</v>
      </c>
      <c r="J723">
        <v>235</v>
      </c>
      <c r="K723" t="s">
        <v>46</v>
      </c>
      <c r="L723" t="s">
        <v>16</v>
      </c>
      <c r="M723">
        <f>IF(Table3[[#This Row],[Treatment_Success]]="Yes",1,0)</f>
        <v>1</v>
      </c>
      <c r="N723">
        <v>95066</v>
      </c>
    </row>
    <row r="724" spans="1:14" x14ac:dyDescent="0.35">
      <c r="A724" t="s">
        <v>771</v>
      </c>
      <c r="B724">
        <v>38</v>
      </c>
      <c r="C724" t="str">
        <f>_xlfn.IFS(Table3[[#This Row],[Age]]&lt;=10, "Child",Table3[[#This Row],[Age]]&lt;18, "Teenger", Table3[[#This Row],[Age]]&lt;30, "Middle Age", Table3[[#This Row],[Age]]&lt; 60,"Adult",Table3[[#This Row],[Age]],"Senior Citizen")</f>
        <v>Adult</v>
      </c>
      <c r="D724" t="s">
        <v>18</v>
      </c>
      <c r="E724" t="s">
        <v>28</v>
      </c>
      <c r="F724" t="s">
        <v>66</v>
      </c>
      <c r="G724" s="1">
        <v>45404</v>
      </c>
      <c r="H724" s="1">
        <v>45419</v>
      </c>
      <c r="I724" s="2">
        <f>Table3[[#This Row],[Discharge_Date]]-Table3[[#This Row],[Admission_Date]]</f>
        <v>15</v>
      </c>
      <c r="J724">
        <v>296</v>
      </c>
      <c r="K724" t="s">
        <v>36</v>
      </c>
      <c r="L724" t="s">
        <v>16</v>
      </c>
      <c r="M724">
        <f>IF(Table3[[#This Row],[Treatment_Success]]="Yes",1,0)</f>
        <v>1</v>
      </c>
      <c r="N724">
        <v>112923</v>
      </c>
    </row>
    <row r="725" spans="1:14" x14ac:dyDescent="0.35">
      <c r="A725" t="s">
        <v>772</v>
      </c>
      <c r="B725">
        <v>28</v>
      </c>
      <c r="C725" t="str">
        <f>_xlfn.IFS(Table3[[#This Row],[Age]]&lt;=10, "Child",Table3[[#This Row],[Age]]&lt;18, "Teenger", Table3[[#This Row],[Age]]&lt;30, "Middle Age", Table3[[#This Row],[Age]]&lt; 60,"Adult",Table3[[#This Row],[Age]],"Senior Citizen")</f>
        <v>Middle Age</v>
      </c>
      <c r="D725" t="s">
        <v>12</v>
      </c>
      <c r="E725" t="s">
        <v>31</v>
      </c>
      <c r="F725" t="s">
        <v>32</v>
      </c>
      <c r="G725" s="1">
        <v>45559</v>
      </c>
      <c r="H725" s="1">
        <v>45567</v>
      </c>
      <c r="I725" s="2">
        <f>Table3[[#This Row],[Discharge_Date]]-Table3[[#This Row],[Admission_Date]]</f>
        <v>8</v>
      </c>
      <c r="J725">
        <v>8</v>
      </c>
      <c r="K725" t="s">
        <v>46</v>
      </c>
      <c r="L725" t="s">
        <v>16</v>
      </c>
      <c r="M725">
        <f>IF(Table3[[#This Row],[Treatment_Success]]="Yes",1,0)</f>
        <v>1</v>
      </c>
      <c r="N725">
        <v>69967</v>
      </c>
    </row>
    <row r="726" spans="1:14" x14ac:dyDescent="0.35">
      <c r="A726" t="s">
        <v>773</v>
      </c>
      <c r="B726">
        <v>75</v>
      </c>
      <c r="C726" t="str">
        <f>_xlfn.IFS(Table3[[#This Row],[Age]]&lt;=10, "Child",Table3[[#This Row],[Age]]&lt;18, "Teenger", Table3[[#This Row],[Age]]&lt;30, "Middle Age", Table3[[#This Row],[Age]]&lt; 60,"Adult",Table3[[#This Row],[Age]],"Senior Citizen")</f>
        <v>Senior Citizen</v>
      </c>
      <c r="D726" t="s">
        <v>18</v>
      </c>
      <c r="E726" t="s">
        <v>28</v>
      </c>
      <c r="F726" t="s">
        <v>106</v>
      </c>
      <c r="G726" s="1">
        <v>45459</v>
      </c>
      <c r="H726" s="1">
        <v>45466</v>
      </c>
      <c r="I726" s="2">
        <f>Table3[[#This Row],[Discharge_Date]]-Table3[[#This Row],[Admission_Date]]</f>
        <v>7</v>
      </c>
      <c r="J726">
        <v>294</v>
      </c>
      <c r="K726" t="s">
        <v>15</v>
      </c>
      <c r="L726" t="s">
        <v>26</v>
      </c>
      <c r="M726">
        <f>IF(Table3[[#This Row],[Treatment_Success]]="Yes",1,0)</f>
        <v>0</v>
      </c>
      <c r="N726">
        <v>16593</v>
      </c>
    </row>
    <row r="727" spans="1:14" x14ac:dyDescent="0.35">
      <c r="A727" t="s">
        <v>774</v>
      </c>
      <c r="B727">
        <v>65</v>
      </c>
      <c r="C727" t="str">
        <f>_xlfn.IFS(Table3[[#This Row],[Age]]&lt;=10, "Child",Table3[[#This Row],[Age]]&lt;18, "Teenger", Table3[[#This Row],[Age]]&lt;30, "Middle Age", Table3[[#This Row],[Age]]&lt; 60,"Adult",Table3[[#This Row],[Age]],"Senior Citizen")</f>
        <v>Senior Citizen</v>
      </c>
      <c r="D727" t="s">
        <v>18</v>
      </c>
      <c r="E727" t="s">
        <v>31</v>
      </c>
      <c r="F727" t="s">
        <v>49</v>
      </c>
      <c r="G727" s="1">
        <v>45312</v>
      </c>
      <c r="H727" s="1">
        <v>45320</v>
      </c>
      <c r="I727" s="2">
        <f>Table3[[#This Row],[Discharge_Date]]-Table3[[#This Row],[Admission_Date]]</f>
        <v>8</v>
      </c>
      <c r="J727">
        <v>202</v>
      </c>
      <c r="K727" t="s">
        <v>46</v>
      </c>
      <c r="L727" t="s">
        <v>16</v>
      </c>
      <c r="M727">
        <f>IF(Table3[[#This Row],[Treatment_Success]]="Yes",1,0)</f>
        <v>1</v>
      </c>
      <c r="N727">
        <v>123604</v>
      </c>
    </row>
    <row r="728" spans="1:14" x14ac:dyDescent="0.35">
      <c r="A728" t="s">
        <v>775</v>
      </c>
      <c r="B728">
        <v>11</v>
      </c>
      <c r="C728" t="str">
        <f>_xlfn.IFS(Table3[[#This Row],[Age]]&lt;=10, "Child",Table3[[#This Row],[Age]]&lt;18, "Teenger", Table3[[#This Row],[Age]]&lt;30, "Middle Age", Table3[[#This Row],[Age]]&lt; 60,"Adult",Table3[[#This Row],[Age]],"Senior Citizen")</f>
        <v>Teenger</v>
      </c>
      <c r="D728" t="s">
        <v>18</v>
      </c>
      <c r="E728" t="s">
        <v>31</v>
      </c>
      <c r="F728" t="s">
        <v>29</v>
      </c>
      <c r="G728" s="1">
        <v>45545</v>
      </c>
      <c r="H728" s="1">
        <v>45549</v>
      </c>
      <c r="I728" s="2">
        <f>Table3[[#This Row],[Discharge_Date]]-Table3[[#This Row],[Admission_Date]]</f>
        <v>4</v>
      </c>
      <c r="J728">
        <v>68</v>
      </c>
      <c r="K728" t="s">
        <v>33</v>
      </c>
      <c r="L728" t="s">
        <v>16</v>
      </c>
      <c r="M728">
        <f>IF(Table3[[#This Row],[Treatment_Success]]="Yes",1,0)</f>
        <v>1</v>
      </c>
      <c r="N728">
        <v>67668</v>
      </c>
    </row>
    <row r="729" spans="1:14" x14ac:dyDescent="0.35">
      <c r="A729" t="s">
        <v>776</v>
      </c>
      <c r="B729">
        <v>3</v>
      </c>
      <c r="C729" t="str">
        <f>_xlfn.IFS(Table3[[#This Row],[Age]]&lt;=10, "Child",Table3[[#This Row],[Age]]&lt;18, "Teenger", Table3[[#This Row],[Age]]&lt;30, "Middle Age", Table3[[#This Row],[Age]]&lt; 60,"Adult",Table3[[#This Row],[Age]],"Senior Citizen")</f>
        <v>Child</v>
      </c>
      <c r="D729" t="s">
        <v>12</v>
      </c>
      <c r="E729" t="s">
        <v>38</v>
      </c>
      <c r="F729" t="s">
        <v>66</v>
      </c>
      <c r="G729" s="1">
        <v>45623</v>
      </c>
      <c r="H729" s="1">
        <v>45625</v>
      </c>
      <c r="I729" s="2">
        <f>Table3[[#This Row],[Discharge_Date]]-Table3[[#This Row],[Admission_Date]]</f>
        <v>2</v>
      </c>
      <c r="J729">
        <v>236</v>
      </c>
      <c r="K729" t="s">
        <v>15</v>
      </c>
      <c r="L729" t="s">
        <v>26</v>
      </c>
      <c r="M729">
        <f>IF(Table3[[#This Row],[Treatment_Success]]="Yes",1,0)</f>
        <v>0</v>
      </c>
      <c r="N729">
        <v>126572</v>
      </c>
    </row>
    <row r="730" spans="1:14" x14ac:dyDescent="0.35">
      <c r="A730" t="s">
        <v>777</v>
      </c>
      <c r="B730">
        <v>52</v>
      </c>
      <c r="C730" t="str">
        <f>_xlfn.IFS(Table3[[#This Row],[Age]]&lt;=10, "Child",Table3[[#This Row],[Age]]&lt;18, "Teenger", Table3[[#This Row],[Age]]&lt;30, "Middle Age", Table3[[#This Row],[Age]]&lt; 60,"Adult",Table3[[#This Row],[Age]],"Senior Citizen")</f>
        <v>Adult</v>
      </c>
      <c r="D730" t="s">
        <v>18</v>
      </c>
      <c r="E730" t="s">
        <v>38</v>
      </c>
      <c r="F730" t="s">
        <v>68</v>
      </c>
      <c r="G730" s="1">
        <v>45362</v>
      </c>
      <c r="H730" s="1">
        <v>45376</v>
      </c>
      <c r="I730" s="2">
        <f>Table3[[#This Row],[Discharge_Date]]-Table3[[#This Row],[Admission_Date]]</f>
        <v>14</v>
      </c>
      <c r="J730">
        <v>238</v>
      </c>
      <c r="K730" t="s">
        <v>15</v>
      </c>
      <c r="L730" t="s">
        <v>16</v>
      </c>
      <c r="M730">
        <f>IF(Table3[[#This Row],[Treatment_Success]]="Yes",1,0)</f>
        <v>1</v>
      </c>
      <c r="N730">
        <v>105893</v>
      </c>
    </row>
    <row r="731" spans="1:14" x14ac:dyDescent="0.35">
      <c r="A731" t="s">
        <v>778</v>
      </c>
      <c r="B731">
        <v>68</v>
      </c>
      <c r="C731" t="str">
        <f>_xlfn.IFS(Table3[[#This Row],[Age]]&lt;=10, "Child",Table3[[#This Row],[Age]]&lt;18, "Teenger", Table3[[#This Row],[Age]]&lt;30, "Middle Age", Table3[[#This Row],[Age]]&lt; 60,"Adult",Table3[[#This Row],[Age]],"Senior Citizen")</f>
        <v>Senior Citizen</v>
      </c>
      <c r="D731" t="s">
        <v>18</v>
      </c>
      <c r="E731" t="s">
        <v>38</v>
      </c>
      <c r="F731" t="s">
        <v>93</v>
      </c>
      <c r="G731" s="1">
        <v>45645</v>
      </c>
      <c r="H731" s="1">
        <v>45651</v>
      </c>
      <c r="I731" s="2">
        <f>Table3[[#This Row],[Discharge_Date]]-Table3[[#This Row],[Admission_Date]]</f>
        <v>6</v>
      </c>
      <c r="J731">
        <v>139</v>
      </c>
      <c r="K731" t="s">
        <v>36</v>
      </c>
      <c r="L731" t="s">
        <v>16</v>
      </c>
      <c r="M731">
        <f>IF(Table3[[#This Row],[Treatment_Success]]="Yes",1,0)</f>
        <v>1</v>
      </c>
      <c r="N731">
        <v>167648</v>
      </c>
    </row>
    <row r="732" spans="1:14" x14ac:dyDescent="0.35">
      <c r="A732" t="s">
        <v>779</v>
      </c>
      <c r="B732">
        <v>8</v>
      </c>
      <c r="C732" t="str">
        <f>_xlfn.IFS(Table3[[#This Row],[Age]]&lt;=10, "Child",Table3[[#This Row],[Age]]&lt;18, "Teenger", Table3[[#This Row],[Age]]&lt;30, "Middle Age", Table3[[#This Row],[Age]]&lt; 60,"Adult",Table3[[#This Row],[Age]],"Senior Citizen")</f>
        <v>Child</v>
      </c>
      <c r="D732" t="s">
        <v>12</v>
      </c>
      <c r="E732" t="s">
        <v>24</v>
      </c>
      <c r="F732" t="s">
        <v>90</v>
      </c>
      <c r="G732" s="1">
        <v>45463</v>
      </c>
      <c r="H732" s="1">
        <v>45475</v>
      </c>
      <c r="I732" s="2">
        <f>Table3[[#This Row],[Discharge_Date]]-Table3[[#This Row],[Admission_Date]]</f>
        <v>12</v>
      </c>
      <c r="J732">
        <v>197</v>
      </c>
      <c r="K732" t="s">
        <v>33</v>
      </c>
      <c r="L732" t="s">
        <v>26</v>
      </c>
      <c r="M732">
        <f>IF(Table3[[#This Row],[Treatment_Success]]="Yes",1,0)</f>
        <v>0</v>
      </c>
      <c r="N732">
        <v>167302</v>
      </c>
    </row>
    <row r="733" spans="1:14" x14ac:dyDescent="0.35">
      <c r="A733" t="s">
        <v>780</v>
      </c>
      <c r="B733">
        <v>47</v>
      </c>
      <c r="C733" t="str">
        <f>_xlfn.IFS(Table3[[#This Row],[Age]]&lt;=10, "Child",Table3[[#This Row],[Age]]&lt;18, "Teenger", Table3[[#This Row],[Age]]&lt;30, "Middle Age", Table3[[#This Row],[Age]]&lt; 60,"Adult",Table3[[#This Row],[Age]],"Senior Citizen")</f>
        <v>Adult</v>
      </c>
      <c r="D733" t="s">
        <v>18</v>
      </c>
      <c r="E733" t="s">
        <v>28</v>
      </c>
      <c r="F733" t="s">
        <v>40</v>
      </c>
      <c r="G733" s="1">
        <v>45312</v>
      </c>
      <c r="H733" s="1">
        <v>45318</v>
      </c>
      <c r="I733" s="2">
        <f>Table3[[#This Row],[Discharge_Date]]-Table3[[#This Row],[Admission_Date]]</f>
        <v>6</v>
      </c>
      <c r="J733">
        <v>35</v>
      </c>
      <c r="K733" t="s">
        <v>36</v>
      </c>
      <c r="L733" t="s">
        <v>16</v>
      </c>
      <c r="M733">
        <f>IF(Table3[[#This Row],[Treatment_Success]]="Yes",1,0)</f>
        <v>1</v>
      </c>
      <c r="N733">
        <v>92799</v>
      </c>
    </row>
    <row r="734" spans="1:14" x14ac:dyDescent="0.35">
      <c r="A734" t="s">
        <v>781</v>
      </c>
      <c r="B734">
        <v>15</v>
      </c>
      <c r="C734" t="str">
        <f>_xlfn.IFS(Table3[[#This Row],[Age]]&lt;=10, "Child",Table3[[#This Row],[Age]]&lt;18, "Teenger", Table3[[#This Row],[Age]]&lt;30, "Middle Age", Table3[[#This Row],[Age]]&lt; 60,"Adult",Table3[[#This Row],[Age]],"Senior Citizen")</f>
        <v>Teenger</v>
      </c>
      <c r="D734" t="s">
        <v>12</v>
      </c>
      <c r="E734" t="s">
        <v>28</v>
      </c>
      <c r="F734" t="s">
        <v>40</v>
      </c>
      <c r="G734" s="1">
        <v>45414</v>
      </c>
      <c r="H734" s="1">
        <v>45423</v>
      </c>
      <c r="I734" s="2">
        <f>Table3[[#This Row],[Discharge_Date]]-Table3[[#This Row],[Admission_Date]]</f>
        <v>9</v>
      </c>
      <c r="J734">
        <v>108</v>
      </c>
      <c r="K734" t="s">
        <v>36</v>
      </c>
      <c r="L734" t="s">
        <v>16</v>
      </c>
      <c r="M734">
        <f>IF(Table3[[#This Row],[Treatment_Success]]="Yes",1,0)</f>
        <v>1</v>
      </c>
      <c r="N734">
        <v>97461</v>
      </c>
    </row>
    <row r="735" spans="1:14" x14ac:dyDescent="0.35">
      <c r="A735" t="s">
        <v>782</v>
      </c>
      <c r="B735">
        <v>88</v>
      </c>
      <c r="C735" t="str">
        <f>_xlfn.IFS(Table3[[#This Row],[Age]]&lt;=10, "Child",Table3[[#This Row],[Age]]&lt;18, "Teenger", Table3[[#This Row],[Age]]&lt;30, "Middle Age", Table3[[#This Row],[Age]]&lt; 60,"Adult",Table3[[#This Row],[Age]],"Senior Citizen")</f>
        <v>Senior Citizen</v>
      </c>
      <c r="D735" t="s">
        <v>12</v>
      </c>
      <c r="E735" t="s">
        <v>38</v>
      </c>
      <c r="F735" t="s">
        <v>52</v>
      </c>
      <c r="G735" s="1">
        <v>45428</v>
      </c>
      <c r="H735" s="1">
        <v>45437</v>
      </c>
      <c r="I735" s="2">
        <f>Table3[[#This Row],[Discharge_Date]]-Table3[[#This Row],[Admission_Date]]</f>
        <v>9</v>
      </c>
      <c r="J735">
        <v>33</v>
      </c>
      <c r="K735" t="s">
        <v>33</v>
      </c>
      <c r="L735" t="s">
        <v>16</v>
      </c>
      <c r="M735">
        <f>IF(Table3[[#This Row],[Treatment_Success]]="Yes",1,0)</f>
        <v>1</v>
      </c>
      <c r="N735">
        <v>123596</v>
      </c>
    </row>
    <row r="736" spans="1:14" x14ac:dyDescent="0.35">
      <c r="A736" t="s">
        <v>783</v>
      </c>
      <c r="B736">
        <v>68</v>
      </c>
      <c r="C736" t="str">
        <f>_xlfn.IFS(Table3[[#This Row],[Age]]&lt;=10, "Child",Table3[[#This Row],[Age]]&lt;18, "Teenger", Table3[[#This Row],[Age]]&lt;30, "Middle Age", Table3[[#This Row],[Age]]&lt; 60,"Adult",Table3[[#This Row],[Age]],"Senior Citizen")</f>
        <v>Senior Citizen</v>
      </c>
      <c r="D736" t="s">
        <v>18</v>
      </c>
      <c r="E736" t="s">
        <v>31</v>
      </c>
      <c r="F736" t="s">
        <v>40</v>
      </c>
      <c r="G736" s="1">
        <v>45540</v>
      </c>
      <c r="H736" s="1">
        <v>45549</v>
      </c>
      <c r="I736" s="2">
        <f>Table3[[#This Row],[Discharge_Date]]-Table3[[#This Row],[Admission_Date]]</f>
        <v>9</v>
      </c>
      <c r="J736">
        <v>273</v>
      </c>
      <c r="K736" t="s">
        <v>33</v>
      </c>
      <c r="L736" t="s">
        <v>26</v>
      </c>
      <c r="M736">
        <f>IF(Table3[[#This Row],[Treatment_Success]]="Yes",1,0)</f>
        <v>0</v>
      </c>
      <c r="N736">
        <v>167778</v>
      </c>
    </row>
    <row r="737" spans="1:14" x14ac:dyDescent="0.35">
      <c r="A737" t="s">
        <v>784</v>
      </c>
      <c r="B737">
        <v>87</v>
      </c>
      <c r="C737" t="str">
        <f>_xlfn.IFS(Table3[[#This Row],[Age]]&lt;=10, "Child",Table3[[#This Row],[Age]]&lt;18, "Teenger", Table3[[#This Row],[Age]]&lt;30, "Middle Age", Table3[[#This Row],[Age]]&lt; 60,"Adult",Table3[[#This Row],[Age]],"Senior Citizen")</f>
        <v>Senior Citizen</v>
      </c>
      <c r="D737" t="s">
        <v>18</v>
      </c>
      <c r="E737" t="s">
        <v>13</v>
      </c>
      <c r="F737" t="s">
        <v>20</v>
      </c>
      <c r="G737" s="1">
        <v>45480</v>
      </c>
      <c r="H737" s="1">
        <v>45493</v>
      </c>
      <c r="I737" s="2">
        <f>Table3[[#This Row],[Discharge_Date]]-Table3[[#This Row],[Admission_Date]]</f>
        <v>13</v>
      </c>
      <c r="J737">
        <v>45</v>
      </c>
      <c r="K737" t="s">
        <v>15</v>
      </c>
      <c r="L737" t="s">
        <v>26</v>
      </c>
      <c r="M737">
        <f>IF(Table3[[#This Row],[Treatment_Success]]="Yes",1,0)</f>
        <v>0</v>
      </c>
      <c r="N737">
        <v>51874</v>
      </c>
    </row>
    <row r="738" spans="1:14" x14ac:dyDescent="0.35">
      <c r="A738" t="s">
        <v>785</v>
      </c>
      <c r="B738">
        <v>14</v>
      </c>
      <c r="C738" t="str">
        <f>_xlfn.IFS(Table3[[#This Row],[Age]]&lt;=10, "Child",Table3[[#This Row],[Age]]&lt;18, "Teenger", Table3[[#This Row],[Age]]&lt;30, "Middle Age", Table3[[#This Row],[Age]]&lt; 60,"Adult",Table3[[#This Row],[Age]],"Senior Citizen")</f>
        <v>Teenger</v>
      </c>
      <c r="D738" t="s">
        <v>18</v>
      </c>
      <c r="E738" t="s">
        <v>38</v>
      </c>
      <c r="F738" t="s">
        <v>90</v>
      </c>
      <c r="G738" s="1">
        <v>45439</v>
      </c>
      <c r="H738" s="1">
        <v>45441</v>
      </c>
      <c r="I738" s="2">
        <f>Table3[[#This Row],[Discharge_Date]]-Table3[[#This Row],[Admission_Date]]</f>
        <v>2</v>
      </c>
      <c r="J738">
        <v>76</v>
      </c>
      <c r="K738" t="s">
        <v>46</v>
      </c>
      <c r="L738" t="s">
        <v>16</v>
      </c>
      <c r="M738">
        <f>IF(Table3[[#This Row],[Treatment_Success]]="Yes",1,0)</f>
        <v>1</v>
      </c>
      <c r="N738">
        <v>58544</v>
      </c>
    </row>
    <row r="739" spans="1:14" x14ac:dyDescent="0.35">
      <c r="A739" t="s">
        <v>786</v>
      </c>
      <c r="B739">
        <v>3</v>
      </c>
      <c r="C739" t="str">
        <f>_xlfn.IFS(Table3[[#This Row],[Age]]&lt;=10, "Child",Table3[[#This Row],[Age]]&lt;18, "Teenger", Table3[[#This Row],[Age]]&lt;30, "Middle Age", Table3[[#This Row],[Age]]&lt; 60,"Adult",Table3[[#This Row],[Age]],"Senior Citizen")</f>
        <v>Child</v>
      </c>
      <c r="D739" t="s">
        <v>12</v>
      </c>
      <c r="E739" t="s">
        <v>31</v>
      </c>
      <c r="F739" t="s">
        <v>54</v>
      </c>
      <c r="G739" s="1">
        <v>45558</v>
      </c>
      <c r="H739" s="1">
        <v>45569</v>
      </c>
      <c r="I739" s="2">
        <f>Table3[[#This Row],[Discharge_Date]]-Table3[[#This Row],[Admission_Date]]</f>
        <v>11</v>
      </c>
      <c r="J739">
        <v>278</v>
      </c>
      <c r="K739" t="s">
        <v>36</v>
      </c>
      <c r="L739" t="s">
        <v>26</v>
      </c>
      <c r="M739">
        <f>IF(Table3[[#This Row],[Treatment_Success]]="Yes",1,0)</f>
        <v>0</v>
      </c>
      <c r="N739">
        <v>95885</v>
      </c>
    </row>
    <row r="740" spans="1:14" x14ac:dyDescent="0.35">
      <c r="A740" t="s">
        <v>787</v>
      </c>
      <c r="B740">
        <v>83</v>
      </c>
      <c r="C740" t="str">
        <f>_xlfn.IFS(Table3[[#This Row],[Age]]&lt;=10, "Child",Table3[[#This Row],[Age]]&lt;18, "Teenger", Table3[[#This Row],[Age]]&lt;30, "Middle Age", Table3[[#This Row],[Age]]&lt; 60,"Adult",Table3[[#This Row],[Age]],"Senior Citizen")</f>
        <v>Senior Citizen</v>
      </c>
      <c r="D740" t="s">
        <v>18</v>
      </c>
      <c r="E740" t="s">
        <v>38</v>
      </c>
      <c r="F740" t="s">
        <v>29</v>
      </c>
      <c r="G740" s="1">
        <v>45507</v>
      </c>
      <c r="H740" s="1">
        <v>45515</v>
      </c>
      <c r="I740" s="2">
        <f>Table3[[#This Row],[Discharge_Date]]-Table3[[#This Row],[Admission_Date]]</f>
        <v>8</v>
      </c>
      <c r="J740">
        <v>33</v>
      </c>
      <c r="K740" t="s">
        <v>15</v>
      </c>
      <c r="L740" t="s">
        <v>16</v>
      </c>
      <c r="M740">
        <f>IF(Table3[[#This Row],[Treatment_Success]]="Yes",1,0)</f>
        <v>1</v>
      </c>
      <c r="N740">
        <v>141215</v>
      </c>
    </row>
    <row r="741" spans="1:14" x14ac:dyDescent="0.35">
      <c r="A741" t="s">
        <v>788</v>
      </c>
      <c r="B741">
        <v>53</v>
      </c>
      <c r="C741" t="str">
        <f>_xlfn.IFS(Table3[[#This Row],[Age]]&lt;=10, "Child",Table3[[#This Row],[Age]]&lt;18, "Teenger", Table3[[#This Row],[Age]]&lt;30, "Middle Age", Table3[[#This Row],[Age]]&lt; 60,"Adult",Table3[[#This Row],[Age]],"Senior Citizen")</f>
        <v>Adult</v>
      </c>
      <c r="D741" t="s">
        <v>12</v>
      </c>
      <c r="E741" t="s">
        <v>38</v>
      </c>
      <c r="F741" t="s">
        <v>43</v>
      </c>
      <c r="G741" s="1">
        <v>45622</v>
      </c>
      <c r="H741" s="1">
        <v>45628</v>
      </c>
      <c r="I741" s="2">
        <f>Table3[[#This Row],[Discharge_Date]]-Table3[[#This Row],[Admission_Date]]</f>
        <v>6</v>
      </c>
      <c r="J741">
        <v>272</v>
      </c>
      <c r="K741" t="s">
        <v>46</v>
      </c>
      <c r="L741" t="s">
        <v>26</v>
      </c>
      <c r="M741">
        <f>IF(Table3[[#This Row],[Treatment_Success]]="Yes",1,0)</f>
        <v>0</v>
      </c>
      <c r="N741">
        <v>84713</v>
      </c>
    </row>
    <row r="742" spans="1:14" x14ac:dyDescent="0.35">
      <c r="A742" t="s">
        <v>789</v>
      </c>
      <c r="B742">
        <v>40</v>
      </c>
      <c r="C742" t="str">
        <f>_xlfn.IFS(Table3[[#This Row],[Age]]&lt;=10, "Child",Table3[[#This Row],[Age]]&lt;18, "Teenger", Table3[[#This Row],[Age]]&lt;30, "Middle Age", Table3[[#This Row],[Age]]&lt; 60,"Adult",Table3[[#This Row],[Age]],"Senior Citizen")</f>
        <v>Adult</v>
      </c>
      <c r="D742" t="s">
        <v>18</v>
      </c>
      <c r="E742" t="s">
        <v>38</v>
      </c>
      <c r="F742" t="s">
        <v>14</v>
      </c>
      <c r="G742" s="1">
        <v>45582</v>
      </c>
      <c r="H742" s="1">
        <v>45585</v>
      </c>
      <c r="I742" s="2">
        <f>Table3[[#This Row],[Discharge_Date]]-Table3[[#This Row],[Admission_Date]]</f>
        <v>3</v>
      </c>
      <c r="J742">
        <v>248</v>
      </c>
      <c r="K742" t="s">
        <v>33</v>
      </c>
      <c r="L742" t="s">
        <v>16</v>
      </c>
      <c r="M742">
        <f>IF(Table3[[#This Row],[Treatment_Success]]="Yes",1,0)</f>
        <v>1</v>
      </c>
      <c r="N742">
        <v>17404</v>
      </c>
    </row>
    <row r="743" spans="1:14" x14ac:dyDescent="0.35">
      <c r="A743" t="s">
        <v>790</v>
      </c>
      <c r="B743">
        <v>37</v>
      </c>
      <c r="C743" t="str">
        <f>_xlfn.IFS(Table3[[#This Row],[Age]]&lt;=10, "Child",Table3[[#This Row],[Age]]&lt;18, "Teenger", Table3[[#This Row],[Age]]&lt;30, "Middle Age", Table3[[#This Row],[Age]]&lt; 60,"Adult",Table3[[#This Row],[Age]],"Senior Citizen")</f>
        <v>Adult</v>
      </c>
      <c r="D743" t="s">
        <v>12</v>
      </c>
      <c r="E743" t="s">
        <v>13</v>
      </c>
      <c r="F743" t="s">
        <v>35</v>
      </c>
      <c r="G743" s="1">
        <v>45367</v>
      </c>
      <c r="H743" s="1">
        <v>45373</v>
      </c>
      <c r="I743" s="2">
        <f>Table3[[#This Row],[Discharge_Date]]-Table3[[#This Row],[Admission_Date]]</f>
        <v>6</v>
      </c>
      <c r="J743">
        <v>83</v>
      </c>
      <c r="K743" t="s">
        <v>33</v>
      </c>
      <c r="L743" t="s">
        <v>16</v>
      </c>
      <c r="M743">
        <f>IF(Table3[[#This Row],[Treatment_Success]]="Yes",1,0)</f>
        <v>1</v>
      </c>
      <c r="N743">
        <v>50969</v>
      </c>
    </row>
    <row r="744" spans="1:14" x14ac:dyDescent="0.35">
      <c r="A744" t="s">
        <v>791</v>
      </c>
      <c r="B744">
        <v>86</v>
      </c>
      <c r="C744" t="str">
        <f>_xlfn.IFS(Table3[[#This Row],[Age]]&lt;=10, "Child",Table3[[#This Row],[Age]]&lt;18, "Teenger", Table3[[#This Row],[Age]]&lt;30, "Middle Age", Table3[[#This Row],[Age]]&lt; 60,"Adult",Table3[[#This Row],[Age]],"Senior Citizen")</f>
        <v>Senior Citizen</v>
      </c>
      <c r="D744" t="s">
        <v>18</v>
      </c>
      <c r="E744" t="s">
        <v>13</v>
      </c>
      <c r="F744" t="s">
        <v>14</v>
      </c>
      <c r="G744" s="1">
        <v>45654</v>
      </c>
      <c r="H744" s="1">
        <v>45666</v>
      </c>
      <c r="I744" s="2">
        <f>Table3[[#This Row],[Discharge_Date]]-Table3[[#This Row],[Admission_Date]]</f>
        <v>12</v>
      </c>
      <c r="J744">
        <v>60</v>
      </c>
      <c r="K744" t="s">
        <v>15</v>
      </c>
      <c r="L744" t="s">
        <v>16</v>
      </c>
      <c r="M744">
        <f>IF(Table3[[#This Row],[Treatment_Success]]="Yes",1,0)</f>
        <v>1</v>
      </c>
      <c r="N744">
        <v>155608</v>
      </c>
    </row>
    <row r="745" spans="1:14" x14ac:dyDescent="0.35">
      <c r="A745" t="s">
        <v>792</v>
      </c>
      <c r="B745">
        <v>34</v>
      </c>
      <c r="C745" t="str">
        <f>_xlfn.IFS(Table3[[#This Row],[Age]]&lt;=10, "Child",Table3[[#This Row],[Age]]&lt;18, "Teenger", Table3[[#This Row],[Age]]&lt;30, "Middle Age", Table3[[#This Row],[Age]]&lt; 60,"Adult",Table3[[#This Row],[Age]],"Senior Citizen")</f>
        <v>Adult</v>
      </c>
      <c r="D745" t="s">
        <v>12</v>
      </c>
      <c r="E745" t="s">
        <v>13</v>
      </c>
      <c r="F745" t="s">
        <v>29</v>
      </c>
      <c r="G745" s="1">
        <v>45356</v>
      </c>
      <c r="H745" s="1">
        <v>45364</v>
      </c>
      <c r="I745" s="2">
        <f>Table3[[#This Row],[Discharge_Date]]-Table3[[#This Row],[Admission_Date]]</f>
        <v>8</v>
      </c>
      <c r="J745">
        <v>288</v>
      </c>
      <c r="K745" t="s">
        <v>15</v>
      </c>
      <c r="L745" t="s">
        <v>16</v>
      </c>
      <c r="M745">
        <f>IF(Table3[[#This Row],[Treatment_Success]]="Yes",1,0)</f>
        <v>1</v>
      </c>
      <c r="N745">
        <v>95137</v>
      </c>
    </row>
    <row r="746" spans="1:14" x14ac:dyDescent="0.35">
      <c r="A746" t="s">
        <v>793</v>
      </c>
      <c r="B746">
        <v>58</v>
      </c>
      <c r="C746" t="str">
        <f>_xlfn.IFS(Table3[[#This Row],[Age]]&lt;=10, "Child",Table3[[#This Row],[Age]]&lt;18, "Teenger", Table3[[#This Row],[Age]]&lt;30, "Middle Age", Table3[[#This Row],[Age]]&lt; 60,"Adult",Table3[[#This Row],[Age]],"Senior Citizen")</f>
        <v>Adult</v>
      </c>
      <c r="D746" t="s">
        <v>18</v>
      </c>
      <c r="E746" t="s">
        <v>28</v>
      </c>
      <c r="F746" t="s">
        <v>83</v>
      </c>
      <c r="G746" s="1">
        <v>45367</v>
      </c>
      <c r="H746" s="1">
        <v>45373</v>
      </c>
      <c r="I746" s="2">
        <f>Table3[[#This Row],[Discharge_Date]]-Table3[[#This Row],[Admission_Date]]</f>
        <v>6</v>
      </c>
      <c r="J746">
        <v>63</v>
      </c>
      <c r="K746" t="s">
        <v>15</v>
      </c>
      <c r="L746" t="s">
        <v>26</v>
      </c>
      <c r="M746">
        <f>IF(Table3[[#This Row],[Treatment_Success]]="Yes",1,0)</f>
        <v>0</v>
      </c>
      <c r="N746">
        <v>135919</v>
      </c>
    </row>
    <row r="747" spans="1:14" x14ac:dyDescent="0.35">
      <c r="A747" t="s">
        <v>794</v>
      </c>
      <c r="B747">
        <v>41</v>
      </c>
      <c r="C747" t="str">
        <f>_xlfn.IFS(Table3[[#This Row],[Age]]&lt;=10, "Child",Table3[[#This Row],[Age]]&lt;18, "Teenger", Table3[[#This Row],[Age]]&lt;30, "Middle Age", Table3[[#This Row],[Age]]&lt; 60,"Adult",Table3[[#This Row],[Age]],"Senior Citizen")</f>
        <v>Adult</v>
      </c>
      <c r="D747" t="s">
        <v>18</v>
      </c>
      <c r="E747" t="s">
        <v>24</v>
      </c>
      <c r="F747" t="s">
        <v>25</v>
      </c>
      <c r="G747" s="1">
        <v>45366</v>
      </c>
      <c r="H747" s="1">
        <v>45374</v>
      </c>
      <c r="I747" s="2">
        <f>Table3[[#This Row],[Discharge_Date]]-Table3[[#This Row],[Admission_Date]]</f>
        <v>8</v>
      </c>
      <c r="J747">
        <v>280</v>
      </c>
      <c r="K747" t="s">
        <v>33</v>
      </c>
      <c r="L747" t="s">
        <v>16</v>
      </c>
      <c r="M747">
        <f>IF(Table3[[#This Row],[Treatment_Success]]="Yes",1,0)</f>
        <v>1</v>
      </c>
      <c r="N747">
        <v>129232</v>
      </c>
    </row>
    <row r="748" spans="1:14" x14ac:dyDescent="0.35">
      <c r="A748" t="s">
        <v>795</v>
      </c>
      <c r="B748">
        <v>74</v>
      </c>
      <c r="C748" t="str">
        <f>_xlfn.IFS(Table3[[#This Row],[Age]]&lt;=10, "Child",Table3[[#This Row],[Age]]&lt;18, "Teenger", Table3[[#This Row],[Age]]&lt;30, "Middle Age", Table3[[#This Row],[Age]]&lt; 60,"Adult",Table3[[#This Row],[Age]],"Senior Citizen")</f>
        <v>Senior Citizen</v>
      </c>
      <c r="D748" t="s">
        <v>18</v>
      </c>
      <c r="E748" t="s">
        <v>28</v>
      </c>
      <c r="F748" t="s">
        <v>25</v>
      </c>
      <c r="G748" s="1">
        <v>45440</v>
      </c>
      <c r="H748" s="1">
        <v>45453</v>
      </c>
      <c r="I748" s="2">
        <f>Table3[[#This Row],[Discharge_Date]]-Table3[[#This Row],[Admission_Date]]</f>
        <v>13</v>
      </c>
      <c r="J748">
        <v>227</v>
      </c>
      <c r="K748" t="s">
        <v>33</v>
      </c>
      <c r="L748" t="s">
        <v>16</v>
      </c>
      <c r="M748">
        <f>IF(Table3[[#This Row],[Treatment_Success]]="Yes",1,0)</f>
        <v>1</v>
      </c>
      <c r="N748">
        <v>196795</v>
      </c>
    </row>
    <row r="749" spans="1:14" x14ac:dyDescent="0.35">
      <c r="A749" t="s">
        <v>796</v>
      </c>
      <c r="B749">
        <v>6</v>
      </c>
      <c r="C749" t="str">
        <f>_xlfn.IFS(Table3[[#This Row],[Age]]&lt;=10, "Child",Table3[[#This Row],[Age]]&lt;18, "Teenger", Table3[[#This Row],[Age]]&lt;30, "Middle Age", Table3[[#This Row],[Age]]&lt; 60,"Adult",Table3[[#This Row],[Age]],"Senior Citizen")</f>
        <v>Child</v>
      </c>
      <c r="D749" t="s">
        <v>18</v>
      </c>
      <c r="E749" t="s">
        <v>28</v>
      </c>
      <c r="F749" t="s">
        <v>90</v>
      </c>
      <c r="G749" s="1">
        <v>45537</v>
      </c>
      <c r="H749" s="1">
        <v>45552</v>
      </c>
      <c r="I749" s="2">
        <f>Table3[[#This Row],[Discharge_Date]]-Table3[[#This Row],[Admission_Date]]</f>
        <v>15</v>
      </c>
      <c r="J749">
        <v>158</v>
      </c>
      <c r="K749" t="s">
        <v>15</v>
      </c>
      <c r="L749" t="s">
        <v>26</v>
      </c>
      <c r="M749">
        <f>IF(Table3[[#This Row],[Treatment_Success]]="Yes",1,0)</f>
        <v>0</v>
      </c>
      <c r="N749">
        <v>166879</v>
      </c>
    </row>
    <row r="750" spans="1:14" x14ac:dyDescent="0.35">
      <c r="A750" t="s">
        <v>797</v>
      </c>
      <c r="B750">
        <v>46</v>
      </c>
      <c r="C750" t="str">
        <f>_xlfn.IFS(Table3[[#This Row],[Age]]&lt;=10, "Child",Table3[[#This Row],[Age]]&lt;18, "Teenger", Table3[[#This Row],[Age]]&lt;30, "Middle Age", Table3[[#This Row],[Age]]&lt; 60,"Adult",Table3[[#This Row],[Age]],"Senior Citizen")</f>
        <v>Adult</v>
      </c>
      <c r="D750" t="s">
        <v>18</v>
      </c>
      <c r="E750" t="s">
        <v>38</v>
      </c>
      <c r="F750" t="s">
        <v>52</v>
      </c>
      <c r="G750" s="1">
        <v>45404</v>
      </c>
      <c r="H750" s="1">
        <v>45412</v>
      </c>
      <c r="I750" s="2">
        <f>Table3[[#This Row],[Discharge_Date]]-Table3[[#This Row],[Admission_Date]]</f>
        <v>8</v>
      </c>
      <c r="J750">
        <v>100</v>
      </c>
      <c r="K750" t="s">
        <v>36</v>
      </c>
      <c r="L750" t="s">
        <v>16</v>
      </c>
      <c r="M750">
        <f>IF(Table3[[#This Row],[Treatment_Success]]="Yes",1,0)</f>
        <v>1</v>
      </c>
      <c r="N750">
        <v>56305</v>
      </c>
    </row>
    <row r="751" spans="1:14" x14ac:dyDescent="0.35">
      <c r="A751" t="s">
        <v>798</v>
      </c>
      <c r="B751">
        <v>69</v>
      </c>
      <c r="C751" t="str">
        <f>_xlfn.IFS(Table3[[#This Row],[Age]]&lt;=10, "Child",Table3[[#This Row],[Age]]&lt;18, "Teenger", Table3[[#This Row],[Age]]&lt;30, "Middle Age", Table3[[#This Row],[Age]]&lt; 60,"Adult",Table3[[#This Row],[Age]],"Senior Citizen")</f>
        <v>Senior Citizen</v>
      </c>
      <c r="D751" t="s">
        <v>12</v>
      </c>
      <c r="E751" t="s">
        <v>24</v>
      </c>
      <c r="F751" t="s">
        <v>49</v>
      </c>
      <c r="G751" s="1">
        <v>45303</v>
      </c>
      <c r="H751" s="1">
        <v>45305</v>
      </c>
      <c r="I751" s="2">
        <f>Table3[[#This Row],[Discharge_Date]]-Table3[[#This Row],[Admission_Date]]</f>
        <v>2</v>
      </c>
      <c r="J751">
        <v>202</v>
      </c>
      <c r="K751" t="s">
        <v>36</v>
      </c>
      <c r="L751" t="s">
        <v>26</v>
      </c>
      <c r="M751">
        <f>IF(Table3[[#This Row],[Treatment_Success]]="Yes",1,0)</f>
        <v>0</v>
      </c>
      <c r="N751">
        <v>88298</v>
      </c>
    </row>
    <row r="752" spans="1:14" x14ac:dyDescent="0.35">
      <c r="A752" t="s">
        <v>799</v>
      </c>
      <c r="B752">
        <v>66</v>
      </c>
      <c r="C752" t="str">
        <f>_xlfn.IFS(Table3[[#This Row],[Age]]&lt;=10, "Child",Table3[[#This Row],[Age]]&lt;18, "Teenger", Table3[[#This Row],[Age]]&lt;30, "Middle Age", Table3[[#This Row],[Age]]&lt; 60,"Adult",Table3[[#This Row],[Age]],"Senior Citizen")</f>
        <v>Senior Citizen</v>
      </c>
      <c r="D752" t="s">
        <v>18</v>
      </c>
      <c r="E752" t="s">
        <v>38</v>
      </c>
      <c r="F752" t="s">
        <v>56</v>
      </c>
      <c r="G752" s="1">
        <v>45600</v>
      </c>
      <c r="H752" s="1">
        <v>45610</v>
      </c>
      <c r="I752" s="2">
        <f>Table3[[#This Row],[Discharge_Date]]-Table3[[#This Row],[Admission_Date]]</f>
        <v>10</v>
      </c>
      <c r="J752">
        <v>76</v>
      </c>
      <c r="K752" t="s">
        <v>46</v>
      </c>
      <c r="L752" t="s">
        <v>16</v>
      </c>
      <c r="M752">
        <f>IF(Table3[[#This Row],[Treatment_Success]]="Yes",1,0)</f>
        <v>1</v>
      </c>
      <c r="N752">
        <v>106217</v>
      </c>
    </row>
    <row r="753" spans="1:14" x14ac:dyDescent="0.35">
      <c r="A753" t="s">
        <v>800</v>
      </c>
      <c r="B753">
        <v>37</v>
      </c>
      <c r="C753" t="str">
        <f>_xlfn.IFS(Table3[[#This Row],[Age]]&lt;=10, "Child",Table3[[#This Row],[Age]]&lt;18, "Teenger", Table3[[#This Row],[Age]]&lt;30, "Middle Age", Table3[[#This Row],[Age]]&lt; 60,"Adult",Table3[[#This Row],[Age]],"Senior Citizen")</f>
        <v>Adult</v>
      </c>
      <c r="D753" t="s">
        <v>12</v>
      </c>
      <c r="E753" t="s">
        <v>38</v>
      </c>
      <c r="F753" t="s">
        <v>83</v>
      </c>
      <c r="G753" s="1">
        <v>45482</v>
      </c>
      <c r="H753" s="1">
        <v>45483</v>
      </c>
      <c r="I753" s="2">
        <f>Table3[[#This Row],[Discharge_Date]]-Table3[[#This Row],[Admission_Date]]</f>
        <v>1</v>
      </c>
      <c r="J753">
        <v>229</v>
      </c>
      <c r="K753" t="s">
        <v>15</v>
      </c>
      <c r="L753" t="s">
        <v>16</v>
      </c>
      <c r="M753">
        <f>IF(Table3[[#This Row],[Treatment_Success]]="Yes",1,0)</f>
        <v>1</v>
      </c>
      <c r="N753">
        <v>195802</v>
      </c>
    </row>
    <row r="754" spans="1:14" x14ac:dyDescent="0.35">
      <c r="A754" t="s">
        <v>801</v>
      </c>
      <c r="B754">
        <v>54</v>
      </c>
      <c r="C754" t="str">
        <f>_xlfn.IFS(Table3[[#This Row],[Age]]&lt;=10, "Child",Table3[[#This Row],[Age]]&lt;18, "Teenger", Table3[[#This Row],[Age]]&lt;30, "Middle Age", Table3[[#This Row],[Age]]&lt; 60,"Adult",Table3[[#This Row],[Age]],"Senior Citizen")</f>
        <v>Adult</v>
      </c>
      <c r="D754" t="s">
        <v>12</v>
      </c>
      <c r="E754" t="s">
        <v>38</v>
      </c>
      <c r="F754" t="s">
        <v>66</v>
      </c>
      <c r="G754" s="1">
        <v>45519</v>
      </c>
      <c r="H754" s="1">
        <v>45531</v>
      </c>
      <c r="I754" s="2">
        <f>Table3[[#This Row],[Discharge_Date]]-Table3[[#This Row],[Admission_Date]]</f>
        <v>12</v>
      </c>
      <c r="J754">
        <v>218</v>
      </c>
      <c r="K754" t="s">
        <v>46</v>
      </c>
      <c r="L754" t="s">
        <v>16</v>
      </c>
      <c r="M754">
        <f>IF(Table3[[#This Row],[Treatment_Success]]="Yes",1,0)</f>
        <v>1</v>
      </c>
      <c r="N754">
        <v>158925</v>
      </c>
    </row>
    <row r="755" spans="1:14" x14ac:dyDescent="0.35">
      <c r="A755" t="s">
        <v>802</v>
      </c>
      <c r="B755">
        <v>19</v>
      </c>
      <c r="C755" t="str">
        <f>_xlfn.IFS(Table3[[#This Row],[Age]]&lt;=10, "Child",Table3[[#This Row],[Age]]&lt;18, "Teenger", Table3[[#This Row],[Age]]&lt;30, "Middle Age", Table3[[#This Row],[Age]]&lt; 60,"Adult",Table3[[#This Row],[Age]],"Senior Citizen")</f>
        <v>Middle Age</v>
      </c>
      <c r="D755" t="s">
        <v>18</v>
      </c>
      <c r="E755" t="s">
        <v>38</v>
      </c>
      <c r="F755" t="s">
        <v>43</v>
      </c>
      <c r="G755" s="1">
        <v>45598</v>
      </c>
      <c r="H755" s="1">
        <v>45600</v>
      </c>
      <c r="I755" s="2">
        <f>Table3[[#This Row],[Discharge_Date]]-Table3[[#This Row],[Admission_Date]]</f>
        <v>2</v>
      </c>
      <c r="J755">
        <v>269</v>
      </c>
      <c r="K755" t="s">
        <v>33</v>
      </c>
      <c r="L755" t="s">
        <v>16</v>
      </c>
      <c r="M755">
        <f>IF(Table3[[#This Row],[Treatment_Success]]="Yes",1,0)</f>
        <v>1</v>
      </c>
      <c r="N755">
        <v>159842</v>
      </c>
    </row>
    <row r="756" spans="1:14" x14ac:dyDescent="0.35">
      <c r="A756" t="s">
        <v>803</v>
      </c>
      <c r="B756">
        <v>1</v>
      </c>
      <c r="C756" t="str">
        <f>_xlfn.IFS(Table3[[#This Row],[Age]]&lt;=10, "Child",Table3[[#This Row],[Age]]&lt;18, "Teenger", Table3[[#This Row],[Age]]&lt;30, "Middle Age", Table3[[#This Row],[Age]]&lt; 60,"Adult",Table3[[#This Row],[Age]],"Senior Citizen")</f>
        <v>Child</v>
      </c>
      <c r="D756" t="s">
        <v>12</v>
      </c>
      <c r="E756" t="s">
        <v>38</v>
      </c>
      <c r="F756" t="s">
        <v>93</v>
      </c>
      <c r="G756" s="1">
        <v>45484</v>
      </c>
      <c r="H756" s="1">
        <v>45486</v>
      </c>
      <c r="I756" s="2">
        <f>Table3[[#This Row],[Discharge_Date]]-Table3[[#This Row],[Admission_Date]]</f>
        <v>2</v>
      </c>
      <c r="J756">
        <v>90</v>
      </c>
      <c r="K756" t="s">
        <v>46</v>
      </c>
      <c r="L756" t="s">
        <v>16</v>
      </c>
      <c r="M756">
        <f>IF(Table3[[#This Row],[Treatment_Success]]="Yes",1,0)</f>
        <v>1</v>
      </c>
      <c r="N756">
        <v>57234</v>
      </c>
    </row>
    <row r="757" spans="1:14" x14ac:dyDescent="0.35">
      <c r="A757" t="s">
        <v>804</v>
      </c>
      <c r="B757">
        <v>49</v>
      </c>
      <c r="C757" t="str">
        <f>_xlfn.IFS(Table3[[#This Row],[Age]]&lt;=10, "Child",Table3[[#This Row],[Age]]&lt;18, "Teenger", Table3[[#This Row],[Age]]&lt;30, "Middle Age", Table3[[#This Row],[Age]]&lt; 60,"Adult",Table3[[#This Row],[Age]],"Senior Citizen")</f>
        <v>Adult</v>
      </c>
      <c r="D757" t="s">
        <v>12</v>
      </c>
      <c r="E757" t="s">
        <v>28</v>
      </c>
      <c r="F757" t="s">
        <v>43</v>
      </c>
      <c r="G757" s="1">
        <v>45387</v>
      </c>
      <c r="H757" s="1">
        <v>45401</v>
      </c>
      <c r="I757" s="2">
        <f>Table3[[#This Row],[Discharge_Date]]-Table3[[#This Row],[Admission_Date]]</f>
        <v>14</v>
      </c>
      <c r="J757">
        <v>22</v>
      </c>
      <c r="K757" t="s">
        <v>33</v>
      </c>
      <c r="L757" t="s">
        <v>16</v>
      </c>
      <c r="M757">
        <f>IF(Table3[[#This Row],[Treatment_Success]]="Yes",1,0)</f>
        <v>1</v>
      </c>
      <c r="N757">
        <v>134525</v>
      </c>
    </row>
    <row r="758" spans="1:14" x14ac:dyDescent="0.35">
      <c r="A758" t="s">
        <v>805</v>
      </c>
      <c r="B758">
        <v>60</v>
      </c>
      <c r="C758" t="str">
        <f>_xlfn.IFS(Table3[[#This Row],[Age]]&lt;=10, "Child",Table3[[#This Row],[Age]]&lt;18, "Teenger", Table3[[#This Row],[Age]]&lt;30, "Middle Age", Table3[[#This Row],[Age]]&lt; 60,"Adult",Table3[[#This Row],[Age]],"Senior Citizen")</f>
        <v>Senior Citizen</v>
      </c>
      <c r="D758" t="s">
        <v>18</v>
      </c>
      <c r="E758" t="s">
        <v>24</v>
      </c>
      <c r="F758" t="s">
        <v>80</v>
      </c>
      <c r="G758" s="1">
        <v>45578</v>
      </c>
      <c r="H758" s="1">
        <v>45590</v>
      </c>
      <c r="I758" s="2">
        <f>Table3[[#This Row],[Discharge_Date]]-Table3[[#This Row],[Admission_Date]]</f>
        <v>12</v>
      </c>
      <c r="J758">
        <v>79</v>
      </c>
      <c r="K758" t="s">
        <v>33</v>
      </c>
      <c r="L758" t="s">
        <v>16</v>
      </c>
      <c r="M758">
        <f>IF(Table3[[#This Row],[Treatment_Success]]="Yes",1,0)</f>
        <v>1</v>
      </c>
      <c r="N758">
        <v>172917</v>
      </c>
    </row>
    <row r="759" spans="1:14" x14ac:dyDescent="0.35">
      <c r="A759" t="s">
        <v>806</v>
      </c>
      <c r="B759">
        <v>16</v>
      </c>
      <c r="C759" t="str">
        <f>_xlfn.IFS(Table3[[#This Row],[Age]]&lt;=10, "Child",Table3[[#This Row],[Age]]&lt;18, "Teenger", Table3[[#This Row],[Age]]&lt;30, "Middle Age", Table3[[#This Row],[Age]]&lt; 60,"Adult",Table3[[#This Row],[Age]],"Senior Citizen")</f>
        <v>Teenger</v>
      </c>
      <c r="D759" t="s">
        <v>12</v>
      </c>
      <c r="E759" t="s">
        <v>31</v>
      </c>
      <c r="F759" t="s">
        <v>66</v>
      </c>
      <c r="G759" s="1">
        <v>45617</v>
      </c>
      <c r="H759" s="1">
        <v>45625</v>
      </c>
      <c r="I759" s="2">
        <f>Table3[[#This Row],[Discharge_Date]]-Table3[[#This Row],[Admission_Date]]</f>
        <v>8</v>
      </c>
      <c r="J759">
        <v>252</v>
      </c>
      <c r="K759" t="s">
        <v>36</v>
      </c>
      <c r="L759" t="s">
        <v>16</v>
      </c>
      <c r="M759">
        <f>IF(Table3[[#This Row],[Treatment_Success]]="Yes",1,0)</f>
        <v>1</v>
      </c>
      <c r="N759">
        <v>36288</v>
      </c>
    </row>
    <row r="760" spans="1:14" x14ac:dyDescent="0.35">
      <c r="A760" t="s">
        <v>807</v>
      </c>
      <c r="B760">
        <v>9</v>
      </c>
      <c r="C760" t="str">
        <f>_xlfn.IFS(Table3[[#This Row],[Age]]&lt;=10, "Child",Table3[[#This Row],[Age]]&lt;18, "Teenger", Table3[[#This Row],[Age]]&lt;30, "Middle Age", Table3[[#This Row],[Age]]&lt; 60,"Adult",Table3[[#This Row],[Age]],"Senior Citizen")</f>
        <v>Child</v>
      </c>
      <c r="D760" t="s">
        <v>12</v>
      </c>
      <c r="E760" t="s">
        <v>28</v>
      </c>
      <c r="F760" t="s">
        <v>43</v>
      </c>
      <c r="G760" s="1">
        <v>45433</v>
      </c>
      <c r="H760" s="1">
        <v>45441</v>
      </c>
      <c r="I760" s="2">
        <f>Table3[[#This Row],[Discharge_Date]]-Table3[[#This Row],[Admission_Date]]</f>
        <v>8</v>
      </c>
      <c r="J760">
        <v>290</v>
      </c>
      <c r="K760" t="s">
        <v>46</v>
      </c>
      <c r="L760" t="s">
        <v>16</v>
      </c>
      <c r="M760">
        <f>IF(Table3[[#This Row],[Treatment_Success]]="Yes",1,0)</f>
        <v>1</v>
      </c>
      <c r="N760">
        <v>169625</v>
      </c>
    </row>
    <row r="761" spans="1:14" x14ac:dyDescent="0.35">
      <c r="A761" t="s">
        <v>808</v>
      </c>
      <c r="B761">
        <v>89</v>
      </c>
      <c r="C761" t="str">
        <f>_xlfn.IFS(Table3[[#This Row],[Age]]&lt;=10, "Child",Table3[[#This Row],[Age]]&lt;18, "Teenger", Table3[[#This Row],[Age]]&lt;30, "Middle Age", Table3[[#This Row],[Age]]&lt; 60,"Adult",Table3[[#This Row],[Age]],"Senior Citizen")</f>
        <v>Senior Citizen</v>
      </c>
      <c r="D761" t="s">
        <v>18</v>
      </c>
      <c r="E761" t="s">
        <v>38</v>
      </c>
      <c r="F761" t="s">
        <v>49</v>
      </c>
      <c r="G761" s="1">
        <v>45643</v>
      </c>
      <c r="H761" s="1">
        <v>45651</v>
      </c>
      <c r="I761" s="2">
        <f>Table3[[#This Row],[Discharge_Date]]-Table3[[#This Row],[Admission_Date]]</f>
        <v>8</v>
      </c>
      <c r="J761">
        <v>295</v>
      </c>
      <c r="K761" t="s">
        <v>15</v>
      </c>
      <c r="L761" t="s">
        <v>16</v>
      </c>
      <c r="M761">
        <f>IF(Table3[[#This Row],[Treatment_Success]]="Yes",1,0)</f>
        <v>1</v>
      </c>
      <c r="N761">
        <v>47689</v>
      </c>
    </row>
    <row r="762" spans="1:14" x14ac:dyDescent="0.35">
      <c r="A762" t="s">
        <v>809</v>
      </c>
      <c r="B762">
        <v>19</v>
      </c>
      <c r="C762" t="str">
        <f>_xlfn.IFS(Table3[[#This Row],[Age]]&lt;=10, "Child",Table3[[#This Row],[Age]]&lt;18, "Teenger", Table3[[#This Row],[Age]]&lt;30, "Middle Age", Table3[[#This Row],[Age]]&lt; 60,"Adult",Table3[[#This Row],[Age]],"Senior Citizen")</f>
        <v>Middle Age</v>
      </c>
      <c r="D762" t="s">
        <v>12</v>
      </c>
      <c r="E762" t="s">
        <v>31</v>
      </c>
      <c r="F762" t="s">
        <v>40</v>
      </c>
      <c r="G762" s="1">
        <v>45589</v>
      </c>
      <c r="H762" s="1">
        <v>45590</v>
      </c>
      <c r="I762" s="2">
        <f>Table3[[#This Row],[Discharge_Date]]-Table3[[#This Row],[Admission_Date]]</f>
        <v>1</v>
      </c>
      <c r="J762">
        <v>70</v>
      </c>
      <c r="K762" t="s">
        <v>33</v>
      </c>
      <c r="L762" t="s">
        <v>16</v>
      </c>
      <c r="M762">
        <f>IF(Table3[[#This Row],[Treatment_Success]]="Yes",1,0)</f>
        <v>1</v>
      </c>
      <c r="N762">
        <v>18864</v>
      </c>
    </row>
    <row r="763" spans="1:14" x14ac:dyDescent="0.35">
      <c r="A763" t="s">
        <v>810</v>
      </c>
      <c r="B763">
        <v>54</v>
      </c>
      <c r="C763" t="str">
        <f>_xlfn.IFS(Table3[[#This Row],[Age]]&lt;=10, "Child",Table3[[#This Row],[Age]]&lt;18, "Teenger", Table3[[#This Row],[Age]]&lt;30, "Middle Age", Table3[[#This Row],[Age]]&lt; 60,"Adult",Table3[[#This Row],[Age]],"Senior Citizen")</f>
        <v>Adult</v>
      </c>
      <c r="D763" t="s">
        <v>12</v>
      </c>
      <c r="E763" t="s">
        <v>24</v>
      </c>
      <c r="F763" t="s">
        <v>83</v>
      </c>
      <c r="G763" s="1">
        <v>45431</v>
      </c>
      <c r="H763" s="1">
        <v>45437</v>
      </c>
      <c r="I763" s="2">
        <f>Table3[[#This Row],[Discharge_Date]]-Table3[[#This Row],[Admission_Date]]</f>
        <v>6</v>
      </c>
      <c r="J763">
        <v>150</v>
      </c>
      <c r="K763" t="s">
        <v>15</v>
      </c>
      <c r="L763" t="s">
        <v>16</v>
      </c>
      <c r="M763">
        <f>IF(Table3[[#This Row],[Treatment_Success]]="Yes",1,0)</f>
        <v>1</v>
      </c>
      <c r="N763">
        <v>169634</v>
      </c>
    </row>
    <row r="764" spans="1:14" x14ac:dyDescent="0.35">
      <c r="A764" t="s">
        <v>811</v>
      </c>
      <c r="B764">
        <v>13</v>
      </c>
      <c r="C764" t="str">
        <f>_xlfn.IFS(Table3[[#This Row],[Age]]&lt;=10, "Child",Table3[[#This Row],[Age]]&lt;18, "Teenger", Table3[[#This Row],[Age]]&lt;30, "Middle Age", Table3[[#This Row],[Age]]&lt; 60,"Adult",Table3[[#This Row],[Age]],"Senior Citizen")</f>
        <v>Teenger</v>
      </c>
      <c r="D764" t="s">
        <v>18</v>
      </c>
      <c r="E764" t="s">
        <v>28</v>
      </c>
      <c r="F764" t="s">
        <v>95</v>
      </c>
      <c r="G764" s="1">
        <v>45385</v>
      </c>
      <c r="H764" s="1">
        <v>45398</v>
      </c>
      <c r="I764" s="2">
        <f>Table3[[#This Row],[Discharge_Date]]-Table3[[#This Row],[Admission_Date]]</f>
        <v>13</v>
      </c>
      <c r="J764">
        <v>162</v>
      </c>
      <c r="K764" t="s">
        <v>33</v>
      </c>
      <c r="L764" t="s">
        <v>16</v>
      </c>
      <c r="M764">
        <f>IF(Table3[[#This Row],[Treatment_Success]]="Yes",1,0)</f>
        <v>1</v>
      </c>
      <c r="N764">
        <v>184684</v>
      </c>
    </row>
    <row r="765" spans="1:14" x14ac:dyDescent="0.35">
      <c r="A765" t="s">
        <v>812</v>
      </c>
      <c r="B765">
        <v>47</v>
      </c>
      <c r="C765" t="str">
        <f>_xlfn.IFS(Table3[[#This Row],[Age]]&lt;=10, "Child",Table3[[#This Row],[Age]]&lt;18, "Teenger", Table3[[#This Row],[Age]]&lt;30, "Middle Age", Table3[[#This Row],[Age]]&lt; 60,"Adult",Table3[[#This Row],[Age]],"Senior Citizen")</f>
        <v>Adult</v>
      </c>
      <c r="D765" t="s">
        <v>18</v>
      </c>
      <c r="E765" t="s">
        <v>28</v>
      </c>
      <c r="F765" t="s">
        <v>58</v>
      </c>
      <c r="G765" s="1">
        <v>45649</v>
      </c>
      <c r="H765" s="1">
        <v>45661</v>
      </c>
      <c r="I765" s="2">
        <f>Table3[[#This Row],[Discharge_Date]]-Table3[[#This Row],[Admission_Date]]</f>
        <v>12</v>
      </c>
      <c r="J765">
        <v>181</v>
      </c>
      <c r="K765" t="s">
        <v>36</v>
      </c>
      <c r="L765" t="s">
        <v>16</v>
      </c>
      <c r="M765">
        <f>IF(Table3[[#This Row],[Treatment_Success]]="Yes",1,0)</f>
        <v>1</v>
      </c>
      <c r="N765">
        <v>40900</v>
      </c>
    </row>
    <row r="766" spans="1:14" x14ac:dyDescent="0.35">
      <c r="A766" t="s">
        <v>813</v>
      </c>
      <c r="B766">
        <v>48</v>
      </c>
      <c r="C766" t="str">
        <f>_xlfn.IFS(Table3[[#This Row],[Age]]&lt;=10, "Child",Table3[[#This Row],[Age]]&lt;18, "Teenger", Table3[[#This Row],[Age]]&lt;30, "Middle Age", Table3[[#This Row],[Age]]&lt; 60,"Adult",Table3[[#This Row],[Age]],"Senior Citizen")</f>
        <v>Adult</v>
      </c>
      <c r="D766" t="s">
        <v>12</v>
      </c>
      <c r="E766" t="s">
        <v>31</v>
      </c>
      <c r="F766" t="s">
        <v>95</v>
      </c>
      <c r="G766" s="1">
        <v>45557</v>
      </c>
      <c r="H766" s="1">
        <v>45562</v>
      </c>
      <c r="I766" s="2">
        <f>Table3[[#This Row],[Discharge_Date]]-Table3[[#This Row],[Admission_Date]]</f>
        <v>5</v>
      </c>
      <c r="J766">
        <v>84</v>
      </c>
      <c r="K766" t="s">
        <v>15</v>
      </c>
      <c r="L766" t="s">
        <v>16</v>
      </c>
      <c r="M766">
        <f>IF(Table3[[#This Row],[Treatment_Success]]="Yes",1,0)</f>
        <v>1</v>
      </c>
      <c r="N766">
        <v>45515</v>
      </c>
    </row>
    <row r="767" spans="1:14" x14ac:dyDescent="0.35">
      <c r="A767" t="s">
        <v>814</v>
      </c>
      <c r="B767">
        <v>25</v>
      </c>
      <c r="C767" t="str">
        <f>_xlfn.IFS(Table3[[#This Row],[Age]]&lt;=10, "Child",Table3[[#This Row],[Age]]&lt;18, "Teenger", Table3[[#This Row],[Age]]&lt;30, "Middle Age", Table3[[#This Row],[Age]]&lt; 60,"Adult",Table3[[#This Row],[Age]],"Senior Citizen")</f>
        <v>Middle Age</v>
      </c>
      <c r="D767" t="s">
        <v>18</v>
      </c>
      <c r="E767" t="s">
        <v>31</v>
      </c>
      <c r="F767" t="s">
        <v>20</v>
      </c>
      <c r="G767" s="1">
        <v>45549</v>
      </c>
      <c r="H767" s="1">
        <v>45553</v>
      </c>
      <c r="I767" s="2">
        <f>Table3[[#This Row],[Discharge_Date]]-Table3[[#This Row],[Admission_Date]]</f>
        <v>4</v>
      </c>
      <c r="J767">
        <v>40</v>
      </c>
      <c r="K767" t="s">
        <v>15</v>
      </c>
      <c r="L767" t="s">
        <v>16</v>
      </c>
      <c r="M767">
        <f>IF(Table3[[#This Row],[Treatment_Success]]="Yes",1,0)</f>
        <v>1</v>
      </c>
      <c r="N767">
        <v>9555</v>
      </c>
    </row>
    <row r="768" spans="1:14" x14ac:dyDescent="0.35">
      <c r="A768" t="s">
        <v>815</v>
      </c>
      <c r="B768">
        <v>40</v>
      </c>
      <c r="C768" t="str">
        <f>_xlfn.IFS(Table3[[#This Row],[Age]]&lt;=10, "Child",Table3[[#This Row],[Age]]&lt;18, "Teenger", Table3[[#This Row],[Age]]&lt;30, "Middle Age", Table3[[#This Row],[Age]]&lt; 60,"Adult",Table3[[#This Row],[Age]],"Senior Citizen")</f>
        <v>Adult</v>
      </c>
      <c r="D768" t="s">
        <v>12</v>
      </c>
      <c r="E768" t="s">
        <v>13</v>
      </c>
      <c r="F768" t="s">
        <v>20</v>
      </c>
      <c r="G768" s="1">
        <v>45537</v>
      </c>
      <c r="H768" s="1">
        <v>45543</v>
      </c>
      <c r="I768" s="2">
        <f>Table3[[#This Row],[Discharge_Date]]-Table3[[#This Row],[Admission_Date]]</f>
        <v>6</v>
      </c>
      <c r="J768">
        <v>268</v>
      </c>
      <c r="K768" t="s">
        <v>33</v>
      </c>
      <c r="L768" t="s">
        <v>16</v>
      </c>
      <c r="M768">
        <f>IF(Table3[[#This Row],[Treatment_Success]]="Yes",1,0)</f>
        <v>1</v>
      </c>
      <c r="N768">
        <v>191094</v>
      </c>
    </row>
    <row r="769" spans="1:14" x14ac:dyDescent="0.35">
      <c r="A769" t="s">
        <v>816</v>
      </c>
      <c r="B769">
        <v>16</v>
      </c>
      <c r="C769" t="str">
        <f>_xlfn.IFS(Table3[[#This Row],[Age]]&lt;=10, "Child",Table3[[#This Row],[Age]]&lt;18, "Teenger", Table3[[#This Row],[Age]]&lt;30, "Middle Age", Table3[[#This Row],[Age]]&lt; 60,"Adult",Table3[[#This Row],[Age]],"Senior Citizen")</f>
        <v>Teenger</v>
      </c>
      <c r="D769" t="s">
        <v>18</v>
      </c>
      <c r="E769" t="s">
        <v>13</v>
      </c>
      <c r="F769" t="s">
        <v>40</v>
      </c>
      <c r="G769" s="1">
        <v>45447</v>
      </c>
      <c r="H769" s="1">
        <v>45448</v>
      </c>
      <c r="I769" s="2">
        <f>Table3[[#This Row],[Discharge_Date]]-Table3[[#This Row],[Admission_Date]]</f>
        <v>1</v>
      </c>
      <c r="J769">
        <v>73</v>
      </c>
      <c r="K769" t="s">
        <v>36</v>
      </c>
      <c r="L769" t="s">
        <v>16</v>
      </c>
      <c r="M769">
        <f>IF(Table3[[#This Row],[Treatment_Success]]="Yes",1,0)</f>
        <v>1</v>
      </c>
      <c r="N769">
        <v>37858</v>
      </c>
    </row>
    <row r="770" spans="1:14" x14ac:dyDescent="0.35">
      <c r="A770" t="s">
        <v>817</v>
      </c>
      <c r="B770">
        <v>11</v>
      </c>
      <c r="C770" t="str">
        <f>_xlfn.IFS(Table3[[#This Row],[Age]]&lt;=10, "Child",Table3[[#This Row],[Age]]&lt;18, "Teenger", Table3[[#This Row],[Age]]&lt;30, "Middle Age", Table3[[#This Row],[Age]]&lt; 60,"Adult",Table3[[#This Row],[Age]],"Senior Citizen")</f>
        <v>Teenger</v>
      </c>
      <c r="D770" t="s">
        <v>12</v>
      </c>
      <c r="E770" t="s">
        <v>24</v>
      </c>
      <c r="F770" t="s">
        <v>45</v>
      </c>
      <c r="G770" s="1">
        <v>45399</v>
      </c>
      <c r="H770" s="1">
        <v>45402</v>
      </c>
      <c r="I770" s="2">
        <f>Table3[[#This Row],[Discharge_Date]]-Table3[[#This Row],[Admission_Date]]</f>
        <v>3</v>
      </c>
      <c r="J770">
        <v>10</v>
      </c>
      <c r="K770" t="s">
        <v>46</v>
      </c>
      <c r="L770" t="s">
        <v>26</v>
      </c>
      <c r="M770">
        <f>IF(Table3[[#This Row],[Treatment_Success]]="Yes",1,0)</f>
        <v>0</v>
      </c>
      <c r="N770">
        <v>16145</v>
      </c>
    </row>
    <row r="771" spans="1:14" x14ac:dyDescent="0.35">
      <c r="A771" t="s">
        <v>818</v>
      </c>
      <c r="B771">
        <v>5</v>
      </c>
      <c r="C771" t="str">
        <f>_xlfn.IFS(Table3[[#This Row],[Age]]&lt;=10, "Child",Table3[[#This Row],[Age]]&lt;18, "Teenger", Table3[[#This Row],[Age]]&lt;30, "Middle Age", Table3[[#This Row],[Age]]&lt; 60,"Adult",Table3[[#This Row],[Age]],"Senior Citizen")</f>
        <v>Child</v>
      </c>
      <c r="D771" t="s">
        <v>18</v>
      </c>
      <c r="E771" t="s">
        <v>31</v>
      </c>
      <c r="F771" t="s">
        <v>90</v>
      </c>
      <c r="G771" s="1">
        <v>45392</v>
      </c>
      <c r="H771" s="1">
        <v>45394</v>
      </c>
      <c r="I771" s="2">
        <f>Table3[[#This Row],[Discharge_Date]]-Table3[[#This Row],[Admission_Date]]</f>
        <v>2</v>
      </c>
      <c r="J771">
        <v>130</v>
      </c>
      <c r="K771" t="s">
        <v>15</v>
      </c>
      <c r="L771" t="s">
        <v>16</v>
      </c>
      <c r="M771">
        <f>IF(Table3[[#This Row],[Treatment_Success]]="Yes",1,0)</f>
        <v>1</v>
      </c>
      <c r="N771">
        <v>84074</v>
      </c>
    </row>
    <row r="772" spans="1:14" x14ac:dyDescent="0.35">
      <c r="A772" t="s">
        <v>819</v>
      </c>
      <c r="B772">
        <v>13</v>
      </c>
      <c r="C772" t="str">
        <f>_xlfn.IFS(Table3[[#This Row],[Age]]&lt;=10, "Child",Table3[[#This Row],[Age]]&lt;18, "Teenger", Table3[[#This Row],[Age]]&lt;30, "Middle Age", Table3[[#This Row],[Age]]&lt; 60,"Adult",Table3[[#This Row],[Age]],"Senior Citizen")</f>
        <v>Teenger</v>
      </c>
      <c r="D772" t="s">
        <v>18</v>
      </c>
      <c r="E772" t="s">
        <v>28</v>
      </c>
      <c r="F772" t="s">
        <v>29</v>
      </c>
      <c r="G772" s="1">
        <v>45633</v>
      </c>
      <c r="H772" s="1">
        <v>45634</v>
      </c>
      <c r="I772" s="2">
        <f>Table3[[#This Row],[Discharge_Date]]-Table3[[#This Row],[Admission_Date]]</f>
        <v>1</v>
      </c>
      <c r="J772">
        <v>103</v>
      </c>
      <c r="K772" t="s">
        <v>36</v>
      </c>
      <c r="L772" t="s">
        <v>16</v>
      </c>
      <c r="M772">
        <f>IF(Table3[[#This Row],[Treatment_Success]]="Yes",1,0)</f>
        <v>1</v>
      </c>
      <c r="N772">
        <v>12670</v>
      </c>
    </row>
    <row r="773" spans="1:14" x14ac:dyDescent="0.35">
      <c r="A773" t="s">
        <v>820</v>
      </c>
      <c r="B773">
        <v>36</v>
      </c>
      <c r="C773" t="str">
        <f>_xlfn.IFS(Table3[[#This Row],[Age]]&lt;=10, "Child",Table3[[#This Row],[Age]]&lt;18, "Teenger", Table3[[#This Row],[Age]]&lt;30, "Middle Age", Table3[[#This Row],[Age]]&lt; 60,"Adult",Table3[[#This Row],[Age]],"Senior Citizen")</f>
        <v>Adult</v>
      </c>
      <c r="D773" t="s">
        <v>12</v>
      </c>
      <c r="E773" t="s">
        <v>38</v>
      </c>
      <c r="F773" t="s">
        <v>66</v>
      </c>
      <c r="G773" s="1">
        <v>45338</v>
      </c>
      <c r="H773" s="1">
        <v>45341</v>
      </c>
      <c r="I773" s="2">
        <f>Table3[[#This Row],[Discharge_Date]]-Table3[[#This Row],[Admission_Date]]</f>
        <v>3</v>
      </c>
      <c r="J773">
        <v>257</v>
      </c>
      <c r="K773" t="s">
        <v>36</v>
      </c>
      <c r="L773" t="s">
        <v>16</v>
      </c>
      <c r="M773">
        <f>IF(Table3[[#This Row],[Treatment_Success]]="Yes",1,0)</f>
        <v>1</v>
      </c>
      <c r="N773">
        <v>30979</v>
      </c>
    </row>
    <row r="774" spans="1:14" x14ac:dyDescent="0.35">
      <c r="A774" t="s">
        <v>821</v>
      </c>
      <c r="B774">
        <v>2</v>
      </c>
      <c r="C774" t="str">
        <f>_xlfn.IFS(Table3[[#This Row],[Age]]&lt;=10, "Child",Table3[[#This Row],[Age]]&lt;18, "Teenger", Table3[[#This Row],[Age]]&lt;30, "Middle Age", Table3[[#This Row],[Age]]&lt; 60,"Adult",Table3[[#This Row],[Age]],"Senior Citizen")</f>
        <v>Child</v>
      </c>
      <c r="D774" t="s">
        <v>18</v>
      </c>
      <c r="E774" t="s">
        <v>13</v>
      </c>
      <c r="F774" t="s">
        <v>83</v>
      </c>
      <c r="G774" s="1">
        <v>45588</v>
      </c>
      <c r="H774" s="1">
        <v>45601</v>
      </c>
      <c r="I774" s="2">
        <f>Table3[[#This Row],[Discharge_Date]]-Table3[[#This Row],[Admission_Date]]</f>
        <v>13</v>
      </c>
      <c r="J774">
        <v>88</v>
      </c>
      <c r="K774" t="s">
        <v>15</v>
      </c>
      <c r="L774" t="s">
        <v>16</v>
      </c>
      <c r="M774">
        <f>IF(Table3[[#This Row],[Treatment_Success]]="Yes",1,0)</f>
        <v>1</v>
      </c>
      <c r="N774">
        <v>61102</v>
      </c>
    </row>
    <row r="775" spans="1:14" x14ac:dyDescent="0.35">
      <c r="A775" t="s">
        <v>822</v>
      </c>
      <c r="B775">
        <v>61</v>
      </c>
      <c r="C775" t="str">
        <f>_xlfn.IFS(Table3[[#This Row],[Age]]&lt;=10, "Child",Table3[[#This Row],[Age]]&lt;18, "Teenger", Table3[[#This Row],[Age]]&lt;30, "Middle Age", Table3[[#This Row],[Age]]&lt; 60,"Adult",Table3[[#This Row],[Age]],"Senior Citizen")</f>
        <v>Senior Citizen</v>
      </c>
      <c r="D775" t="s">
        <v>12</v>
      </c>
      <c r="E775" t="s">
        <v>28</v>
      </c>
      <c r="F775" t="s">
        <v>66</v>
      </c>
      <c r="G775" s="1">
        <v>45550</v>
      </c>
      <c r="H775" s="1">
        <v>45564</v>
      </c>
      <c r="I775" s="2">
        <f>Table3[[#This Row],[Discharge_Date]]-Table3[[#This Row],[Admission_Date]]</f>
        <v>14</v>
      </c>
      <c r="J775">
        <v>226</v>
      </c>
      <c r="K775" t="s">
        <v>15</v>
      </c>
      <c r="L775" t="s">
        <v>16</v>
      </c>
      <c r="M775">
        <f>IF(Table3[[#This Row],[Treatment_Success]]="Yes",1,0)</f>
        <v>1</v>
      </c>
      <c r="N775">
        <v>98014</v>
      </c>
    </row>
    <row r="776" spans="1:14" x14ac:dyDescent="0.35">
      <c r="A776" t="s">
        <v>823</v>
      </c>
      <c r="B776">
        <v>28</v>
      </c>
      <c r="C776" t="str">
        <f>_xlfn.IFS(Table3[[#This Row],[Age]]&lt;=10, "Child",Table3[[#This Row],[Age]]&lt;18, "Teenger", Table3[[#This Row],[Age]]&lt;30, "Middle Age", Table3[[#This Row],[Age]]&lt; 60,"Adult",Table3[[#This Row],[Age]],"Senior Citizen")</f>
        <v>Middle Age</v>
      </c>
      <c r="D776" t="s">
        <v>18</v>
      </c>
      <c r="E776" t="s">
        <v>31</v>
      </c>
      <c r="F776" t="s">
        <v>90</v>
      </c>
      <c r="G776" s="1">
        <v>45486</v>
      </c>
      <c r="H776" s="1">
        <v>45493</v>
      </c>
      <c r="I776" s="2">
        <f>Table3[[#This Row],[Discharge_Date]]-Table3[[#This Row],[Admission_Date]]</f>
        <v>7</v>
      </c>
      <c r="J776">
        <v>161</v>
      </c>
      <c r="K776" t="s">
        <v>15</v>
      </c>
      <c r="L776" t="s">
        <v>26</v>
      </c>
      <c r="M776">
        <f>IF(Table3[[#This Row],[Treatment_Success]]="Yes",1,0)</f>
        <v>0</v>
      </c>
      <c r="N776">
        <v>33918</v>
      </c>
    </row>
    <row r="777" spans="1:14" x14ac:dyDescent="0.35">
      <c r="A777" t="s">
        <v>824</v>
      </c>
      <c r="B777">
        <v>64</v>
      </c>
      <c r="C777" t="str">
        <f>_xlfn.IFS(Table3[[#This Row],[Age]]&lt;=10, "Child",Table3[[#This Row],[Age]]&lt;18, "Teenger", Table3[[#This Row],[Age]]&lt;30, "Middle Age", Table3[[#This Row],[Age]]&lt; 60,"Adult",Table3[[#This Row],[Age]],"Senior Citizen")</f>
        <v>Senior Citizen</v>
      </c>
      <c r="D777" t="s">
        <v>12</v>
      </c>
      <c r="E777" t="s">
        <v>38</v>
      </c>
      <c r="F777" t="s">
        <v>61</v>
      </c>
      <c r="G777" s="1">
        <v>45558</v>
      </c>
      <c r="H777" s="1">
        <v>45561</v>
      </c>
      <c r="I777" s="2">
        <f>Table3[[#This Row],[Discharge_Date]]-Table3[[#This Row],[Admission_Date]]</f>
        <v>3</v>
      </c>
      <c r="J777">
        <v>21</v>
      </c>
      <c r="K777" t="s">
        <v>15</v>
      </c>
      <c r="L777" t="s">
        <v>16</v>
      </c>
      <c r="M777">
        <f>IF(Table3[[#This Row],[Treatment_Success]]="Yes",1,0)</f>
        <v>1</v>
      </c>
      <c r="N777">
        <v>134423</v>
      </c>
    </row>
    <row r="778" spans="1:14" x14ac:dyDescent="0.35">
      <c r="A778" t="s">
        <v>825</v>
      </c>
      <c r="B778">
        <v>37</v>
      </c>
      <c r="C778" t="str">
        <f>_xlfn.IFS(Table3[[#This Row],[Age]]&lt;=10, "Child",Table3[[#This Row],[Age]]&lt;18, "Teenger", Table3[[#This Row],[Age]]&lt;30, "Middle Age", Table3[[#This Row],[Age]]&lt; 60,"Adult",Table3[[#This Row],[Age]],"Senior Citizen")</f>
        <v>Adult</v>
      </c>
      <c r="D778" t="s">
        <v>12</v>
      </c>
      <c r="E778" t="s">
        <v>28</v>
      </c>
      <c r="F778" t="s">
        <v>25</v>
      </c>
      <c r="G778" s="1">
        <v>45351</v>
      </c>
      <c r="H778" s="1">
        <v>45358</v>
      </c>
      <c r="I778" s="2">
        <f>Table3[[#This Row],[Discharge_Date]]-Table3[[#This Row],[Admission_Date]]</f>
        <v>7</v>
      </c>
      <c r="J778">
        <v>160</v>
      </c>
      <c r="K778" t="s">
        <v>46</v>
      </c>
      <c r="L778" t="s">
        <v>16</v>
      </c>
      <c r="M778">
        <f>IF(Table3[[#This Row],[Treatment_Success]]="Yes",1,0)</f>
        <v>1</v>
      </c>
      <c r="N778">
        <v>150205</v>
      </c>
    </row>
    <row r="779" spans="1:14" x14ac:dyDescent="0.35">
      <c r="A779" t="s">
        <v>826</v>
      </c>
      <c r="B779">
        <v>55</v>
      </c>
      <c r="C779" t="str">
        <f>_xlfn.IFS(Table3[[#This Row],[Age]]&lt;=10, "Child",Table3[[#This Row],[Age]]&lt;18, "Teenger", Table3[[#This Row],[Age]]&lt;30, "Middle Age", Table3[[#This Row],[Age]]&lt; 60,"Adult",Table3[[#This Row],[Age]],"Senior Citizen")</f>
        <v>Adult</v>
      </c>
      <c r="D779" t="s">
        <v>18</v>
      </c>
      <c r="E779" t="s">
        <v>24</v>
      </c>
      <c r="F779" t="s">
        <v>43</v>
      </c>
      <c r="G779" s="1">
        <v>45500</v>
      </c>
      <c r="H779" s="1">
        <v>45505</v>
      </c>
      <c r="I779" s="2">
        <f>Table3[[#This Row],[Discharge_Date]]-Table3[[#This Row],[Admission_Date]]</f>
        <v>5</v>
      </c>
      <c r="J779">
        <v>189</v>
      </c>
      <c r="K779" t="s">
        <v>36</v>
      </c>
      <c r="L779" t="s">
        <v>16</v>
      </c>
      <c r="M779">
        <f>IF(Table3[[#This Row],[Treatment_Success]]="Yes",1,0)</f>
        <v>1</v>
      </c>
      <c r="N779">
        <v>181726</v>
      </c>
    </row>
    <row r="780" spans="1:14" x14ac:dyDescent="0.35">
      <c r="A780" t="s">
        <v>827</v>
      </c>
      <c r="B780">
        <v>14</v>
      </c>
      <c r="C780" t="str">
        <f>_xlfn.IFS(Table3[[#This Row],[Age]]&lt;=10, "Child",Table3[[#This Row],[Age]]&lt;18, "Teenger", Table3[[#This Row],[Age]]&lt;30, "Middle Age", Table3[[#This Row],[Age]]&lt; 60,"Adult",Table3[[#This Row],[Age]],"Senior Citizen")</f>
        <v>Teenger</v>
      </c>
      <c r="D780" t="s">
        <v>12</v>
      </c>
      <c r="E780" t="s">
        <v>31</v>
      </c>
      <c r="F780" t="s">
        <v>49</v>
      </c>
      <c r="G780" s="1">
        <v>45543</v>
      </c>
      <c r="H780" s="1">
        <v>45554</v>
      </c>
      <c r="I780" s="2">
        <f>Table3[[#This Row],[Discharge_Date]]-Table3[[#This Row],[Admission_Date]]</f>
        <v>11</v>
      </c>
      <c r="J780">
        <v>44</v>
      </c>
      <c r="K780" t="s">
        <v>15</v>
      </c>
      <c r="L780" t="s">
        <v>16</v>
      </c>
      <c r="M780">
        <f>IF(Table3[[#This Row],[Treatment_Success]]="Yes",1,0)</f>
        <v>1</v>
      </c>
      <c r="N780">
        <v>108497</v>
      </c>
    </row>
    <row r="781" spans="1:14" x14ac:dyDescent="0.35">
      <c r="A781" t="s">
        <v>828</v>
      </c>
      <c r="B781">
        <v>76</v>
      </c>
      <c r="C781" t="str">
        <f>_xlfn.IFS(Table3[[#This Row],[Age]]&lt;=10, "Child",Table3[[#This Row],[Age]]&lt;18, "Teenger", Table3[[#This Row],[Age]]&lt;30, "Middle Age", Table3[[#This Row],[Age]]&lt; 60,"Adult",Table3[[#This Row],[Age]],"Senior Citizen")</f>
        <v>Senior Citizen</v>
      </c>
      <c r="D781" t="s">
        <v>18</v>
      </c>
      <c r="E781" t="s">
        <v>13</v>
      </c>
      <c r="F781" t="s">
        <v>45</v>
      </c>
      <c r="G781" s="1">
        <v>45497</v>
      </c>
      <c r="H781" s="1">
        <v>45509</v>
      </c>
      <c r="I781" s="2">
        <f>Table3[[#This Row],[Discharge_Date]]-Table3[[#This Row],[Admission_Date]]</f>
        <v>12</v>
      </c>
      <c r="J781">
        <v>187</v>
      </c>
      <c r="K781" t="s">
        <v>36</v>
      </c>
      <c r="L781" t="s">
        <v>16</v>
      </c>
      <c r="M781">
        <f>IF(Table3[[#This Row],[Treatment_Success]]="Yes",1,0)</f>
        <v>1</v>
      </c>
      <c r="N781">
        <v>57497</v>
      </c>
    </row>
    <row r="782" spans="1:14" x14ac:dyDescent="0.35">
      <c r="A782" t="s">
        <v>829</v>
      </c>
      <c r="B782">
        <v>52</v>
      </c>
      <c r="C782" t="str">
        <f>_xlfn.IFS(Table3[[#This Row],[Age]]&lt;=10, "Child",Table3[[#This Row],[Age]]&lt;18, "Teenger", Table3[[#This Row],[Age]]&lt;30, "Middle Age", Table3[[#This Row],[Age]]&lt; 60,"Adult",Table3[[#This Row],[Age]],"Senior Citizen")</f>
        <v>Adult</v>
      </c>
      <c r="D782" t="s">
        <v>18</v>
      </c>
      <c r="E782" t="s">
        <v>13</v>
      </c>
      <c r="F782" t="s">
        <v>93</v>
      </c>
      <c r="G782" s="1">
        <v>45596</v>
      </c>
      <c r="H782" s="1">
        <v>45610</v>
      </c>
      <c r="I782" s="2">
        <f>Table3[[#This Row],[Discharge_Date]]-Table3[[#This Row],[Admission_Date]]</f>
        <v>14</v>
      </c>
      <c r="J782">
        <v>256</v>
      </c>
      <c r="K782" t="s">
        <v>33</v>
      </c>
      <c r="L782" t="s">
        <v>16</v>
      </c>
      <c r="M782">
        <f>IF(Table3[[#This Row],[Treatment_Success]]="Yes",1,0)</f>
        <v>1</v>
      </c>
      <c r="N782">
        <v>173776</v>
      </c>
    </row>
    <row r="783" spans="1:14" x14ac:dyDescent="0.35">
      <c r="A783" t="s">
        <v>830</v>
      </c>
      <c r="B783">
        <v>61</v>
      </c>
      <c r="C783" t="str">
        <f>_xlfn.IFS(Table3[[#This Row],[Age]]&lt;=10, "Child",Table3[[#This Row],[Age]]&lt;18, "Teenger", Table3[[#This Row],[Age]]&lt;30, "Middle Age", Table3[[#This Row],[Age]]&lt; 60,"Adult",Table3[[#This Row],[Age]],"Senior Citizen")</f>
        <v>Senior Citizen</v>
      </c>
      <c r="D783" t="s">
        <v>12</v>
      </c>
      <c r="E783" t="s">
        <v>31</v>
      </c>
      <c r="F783" t="s">
        <v>49</v>
      </c>
      <c r="G783" s="1">
        <v>45496</v>
      </c>
      <c r="H783" s="1">
        <v>45502</v>
      </c>
      <c r="I783" s="2">
        <f>Table3[[#This Row],[Discharge_Date]]-Table3[[#This Row],[Admission_Date]]</f>
        <v>6</v>
      </c>
      <c r="J783">
        <v>143</v>
      </c>
      <c r="K783" t="s">
        <v>36</v>
      </c>
      <c r="L783" t="s">
        <v>26</v>
      </c>
      <c r="M783">
        <f>IF(Table3[[#This Row],[Treatment_Success]]="Yes",1,0)</f>
        <v>0</v>
      </c>
      <c r="N783">
        <v>33321</v>
      </c>
    </row>
    <row r="784" spans="1:14" x14ac:dyDescent="0.35">
      <c r="A784" t="s">
        <v>831</v>
      </c>
      <c r="B784">
        <v>63</v>
      </c>
      <c r="C784" t="str">
        <f>_xlfn.IFS(Table3[[#This Row],[Age]]&lt;=10, "Child",Table3[[#This Row],[Age]]&lt;18, "Teenger", Table3[[#This Row],[Age]]&lt;30, "Middle Age", Table3[[#This Row],[Age]]&lt; 60,"Adult",Table3[[#This Row],[Age]],"Senior Citizen")</f>
        <v>Senior Citizen</v>
      </c>
      <c r="D784" t="s">
        <v>12</v>
      </c>
      <c r="E784" t="s">
        <v>13</v>
      </c>
      <c r="F784" t="s">
        <v>68</v>
      </c>
      <c r="G784" s="1">
        <v>45354</v>
      </c>
      <c r="H784" s="1">
        <v>45359</v>
      </c>
      <c r="I784" s="2">
        <f>Table3[[#This Row],[Discharge_Date]]-Table3[[#This Row],[Admission_Date]]</f>
        <v>5</v>
      </c>
      <c r="J784">
        <v>69</v>
      </c>
      <c r="K784" t="s">
        <v>15</v>
      </c>
      <c r="L784" t="s">
        <v>16</v>
      </c>
      <c r="M784">
        <f>IF(Table3[[#This Row],[Treatment_Success]]="Yes",1,0)</f>
        <v>1</v>
      </c>
      <c r="N784">
        <v>198409</v>
      </c>
    </row>
    <row r="785" spans="1:14" x14ac:dyDescent="0.35">
      <c r="A785" t="s">
        <v>832</v>
      </c>
      <c r="B785">
        <v>9</v>
      </c>
      <c r="C785" t="str">
        <f>_xlfn.IFS(Table3[[#This Row],[Age]]&lt;=10, "Child",Table3[[#This Row],[Age]]&lt;18, "Teenger", Table3[[#This Row],[Age]]&lt;30, "Middle Age", Table3[[#This Row],[Age]]&lt; 60,"Adult",Table3[[#This Row],[Age]],"Senior Citizen")</f>
        <v>Child</v>
      </c>
      <c r="D785" t="s">
        <v>12</v>
      </c>
      <c r="E785" t="s">
        <v>24</v>
      </c>
      <c r="F785" t="s">
        <v>66</v>
      </c>
      <c r="G785" s="1">
        <v>45319</v>
      </c>
      <c r="H785" s="1">
        <v>45333</v>
      </c>
      <c r="I785" s="2">
        <f>Table3[[#This Row],[Discharge_Date]]-Table3[[#This Row],[Admission_Date]]</f>
        <v>14</v>
      </c>
      <c r="J785">
        <v>196</v>
      </c>
      <c r="K785" t="s">
        <v>33</v>
      </c>
      <c r="L785" t="s">
        <v>16</v>
      </c>
      <c r="M785">
        <f>IF(Table3[[#This Row],[Treatment_Success]]="Yes",1,0)</f>
        <v>1</v>
      </c>
      <c r="N785">
        <v>84364</v>
      </c>
    </row>
    <row r="786" spans="1:14" x14ac:dyDescent="0.35">
      <c r="A786" t="s">
        <v>833</v>
      </c>
      <c r="B786">
        <v>13</v>
      </c>
      <c r="C786" t="str">
        <f>_xlfn.IFS(Table3[[#This Row],[Age]]&lt;=10, "Child",Table3[[#This Row],[Age]]&lt;18, "Teenger", Table3[[#This Row],[Age]]&lt;30, "Middle Age", Table3[[#This Row],[Age]]&lt; 60,"Adult",Table3[[#This Row],[Age]],"Senior Citizen")</f>
        <v>Teenger</v>
      </c>
      <c r="D786" t="s">
        <v>18</v>
      </c>
      <c r="E786" t="s">
        <v>28</v>
      </c>
      <c r="F786" t="s">
        <v>22</v>
      </c>
      <c r="G786" s="1">
        <v>45610</v>
      </c>
      <c r="H786" s="1">
        <v>45620</v>
      </c>
      <c r="I786" s="2">
        <f>Table3[[#This Row],[Discharge_Date]]-Table3[[#This Row],[Admission_Date]]</f>
        <v>10</v>
      </c>
      <c r="J786">
        <v>253</v>
      </c>
      <c r="K786" t="s">
        <v>46</v>
      </c>
      <c r="L786" t="s">
        <v>16</v>
      </c>
      <c r="M786">
        <f>IF(Table3[[#This Row],[Treatment_Success]]="Yes",1,0)</f>
        <v>1</v>
      </c>
      <c r="N786">
        <v>81955</v>
      </c>
    </row>
    <row r="787" spans="1:14" x14ac:dyDescent="0.35">
      <c r="A787" t="s">
        <v>834</v>
      </c>
      <c r="B787">
        <v>63</v>
      </c>
      <c r="C787" t="str">
        <f>_xlfn.IFS(Table3[[#This Row],[Age]]&lt;=10, "Child",Table3[[#This Row],[Age]]&lt;18, "Teenger", Table3[[#This Row],[Age]]&lt;30, "Middle Age", Table3[[#This Row],[Age]]&lt; 60,"Adult",Table3[[#This Row],[Age]],"Senior Citizen")</f>
        <v>Senior Citizen</v>
      </c>
      <c r="D787" t="s">
        <v>12</v>
      </c>
      <c r="E787" t="s">
        <v>28</v>
      </c>
      <c r="F787" t="s">
        <v>95</v>
      </c>
      <c r="G787" s="1">
        <v>45630</v>
      </c>
      <c r="H787" s="1">
        <v>45638</v>
      </c>
      <c r="I787" s="2">
        <f>Table3[[#This Row],[Discharge_Date]]-Table3[[#This Row],[Admission_Date]]</f>
        <v>8</v>
      </c>
      <c r="J787">
        <v>277</v>
      </c>
      <c r="K787" t="s">
        <v>15</v>
      </c>
      <c r="L787" t="s">
        <v>16</v>
      </c>
      <c r="M787">
        <f>IF(Table3[[#This Row],[Treatment_Success]]="Yes",1,0)</f>
        <v>1</v>
      </c>
      <c r="N787">
        <v>117828</v>
      </c>
    </row>
    <row r="788" spans="1:14" x14ac:dyDescent="0.35">
      <c r="A788" t="s">
        <v>835</v>
      </c>
      <c r="B788">
        <v>58</v>
      </c>
      <c r="C788" t="str">
        <f>_xlfn.IFS(Table3[[#This Row],[Age]]&lt;=10, "Child",Table3[[#This Row],[Age]]&lt;18, "Teenger", Table3[[#This Row],[Age]]&lt;30, "Middle Age", Table3[[#This Row],[Age]]&lt; 60,"Adult",Table3[[#This Row],[Age]],"Senior Citizen")</f>
        <v>Adult</v>
      </c>
      <c r="D788" t="s">
        <v>12</v>
      </c>
      <c r="E788" t="s">
        <v>31</v>
      </c>
      <c r="F788" t="s">
        <v>20</v>
      </c>
      <c r="G788" s="1">
        <v>45352</v>
      </c>
      <c r="H788" s="1">
        <v>45359</v>
      </c>
      <c r="I788" s="2">
        <f>Table3[[#This Row],[Discharge_Date]]-Table3[[#This Row],[Admission_Date]]</f>
        <v>7</v>
      </c>
      <c r="J788">
        <v>236</v>
      </c>
      <c r="K788" t="s">
        <v>15</v>
      </c>
      <c r="L788" t="s">
        <v>16</v>
      </c>
      <c r="M788">
        <f>IF(Table3[[#This Row],[Treatment_Success]]="Yes",1,0)</f>
        <v>1</v>
      </c>
      <c r="N788">
        <v>51365</v>
      </c>
    </row>
    <row r="789" spans="1:14" x14ac:dyDescent="0.35">
      <c r="A789" t="s">
        <v>836</v>
      </c>
      <c r="B789">
        <v>39</v>
      </c>
      <c r="C789" t="str">
        <f>_xlfn.IFS(Table3[[#This Row],[Age]]&lt;=10, "Child",Table3[[#This Row],[Age]]&lt;18, "Teenger", Table3[[#This Row],[Age]]&lt;30, "Middle Age", Table3[[#This Row],[Age]]&lt; 60,"Adult",Table3[[#This Row],[Age]],"Senior Citizen")</f>
        <v>Adult</v>
      </c>
      <c r="D789" t="s">
        <v>18</v>
      </c>
      <c r="E789" t="s">
        <v>31</v>
      </c>
      <c r="F789" t="s">
        <v>93</v>
      </c>
      <c r="G789" s="1">
        <v>45577</v>
      </c>
      <c r="H789" s="1">
        <v>45588</v>
      </c>
      <c r="I789" s="2">
        <f>Table3[[#This Row],[Discharge_Date]]-Table3[[#This Row],[Admission_Date]]</f>
        <v>11</v>
      </c>
      <c r="J789">
        <v>69</v>
      </c>
      <c r="K789" t="s">
        <v>33</v>
      </c>
      <c r="L789" t="s">
        <v>26</v>
      </c>
      <c r="M789">
        <f>IF(Table3[[#This Row],[Treatment_Success]]="Yes",1,0)</f>
        <v>0</v>
      </c>
      <c r="N789">
        <v>132783</v>
      </c>
    </row>
    <row r="790" spans="1:14" x14ac:dyDescent="0.35">
      <c r="A790" t="s">
        <v>837</v>
      </c>
      <c r="B790">
        <v>87</v>
      </c>
      <c r="C790" t="str">
        <f>_xlfn.IFS(Table3[[#This Row],[Age]]&lt;=10, "Child",Table3[[#This Row],[Age]]&lt;18, "Teenger", Table3[[#This Row],[Age]]&lt;30, "Middle Age", Table3[[#This Row],[Age]]&lt; 60,"Adult",Table3[[#This Row],[Age]],"Senior Citizen")</f>
        <v>Senior Citizen</v>
      </c>
      <c r="D790" t="s">
        <v>12</v>
      </c>
      <c r="E790" t="s">
        <v>28</v>
      </c>
      <c r="F790" t="s">
        <v>54</v>
      </c>
      <c r="G790" s="1">
        <v>45348</v>
      </c>
      <c r="H790" s="1">
        <v>45358</v>
      </c>
      <c r="I790" s="2">
        <f>Table3[[#This Row],[Discharge_Date]]-Table3[[#This Row],[Admission_Date]]</f>
        <v>10</v>
      </c>
      <c r="J790">
        <v>277</v>
      </c>
      <c r="K790" t="s">
        <v>46</v>
      </c>
      <c r="L790" t="s">
        <v>26</v>
      </c>
      <c r="M790">
        <f>IF(Table3[[#This Row],[Treatment_Success]]="Yes",1,0)</f>
        <v>0</v>
      </c>
      <c r="N790">
        <v>152391</v>
      </c>
    </row>
    <row r="791" spans="1:14" x14ac:dyDescent="0.35">
      <c r="A791" t="s">
        <v>838</v>
      </c>
      <c r="B791">
        <v>8</v>
      </c>
      <c r="C791" t="str">
        <f>_xlfn.IFS(Table3[[#This Row],[Age]]&lt;=10, "Child",Table3[[#This Row],[Age]]&lt;18, "Teenger", Table3[[#This Row],[Age]]&lt;30, "Middle Age", Table3[[#This Row],[Age]]&lt; 60,"Adult",Table3[[#This Row],[Age]],"Senior Citizen")</f>
        <v>Child</v>
      </c>
      <c r="D791" t="s">
        <v>12</v>
      </c>
      <c r="E791" t="s">
        <v>38</v>
      </c>
      <c r="F791" t="s">
        <v>43</v>
      </c>
      <c r="G791" s="1">
        <v>45372</v>
      </c>
      <c r="H791" s="1">
        <v>45381</v>
      </c>
      <c r="I791" s="2">
        <f>Table3[[#This Row],[Discharge_Date]]-Table3[[#This Row],[Admission_Date]]</f>
        <v>9</v>
      </c>
      <c r="J791">
        <v>194</v>
      </c>
      <c r="K791" t="s">
        <v>33</v>
      </c>
      <c r="L791" t="s">
        <v>16</v>
      </c>
      <c r="M791">
        <f>IF(Table3[[#This Row],[Treatment_Success]]="Yes",1,0)</f>
        <v>1</v>
      </c>
      <c r="N791">
        <v>89012</v>
      </c>
    </row>
    <row r="792" spans="1:14" x14ac:dyDescent="0.35">
      <c r="A792" t="s">
        <v>839</v>
      </c>
      <c r="B792">
        <v>76</v>
      </c>
      <c r="C792" t="str">
        <f>_xlfn.IFS(Table3[[#This Row],[Age]]&lt;=10, "Child",Table3[[#This Row],[Age]]&lt;18, "Teenger", Table3[[#This Row],[Age]]&lt;30, "Middle Age", Table3[[#This Row],[Age]]&lt; 60,"Adult",Table3[[#This Row],[Age]],"Senior Citizen")</f>
        <v>Senior Citizen</v>
      </c>
      <c r="D792" t="s">
        <v>18</v>
      </c>
      <c r="E792" t="s">
        <v>13</v>
      </c>
      <c r="F792" t="s">
        <v>63</v>
      </c>
      <c r="G792" s="1">
        <v>45323</v>
      </c>
      <c r="H792" s="1">
        <v>45324</v>
      </c>
      <c r="I792" s="2">
        <f>Table3[[#This Row],[Discharge_Date]]-Table3[[#This Row],[Admission_Date]]</f>
        <v>1</v>
      </c>
      <c r="J792">
        <v>179</v>
      </c>
      <c r="K792" t="s">
        <v>15</v>
      </c>
      <c r="L792" t="s">
        <v>16</v>
      </c>
      <c r="M792">
        <f>IF(Table3[[#This Row],[Treatment_Success]]="Yes",1,0)</f>
        <v>1</v>
      </c>
      <c r="N792">
        <v>104765</v>
      </c>
    </row>
    <row r="793" spans="1:14" x14ac:dyDescent="0.35">
      <c r="A793" t="s">
        <v>840</v>
      </c>
      <c r="B793">
        <v>45</v>
      </c>
      <c r="C793" t="str">
        <f>_xlfn.IFS(Table3[[#This Row],[Age]]&lt;=10, "Child",Table3[[#This Row],[Age]]&lt;18, "Teenger", Table3[[#This Row],[Age]]&lt;30, "Middle Age", Table3[[#This Row],[Age]]&lt; 60,"Adult",Table3[[#This Row],[Age]],"Senior Citizen")</f>
        <v>Adult</v>
      </c>
      <c r="D793" t="s">
        <v>12</v>
      </c>
      <c r="E793" t="s">
        <v>31</v>
      </c>
      <c r="F793" t="s">
        <v>63</v>
      </c>
      <c r="G793" s="1">
        <v>45341</v>
      </c>
      <c r="H793" s="1">
        <v>45348</v>
      </c>
      <c r="I793" s="2">
        <f>Table3[[#This Row],[Discharge_Date]]-Table3[[#This Row],[Admission_Date]]</f>
        <v>7</v>
      </c>
      <c r="J793">
        <v>29</v>
      </c>
      <c r="K793" t="s">
        <v>36</v>
      </c>
      <c r="L793" t="s">
        <v>16</v>
      </c>
      <c r="M793">
        <f>IF(Table3[[#This Row],[Treatment_Success]]="Yes",1,0)</f>
        <v>1</v>
      </c>
      <c r="N793">
        <v>66504</v>
      </c>
    </row>
    <row r="794" spans="1:14" x14ac:dyDescent="0.35">
      <c r="A794" t="s">
        <v>841</v>
      </c>
      <c r="B794">
        <v>76</v>
      </c>
      <c r="C794" t="str">
        <f>_xlfn.IFS(Table3[[#This Row],[Age]]&lt;=10, "Child",Table3[[#This Row],[Age]]&lt;18, "Teenger", Table3[[#This Row],[Age]]&lt;30, "Middle Age", Table3[[#This Row],[Age]]&lt; 60,"Adult",Table3[[#This Row],[Age]],"Senior Citizen")</f>
        <v>Senior Citizen</v>
      </c>
      <c r="D794" t="s">
        <v>18</v>
      </c>
      <c r="E794" t="s">
        <v>24</v>
      </c>
      <c r="F794" t="s">
        <v>83</v>
      </c>
      <c r="G794" s="1">
        <v>45623</v>
      </c>
      <c r="H794" s="1">
        <v>45628</v>
      </c>
      <c r="I794" s="2">
        <f>Table3[[#This Row],[Discharge_Date]]-Table3[[#This Row],[Admission_Date]]</f>
        <v>5</v>
      </c>
      <c r="J794">
        <v>59</v>
      </c>
      <c r="K794" t="s">
        <v>33</v>
      </c>
      <c r="L794" t="s">
        <v>16</v>
      </c>
      <c r="M794">
        <f>IF(Table3[[#This Row],[Treatment_Success]]="Yes",1,0)</f>
        <v>1</v>
      </c>
      <c r="N794">
        <v>10167</v>
      </c>
    </row>
    <row r="795" spans="1:14" x14ac:dyDescent="0.35">
      <c r="A795" t="s">
        <v>842</v>
      </c>
      <c r="B795">
        <v>5</v>
      </c>
      <c r="C795" t="str">
        <f>_xlfn.IFS(Table3[[#This Row],[Age]]&lt;=10, "Child",Table3[[#This Row],[Age]]&lt;18, "Teenger", Table3[[#This Row],[Age]]&lt;30, "Middle Age", Table3[[#This Row],[Age]]&lt; 60,"Adult",Table3[[#This Row],[Age]],"Senior Citizen")</f>
        <v>Child</v>
      </c>
      <c r="D795" t="s">
        <v>12</v>
      </c>
      <c r="E795" t="s">
        <v>31</v>
      </c>
      <c r="F795" t="s">
        <v>58</v>
      </c>
      <c r="G795" s="1">
        <v>45567</v>
      </c>
      <c r="H795" s="1">
        <v>45573</v>
      </c>
      <c r="I795" s="2">
        <f>Table3[[#This Row],[Discharge_Date]]-Table3[[#This Row],[Admission_Date]]</f>
        <v>6</v>
      </c>
      <c r="J795">
        <v>264</v>
      </c>
      <c r="K795" t="s">
        <v>46</v>
      </c>
      <c r="L795" t="s">
        <v>16</v>
      </c>
      <c r="M795">
        <f>IF(Table3[[#This Row],[Treatment_Success]]="Yes",1,0)</f>
        <v>1</v>
      </c>
      <c r="N795">
        <v>10348</v>
      </c>
    </row>
    <row r="796" spans="1:14" x14ac:dyDescent="0.35">
      <c r="A796" t="s">
        <v>843</v>
      </c>
      <c r="B796">
        <v>76</v>
      </c>
      <c r="C796" t="str">
        <f>_xlfn.IFS(Table3[[#This Row],[Age]]&lt;=10, "Child",Table3[[#This Row],[Age]]&lt;18, "Teenger", Table3[[#This Row],[Age]]&lt;30, "Middle Age", Table3[[#This Row],[Age]]&lt; 60,"Adult",Table3[[#This Row],[Age]],"Senior Citizen")</f>
        <v>Senior Citizen</v>
      </c>
      <c r="D796" t="s">
        <v>18</v>
      </c>
      <c r="E796" t="s">
        <v>38</v>
      </c>
      <c r="F796" t="s">
        <v>56</v>
      </c>
      <c r="G796" s="1">
        <v>45648</v>
      </c>
      <c r="H796" s="1">
        <v>45656</v>
      </c>
      <c r="I796" s="2">
        <f>Table3[[#This Row],[Discharge_Date]]-Table3[[#This Row],[Admission_Date]]</f>
        <v>8</v>
      </c>
      <c r="J796">
        <v>293</v>
      </c>
      <c r="K796" t="s">
        <v>46</v>
      </c>
      <c r="L796" t="s">
        <v>16</v>
      </c>
      <c r="M796">
        <f>IF(Table3[[#This Row],[Treatment_Success]]="Yes",1,0)</f>
        <v>1</v>
      </c>
      <c r="N796">
        <v>155087</v>
      </c>
    </row>
    <row r="797" spans="1:14" x14ac:dyDescent="0.35">
      <c r="A797" t="s">
        <v>844</v>
      </c>
      <c r="B797">
        <v>63</v>
      </c>
      <c r="C797" t="str">
        <f>_xlfn.IFS(Table3[[#This Row],[Age]]&lt;=10, "Child",Table3[[#This Row],[Age]]&lt;18, "Teenger", Table3[[#This Row],[Age]]&lt;30, "Middle Age", Table3[[#This Row],[Age]]&lt; 60,"Adult",Table3[[#This Row],[Age]],"Senior Citizen")</f>
        <v>Senior Citizen</v>
      </c>
      <c r="D797" t="s">
        <v>18</v>
      </c>
      <c r="E797" t="s">
        <v>13</v>
      </c>
      <c r="F797" t="s">
        <v>95</v>
      </c>
      <c r="G797" s="1">
        <v>45342</v>
      </c>
      <c r="H797" s="1">
        <v>45355</v>
      </c>
      <c r="I797" s="2">
        <f>Table3[[#This Row],[Discharge_Date]]-Table3[[#This Row],[Admission_Date]]</f>
        <v>13</v>
      </c>
      <c r="J797">
        <v>255</v>
      </c>
      <c r="K797" t="s">
        <v>33</v>
      </c>
      <c r="L797" t="s">
        <v>16</v>
      </c>
      <c r="M797">
        <f>IF(Table3[[#This Row],[Treatment_Success]]="Yes",1,0)</f>
        <v>1</v>
      </c>
      <c r="N797">
        <v>166173</v>
      </c>
    </row>
    <row r="798" spans="1:14" x14ac:dyDescent="0.35">
      <c r="A798" t="s">
        <v>845</v>
      </c>
      <c r="B798">
        <v>56</v>
      </c>
      <c r="C798" t="str">
        <f>_xlfn.IFS(Table3[[#This Row],[Age]]&lt;=10, "Child",Table3[[#This Row],[Age]]&lt;18, "Teenger", Table3[[#This Row],[Age]]&lt;30, "Middle Age", Table3[[#This Row],[Age]]&lt; 60,"Adult",Table3[[#This Row],[Age]],"Senior Citizen")</f>
        <v>Adult</v>
      </c>
      <c r="D798" t="s">
        <v>18</v>
      </c>
      <c r="E798" t="s">
        <v>31</v>
      </c>
      <c r="F798" t="s">
        <v>68</v>
      </c>
      <c r="G798" s="1">
        <v>45445</v>
      </c>
      <c r="H798" s="1">
        <v>45451</v>
      </c>
      <c r="I798" s="2">
        <f>Table3[[#This Row],[Discharge_Date]]-Table3[[#This Row],[Admission_Date]]</f>
        <v>6</v>
      </c>
      <c r="J798">
        <v>39</v>
      </c>
      <c r="K798" t="s">
        <v>36</v>
      </c>
      <c r="L798" t="s">
        <v>16</v>
      </c>
      <c r="M798">
        <f>IF(Table3[[#This Row],[Treatment_Success]]="Yes",1,0)</f>
        <v>1</v>
      </c>
      <c r="N798">
        <v>74508</v>
      </c>
    </row>
    <row r="799" spans="1:14" x14ac:dyDescent="0.35">
      <c r="A799" t="s">
        <v>846</v>
      </c>
      <c r="B799">
        <v>74</v>
      </c>
      <c r="C799" t="str">
        <f>_xlfn.IFS(Table3[[#This Row],[Age]]&lt;=10, "Child",Table3[[#This Row],[Age]]&lt;18, "Teenger", Table3[[#This Row],[Age]]&lt;30, "Middle Age", Table3[[#This Row],[Age]]&lt; 60,"Adult",Table3[[#This Row],[Age]],"Senior Citizen")</f>
        <v>Senior Citizen</v>
      </c>
      <c r="D799" t="s">
        <v>12</v>
      </c>
      <c r="E799" t="s">
        <v>13</v>
      </c>
      <c r="F799" t="s">
        <v>35</v>
      </c>
      <c r="G799" s="1">
        <v>45316</v>
      </c>
      <c r="H799" s="1">
        <v>45321</v>
      </c>
      <c r="I799" s="2">
        <f>Table3[[#This Row],[Discharge_Date]]-Table3[[#This Row],[Admission_Date]]</f>
        <v>5</v>
      </c>
      <c r="J799">
        <v>48</v>
      </c>
      <c r="K799" t="s">
        <v>15</v>
      </c>
      <c r="L799" t="s">
        <v>16</v>
      </c>
      <c r="M799">
        <f>IF(Table3[[#This Row],[Treatment_Success]]="Yes",1,0)</f>
        <v>1</v>
      </c>
      <c r="N799">
        <v>76660</v>
      </c>
    </row>
    <row r="800" spans="1:14" x14ac:dyDescent="0.35">
      <c r="A800" t="s">
        <v>847</v>
      </c>
      <c r="B800">
        <v>68</v>
      </c>
      <c r="C800" t="str">
        <f>_xlfn.IFS(Table3[[#This Row],[Age]]&lt;=10, "Child",Table3[[#This Row],[Age]]&lt;18, "Teenger", Table3[[#This Row],[Age]]&lt;30, "Middle Age", Table3[[#This Row],[Age]]&lt; 60,"Adult",Table3[[#This Row],[Age]],"Senior Citizen")</f>
        <v>Senior Citizen</v>
      </c>
      <c r="D800" t="s">
        <v>12</v>
      </c>
      <c r="E800" t="s">
        <v>31</v>
      </c>
      <c r="F800" t="s">
        <v>29</v>
      </c>
      <c r="G800" s="1">
        <v>45326</v>
      </c>
      <c r="H800" s="1">
        <v>45336</v>
      </c>
      <c r="I800" s="2">
        <f>Table3[[#This Row],[Discharge_Date]]-Table3[[#This Row],[Admission_Date]]</f>
        <v>10</v>
      </c>
      <c r="J800">
        <v>178</v>
      </c>
      <c r="K800" t="s">
        <v>15</v>
      </c>
      <c r="L800" t="s">
        <v>16</v>
      </c>
      <c r="M800">
        <f>IF(Table3[[#This Row],[Treatment_Success]]="Yes",1,0)</f>
        <v>1</v>
      </c>
      <c r="N800">
        <v>137288</v>
      </c>
    </row>
    <row r="801" spans="1:14" x14ac:dyDescent="0.35">
      <c r="A801" t="s">
        <v>848</v>
      </c>
      <c r="B801">
        <v>85</v>
      </c>
      <c r="C801" t="str">
        <f>_xlfn.IFS(Table3[[#This Row],[Age]]&lt;=10, "Child",Table3[[#This Row],[Age]]&lt;18, "Teenger", Table3[[#This Row],[Age]]&lt;30, "Middle Age", Table3[[#This Row],[Age]]&lt; 60,"Adult",Table3[[#This Row],[Age]],"Senior Citizen")</f>
        <v>Senior Citizen</v>
      </c>
      <c r="D801" t="s">
        <v>12</v>
      </c>
      <c r="E801" t="s">
        <v>13</v>
      </c>
      <c r="F801" t="s">
        <v>93</v>
      </c>
      <c r="G801" s="1">
        <v>45445</v>
      </c>
      <c r="H801" s="1">
        <v>45452</v>
      </c>
      <c r="I801" s="2">
        <f>Table3[[#This Row],[Discharge_Date]]-Table3[[#This Row],[Admission_Date]]</f>
        <v>7</v>
      </c>
      <c r="J801">
        <v>206</v>
      </c>
      <c r="K801" t="s">
        <v>33</v>
      </c>
      <c r="L801" t="s">
        <v>26</v>
      </c>
      <c r="M801">
        <f>IF(Table3[[#This Row],[Treatment_Success]]="Yes",1,0)</f>
        <v>0</v>
      </c>
      <c r="N801">
        <v>181045</v>
      </c>
    </row>
    <row r="802" spans="1:14" x14ac:dyDescent="0.35">
      <c r="A802" t="s">
        <v>849</v>
      </c>
      <c r="B802">
        <v>3</v>
      </c>
      <c r="C802" t="str">
        <f>_xlfn.IFS(Table3[[#This Row],[Age]]&lt;=10, "Child",Table3[[#This Row],[Age]]&lt;18, "Teenger", Table3[[#This Row],[Age]]&lt;30, "Middle Age", Table3[[#This Row],[Age]]&lt; 60,"Adult",Table3[[#This Row],[Age]],"Senior Citizen")</f>
        <v>Child</v>
      </c>
      <c r="D802" t="s">
        <v>18</v>
      </c>
      <c r="E802" t="s">
        <v>28</v>
      </c>
      <c r="F802" t="s">
        <v>43</v>
      </c>
      <c r="G802" s="1">
        <v>45572</v>
      </c>
      <c r="H802" s="1">
        <v>45575</v>
      </c>
      <c r="I802" s="2">
        <f>Table3[[#This Row],[Discharge_Date]]-Table3[[#This Row],[Admission_Date]]</f>
        <v>3</v>
      </c>
      <c r="J802">
        <v>110</v>
      </c>
      <c r="K802" t="s">
        <v>46</v>
      </c>
      <c r="L802" t="s">
        <v>16</v>
      </c>
      <c r="M802">
        <f>IF(Table3[[#This Row],[Treatment_Success]]="Yes",1,0)</f>
        <v>1</v>
      </c>
      <c r="N802">
        <v>172228</v>
      </c>
    </row>
    <row r="803" spans="1:14" x14ac:dyDescent="0.35">
      <c r="A803" t="s">
        <v>850</v>
      </c>
      <c r="B803">
        <v>79</v>
      </c>
      <c r="C803" t="str">
        <f>_xlfn.IFS(Table3[[#This Row],[Age]]&lt;=10, "Child",Table3[[#This Row],[Age]]&lt;18, "Teenger", Table3[[#This Row],[Age]]&lt;30, "Middle Age", Table3[[#This Row],[Age]]&lt; 60,"Adult",Table3[[#This Row],[Age]],"Senior Citizen")</f>
        <v>Senior Citizen</v>
      </c>
      <c r="D803" t="s">
        <v>12</v>
      </c>
      <c r="E803" t="s">
        <v>28</v>
      </c>
      <c r="F803" t="s">
        <v>25</v>
      </c>
      <c r="G803" s="1">
        <v>45564</v>
      </c>
      <c r="H803" s="1">
        <v>45577</v>
      </c>
      <c r="I803" s="2">
        <f>Table3[[#This Row],[Discharge_Date]]-Table3[[#This Row],[Admission_Date]]</f>
        <v>13</v>
      </c>
      <c r="J803">
        <v>31</v>
      </c>
      <c r="K803" t="s">
        <v>36</v>
      </c>
      <c r="L803" t="s">
        <v>16</v>
      </c>
      <c r="M803">
        <f>IF(Table3[[#This Row],[Treatment_Success]]="Yes",1,0)</f>
        <v>1</v>
      </c>
      <c r="N803">
        <v>126238</v>
      </c>
    </row>
    <row r="804" spans="1:14" x14ac:dyDescent="0.35">
      <c r="A804" t="s">
        <v>851</v>
      </c>
      <c r="B804">
        <v>20</v>
      </c>
      <c r="C804" t="str">
        <f>_xlfn.IFS(Table3[[#This Row],[Age]]&lt;=10, "Child",Table3[[#This Row],[Age]]&lt;18, "Teenger", Table3[[#This Row],[Age]]&lt;30, "Middle Age", Table3[[#This Row],[Age]]&lt; 60,"Adult",Table3[[#This Row],[Age]],"Senior Citizen")</f>
        <v>Middle Age</v>
      </c>
      <c r="D804" t="s">
        <v>12</v>
      </c>
      <c r="E804" t="s">
        <v>31</v>
      </c>
      <c r="F804" t="s">
        <v>93</v>
      </c>
      <c r="G804" s="1">
        <v>45367</v>
      </c>
      <c r="H804" s="1">
        <v>45371</v>
      </c>
      <c r="I804" s="2">
        <f>Table3[[#This Row],[Discharge_Date]]-Table3[[#This Row],[Admission_Date]]</f>
        <v>4</v>
      </c>
      <c r="J804">
        <v>164</v>
      </c>
      <c r="K804" t="s">
        <v>15</v>
      </c>
      <c r="L804" t="s">
        <v>16</v>
      </c>
      <c r="M804">
        <f>IF(Table3[[#This Row],[Treatment_Success]]="Yes",1,0)</f>
        <v>1</v>
      </c>
      <c r="N804">
        <v>113118</v>
      </c>
    </row>
    <row r="805" spans="1:14" x14ac:dyDescent="0.35">
      <c r="A805" t="s">
        <v>852</v>
      </c>
      <c r="B805">
        <v>37</v>
      </c>
      <c r="C805" t="str">
        <f>_xlfn.IFS(Table3[[#This Row],[Age]]&lt;=10, "Child",Table3[[#This Row],[Age]]&lt;18, "Teenger", Table3[[#This Row],[Age]]&lt;30, "Middle Age", Table3[[#This Row],[Age]]&lt; 60,"Adult",Table3[[#This Row],[Age]],"Senior Citizen")</f>
        <v>Adult</v>
      </c>
      <c r="D805" t="s">
        <v>18</v>
      </c>
      <c r="E805" t="s">
        <v>38</v>
      </c>
      <c r="F805" t="s">
        <v>54</v>
      </c>
      <c r="G805" s="1">
        <v>45428</v>
      </c>
      <c r="H805" s="1">
        <v>45442</v>
      </c>
      <c r="I805" s="2">
        <f>Table3[[#This Row],[Discharge_Date]]-Table3[[#This Row],[Admission_Date]]</f>
        <v>14</v>
      </c>
      <c r="J805">
        <v>121</v>
      </c>
      <c r="K805" t="s">
        <v>46</v>
      </c>
      <c r="L805" t="s">
        <v>16</v>
      </c>
      <c r="M805">
        <f>IF(Table3[[#This Row],[Treatment_Success]]="Yes",1,0)</f>
        <v>1</v>
      </c>
      <c r="N805">
        <v>34768</v>
      </c>
    </row>
    <row r="806" spans="1:14" x14ac:dyDescent="0.35">
      <c r="A806" t="s">
        <v>853</v>
      </c>
      <c r="B806">
        <v>4</v>
      </c>
      <c r="C806" t="str">
        <f>_xlfn.IFS(Table3[[#This Row],[Age]]&lt;=10, "Child",Table3[[#This Row],[Age]]&lt;18, "Teenger", Table3[[#This Row],[Age]]&lt;30, "Middle Age", Table3[[#This Row],[Age]]&lt; 60,"Adult",Table3[[#This Row],[Age]],"Senior Citizen")</f>
        <v>Child</v>
      </c>
      <c r="D806" t="s">
        <v>18</v>
      </c>
      <c r="E806" t="s">
        <v>38</v>
      </c>
      <c r="F806" t="s">
        <v>20</v>
      </c>
      <c r="G806" s="1">
        <v>45368</v>
      </c>
      <c r="H806" s="1">
        <v>45372</v>
      </c>
      <c r="I806" s="2">
        <f>Table3[[#This Row],[Discharge_Date]]-Table3[[#This Row],[Admission_Date]]</f>
        <v>4</v>
      </c>
      <c r="J806">
        <v>249</v>
      </c>
      <c r="K806" t="s">
        <v>46</v>
      </c>
      <c r="L806" t="s">
        <v>26</v>
      </c>
      <c r="M806">
        <f>IF(Table3[[#This Row],[Treatment_Success]]="Yes",1,0)</f>
        <v>0</v>
      </c>
      <c r="N806">
        <v>174586</v>
      </c>
    </row>
    <row r="807" spans="1:14" x14ac:dyDescent="0.35">
      <c r="A807" t="s">
        <v>854</v>
      </c>
      <c r="B807">
        <v>21</v>
      </c>
      <c r="C807" t="str">
        <f>_xlfn.IFS(Table3[[#This Row],[Age]]&lt;=10, "Child",Table3[[#This Row],[Age]]&lt;18, "Teenger", Table3[[#This Row],[Age]]&lt;30, "Middle Age", Table3[[#This Row],[Age]]&lt; 60,"Adult",Table3[[#This Row],[Age]],"Senior Citizen")</f>
        <v>Middle Age</v>
      </c>
      <c r="D807" t="s">
        <v>12</v>
      </c>
      <c r="E807" t="s">
        <v>13</v>
      </c>
      <c r="F807" t="s">
        <v>80</v>
      </c>
      <c r="G807" s="1">
        <v>45310</v>
      </c>
      <c r="H807" s="1">
        <v>45314</v>
      </c>
      <c r="I807" s="2">
        <f>Table3[[#This Row],[Discharge_Date]]-Table3[[#This Row],[Admission_Date]]</f>
        <v>4</v>
      </c>
      <c r="J807">
        <v>133</v>
      </c>
      <c r="K807" t="s">
        <v>33</v>
      </c>
      <c r="L807" t="s">
        <v>16</v>
      </c>
      <c r="M807">
        <f>IF(Table3[[#This Row],[Treatment_Success]]="Yes",1,0)</f>
        <v>1</v>
      </c>
      <c r="N807">
        <v>173897</v>
      </c>
    </row>
    <row r="808" spans="1:14" x14ac:dyDescent="0.35">
      <c r="A808" t="s">
        <v>855</v>
      </c>
      <c r="B808">
        <v>63</v>
      </c>
      <c r="C808" t="str">
        <f>_xlfn.IFS(Table3[[#This Row],[Age]]&lt;=10, "Child",Table3[[#This Row],[Age]]&lt;18, "Teenger", Table3[[#This Row],[Age]]&lt;30, "Middle Age", Table3[[#This Row],[Age]]&lt; 60,"Adult",Table3[[#This Row],[Age]],"Senior Citizen")</f>
        <v>Senior Citizen</v>
      </c>
      <c r="D808" t="s">
        <v>18</v>
      </c>
      <c r="E808" t="s">
        <v>24</v>
      </c>
      <c r="F808" t="s">
        <v>45</v>
      </c>
      <c r="G808" s="1">
        <v>45313</v>
      </c>
      <c r="H808" s="1">
        <v>45325</v>
      </c>
      <c r="I808" s="2">
        <f>Table3[[#This Row],[Discharge_Date]]-Table3[[#This Row],[Admission_Date]]</f>
        <v>12</v>
      </c>
      <c r="J808">
        <v>161</v>
      </c>
      <c r="K808" t="s">
        <v>33</v>
      </c>
      <c r="L808" t="s">
        <v>16</v>
      </c>
      <c r="M808">
        <f>IF(Table3[[#This Row],[Treatment_Success]]="Yes",1,0)</f>
        <v>1</v>
      </c>
      <c r="N808">
        <v>111694</v>
      </c>
    </row>
    <row r="809" spans="1:14" x14ac:dyDescent="0.35">
      <c r="A809" t="s">
        <v>856</v>
      </c>
      <c r="B809">
        <v>85</v>
      </c>
      <c r="C809" t="str">
        <f>_xlfn.IFS(Table3[[#This Row],[Age]]&lt;=10, "Child",Table3[[#This Row],[Age]]&lt;18, "Teenger", Table3[[#This Row],[Age]]&lt;30, "Middle Age", Table3[[#This Row],[Age]]&lt; 60,"Adult",Table3[[#This Row],[Age]],"Senior Citizen")</f>
        <v>Senior Citizen</v>
      </c>
      <c r="D809" t="s">
        <v>18</v>
      </c>
      <c r="E809" t="s">
        <v>31</v>
      </c>
      <c r="F809" t="s">
        <v>25</v>
      </c>
      <c r="G809" s="1">
        <v>45478</v>
      </c>
      <c r="H809" s="1">
        <v>45489</v>
      </c>
      <c r="I809" s="2">
        <f>Table3[[#This Row],[Discharge_Date]]-Table3[[#This Row],[Admission_Date]]</f>
        <v>11</v>
      </c>
      <c r="J809">
        <v>72</v>
      </c>
      <c r="K809" t="s">
        <v>36</v>
      </c>
      <c r="L809" t="s">
        <v>16</v>
      </c>
      <c r="M809">
        <f>IF(Table3[[#This Row],[Treatment_Success]]="Yes",1,0)</f>
        <v>1</v>
      </c>
      <c r="N809">
        <v>154677</v>
      </c>
    </row>
    <row r="810" spans="1:14" x14ac:dyDescent="0.35">
      <c r="A810" t="s">
        <v>857</v>
      </c>
      <c r="B810">
        <v>16</v>
      </c>
      <c r="C810" t="str">
        <f>_xlfn.IFS(Table3[[#This Row],[Age]]&lt;=10, "Child",Table3[[#This Row],[Age]]&lt;18, "Teenger", Table3[[#This Row],[Age]]&lt;30, "Middle Age", Table3[[#This Row],[Age]]&lt; 60,"Adult",Table3[[#This Row],[Age]],"Senior Citizen")</f>
        <v>Teenger</v>
      </c>
      <c r="D810" t="s">
        <v>12</v>
      </c>
      <c r="E810" t="s">
        <v>31</v>
      </c>
      <c r="F810" t="s">
        <v>45</v>
      </c>
      <c r="G810" s="1">
        <v>45548</v>
      </c>
      <c r="H810" s="1">
        <v>45563</v>
      </c>
      <c r="I810" s="2">
        <f>Table3[[#This Row],[Discharge_Date]]-Table3[[#This Row],[Admission_Date]]</f>
        <v>15</v>
      </c>
      <c r="J810">
        <v>122</v>
      </c>
      <c r="K810" t="s">
        <v>15</v>
      </c>
      <c r="L810" t="s">
        <v>16</v>
      </c>
      <c r="M810">
        <f>IF(Table3[[#This Row],[Treatment_Success]]="Yes",1,0)</f>
        <v>1</v>
      </c>
      <c r="N810">
        <v>91320</v>
      </c>
    </row>
    <row r="811" spans="1:14" x14ac:dyDescent="0.35">
      <c r="A811" t="s">
        <v>858</v>
      </c>
      <c r="B811">
        <v>50</v>
      </c>
      <c r="C811" t="str">
        <f>_xlfn.IFS(Table3[[#This Row],[Age]]&lt;=10, "Child",Table3[[#This Row],[Age]]&lt;18, "Teenger", Table3[[#This Row],[Age]]&lt;30, "Middle Age", Table3[[#This Row],[Age]]&lt; 60,"Adult",Table3[[#This Row],[Age]],"Senior Citizen")</f>
        <v>Adult</v>
      </c>
      <c r="D811" t="s">
        <v>18</v>
      </c>
      <c r="E811" t="s">
        <v>31</v>
      </c>
      <c r="F811" t="s">
        <v>29</v>
      </c>
      <c r="G811" s="1">
        <v>45591</v>
      </c>
      <c r="H811" s="1">
        <v>45603</v>
      </c>
      <c r="I811" s="2">
        <f>Table3[[#This Row],[Discharge_Date]]-Table3[[#This Row],[Admission_Date]]</f>
        <v>12</v>
      </c>
      <c r="J811">
        <v>74</v>
      </c>
      <c r="K811" t="s">
        <v>15</v>
      </c>
      <c r="L811" t="s">
        <v>16</v>
      </c>
      <c r="M811">
        <f>IF(Table3[[#This Row],[Treatment_Success]]="Yes",1,0)</f>
        <v>1</v>
      </c>
      <c r="N811">
        <v>61127</v>
      </c>
    </row>
    <row r="812" spans="1:14" x14ac:dyDescent="0.35">
      <c r="A812" t="s">
        <v>859</v>
      </c>
      <c r="B812">
        <v>53</v>
      </c>
      <c r="C812" t="str">
        <f>_xlfn.IFS(Table3[[#This Row],[Age]]&lt;=10, "Child",Table3[[#This Row],[Age]]&lt;18, "Teenger", Table3[[#This Row],[Age]]&lt;30, "Middle Age", Table3[[#This Row],[Age]]&lt; 60,"Adult",Table3[[#This Row],[Age]],"Senior Citizen")</f>
        <v>Adult</v>
      </c>
      <c r="D812" t="s">
        <v>12</v>
      </c>
      <c r="E812" t="s">
        <v>28</v>
      </c>
      <c r="F812" t="s">
        <v>52</v>
      </c>
      <c r="G812" s="1">
        <v>45432</v>
      </c>
      <c r="H812" s="1">
        <v>45440</v>
      </c>
      <c r="I812" s="2">
        <f>Table3[[#This Row],[Discharge_Date]]-Table3[[#This Row],[Admission_Date]]</f>
        <v>8</v>
      </c>
      <c r="J812">
        <v>252</v>
      </c>
      <c r="K812" t="s">
        <v>33</v>
      </c>
      <c r="L812" t="s">
        <v>16</v>
      </c>
      <c r="M812">
        <f>IF(Table3[[#This Row],[Treatment_Success]]="Yes",1,0)</f>
        <v>1</v>
      </c>
      <c r="N812">
        <v>87965</v>
      </c>
    </row>
    <row r="813" spans="1:14" x14ac:dyDescent="0.35">
      <c r="A813" t="s">
        <v>860</v>
      </c>
      <c r="B813">
        <v>61</v>
      </c>
      <c r="C813" t="str">
        <f>_xlfn.IFS(Table3[[#This Row],[Age]]&lt;=10, "Child",Table3[[#This Row],[Age]]&lt;18, "Teenger", Table3[[#This Row],[Age]]&lt;30, "Middle Age", Table3[[#This Row],[Age]]&lt; 60,"Adult",Table3[[#This Row],[Age]],"Senior Citizen")</f>
        <v>Senior Citizen</v>
      </c>
      <c r="D813" t="s">
        <v>18</v>
      </c>
      <c r="E813" t="s">
        <v>38</v>
      </c>
      <c r="F813" t="s">
        <v>106</v>
      </c>
      <c r="G813" s="1">
        <v>45571</v>
      </c>
      <c r="H813" s="1">
        <v>45578</v>
      </c>
      <c r="I813" s="2">
        <f>Table3[[#This Row],[Discharge_Date]]-Table3[[#This Row],[Admission_Date]]</f>
        <v>7</v>
      </c>
      <c r="J813">
        <v>186</v>
      </c>
      <c r="K813" t="s">
        <v>46</v>
      </c>
      <c r="L813" t="s">
        <v>16</v>
      </c>
      <c r="M813">
        <f>IF(Table3[[#This Row],[Treatment_Success]]="Yes",1,0)</f>
        <v>1</v>
      </c>
      <c r="N813">
        <v>85785</v>
      </c>
    </row>
    <row r="814" spans="1:14" x14ac:dyDescent="0.35">
      <c r="A814" t="s">
        <v>861</v>
      </c>
      <c r="B814">
        <v>78</v>
      </c>
      <c r="C814" t="str">
        <f>_xlfn.IFS(Table3[[#This Row],[Age]]&lt;=10, "Child",Table3[[#This Row],[Age]]&lt;18, "Teenger", Table3[[#This Row],[Age]]&lt;30, "Middle Age", Table3[[#This Row],[Age]]&lt; 60,"Adult",Table3[[#This Row],[Age]],"Senior Citizen")</f>
        <v>Senior Citizen</v>
      </c>
      <c r="D814" t="s">
        <v>18</v>
      </c>
      <c r="E814" t="s">
        <v>24</v>
      </c>
      <c r="F814" t="s">
        <v>40</v>
      </c>
      <c r="G814" s="1">
        <v>45302</v>
      </c>
      <c r="H814" s="1">
        <v>45313</v>
      </c>
      <c r="I814" s="2">
        <f>Table3[[#This Row],[Discharge_Date]]-Table3[[#This Row],[Admission_Date]]</f>
        <v>11</v>
      </c>
      <c r="J814">
        <v>123</v>
      </c>
      <c r="K814" t="s">
        <v>33</v>
      </c>
      <c r="L814" t="s">
        <v>26</v>
      </c>
      <c r="M814">
        <f>IF(Table3[[#This Row],[Treatment_Success]]="Yes",1,0)</f>
        <v>0</v>
      </c>
      <c r="N814">
        <v>86072</v>
      </c>
    </row>
    <row r="815" spans="1:14" x14ac:dyDescent="0.35">
      <c r="A815" t="s">
        <v>862</v>
      </c>
      <c r="B815">
        <v>47</v>
      </c>
      <c r="C815" t="str">
        <f>_xlfn.IFS(Table3[[#This Row],[Age]]&lt;=10, "Child",Table3[[#This Row],[Age]]&lt;18, "Teenger", Table3[[#This Row],[Age]]&lt;30, "Middle Age", Table3[[#This Row],[Age]]&lt; 60,"Adult",Table3[[#This Row],[Age]],"Senior Citizen")</f>
        <v>Adult</v>
      </c>
      <c r="D815" t="s">
        <v>18</v>
      </c>
      <c r="E815" t="s">
        <v>28</v>
      </c>
      <c r="F815" t="s">
        <v>14</v>
      </c>
      <c r="G815" s="1">
        <v>45619</v>
      </c>
      <c r="H815" s="1">
        <v>45631</v>
      </c>
      <c r="I815" s="2">
        <f>Table3[[#This Row],[Discharge_Date]]-Table3[[#This Row],[Admission_Date]]</f>
        <v>12</v>
      </c>
      <c r="J815">
        <v>227</v>
      </c>
      <c r="K815" t="s">
        <v>46</v>
      </c>
      <c r="L815" t="s">
        <v>16</v>
      </c>
      <c r="M815">
        <f>IF(Table3[[#This Row],[Treatment_Success]]="Yes",1,0)</f>
        <v>1</v>
      </c>
      <c r="N815">
        <v>108016</v>
      </c>
    </row>
    <row r="816" spans="1:14" x14ac:dyDescent="0.35">
      <c r="A816" t="s">
        <v>863</v>
      </c>
      <c r="B816">
        <v>12</v>
      </c>
      <c r="C816" t="str">
        <f>_xlfn.IFS(Table3[[#This Row],[Age]]&lt;=10, "Child",Table3[[#This Row],[Age]]&lt;18, "Teenger", Table3[[#This Row],[Age]]&lt;30, "Middle Age", Table3[[#This Row],[Age]]&lt; 60,"Adult",Table3[[#This Row],[Age]],"Senior Citizen")</f>
        <v>Teenger</v>
      </c>
      <c r="D816" t="s">
        <v>18</v>
      </c>
      <c r="E816" t="s">
        <v>38</v>
      </c>
      <c r="F816" t="s">
        <v>29</v>
      </c>
      <c r="G816" s="1">
        <v>45422</v>
      </c>
      <c r="H816" s="1">
        <v>45427</v>
      </c>
      <c r="I816" s="2">
        <f>Table3[[#This Row],[Discharge_Date]]-Table3[[#This Row],[Admission_Date]]</f>
        <v>5</v>
      </c>
      <c r="J816">
        <v>83</v>
      </c>
      <c r="K816" t="s">
        <v>46</v>
      </c>
      <c r="L816" t="s">
        <v>16</v>
      </c>
      <c r="M816">
        <f>IF(Table3[[#This Row],[Treatment_Success]]="Yes",1,0)</f>
        <v>1</v>
      </c>
      <c r="N816">
        <v>173933</v>
      </c>
    </row>
    <row r="817" spans="1:14" x14ac:dyDescent="0.35">
      <c r="A817" t="s">
        <v>864</v>
      </c>
      <c r="B817">
        <v>5</v>
      </c>
      <c r="C817" t="str">
        <f>_xlfn.IFS(Table3[[#This Row],[Age]]&lt;=10, "Child",Table3[[#This Row],[Age]]&lt;18, "Teenger", Table3[[#This Row],[Age]]&lt;30, "Middle Age", Table3[[#This Row],[Age]]&lt; 60,"Adult",Table3[[#This Row],[Age]],"Senior Citizen")</f>
        <v>Child</v>
      </c>
      <c r="D817" t="s">
        <v>12</v>
      </c>
      <c r="E817" t="s">
        <v>24</v>
      </c>
      <c r="F817" t="s">
        <v>22</v>
      </c>
      <c r="G817" s="1">
        <v>45500</v>
      </c>
      <c r="H817" s="1">
        <v>45513</v>
      </c>
      <c r="I817" s="2">
        <f>Table3[[#This Row],[Discharge_Date]]-Table3[[#This Row],[Admission_Date]]</f>
        <v>13</v>
      </c>
      <c r="J817">
        <v>252</v>
      </c>
      <c r="K817" t="s">
        <v>46</v>
      </c>
      <c r="L817" t="s">
        <v>26</v>
      </c>
      <c r="M817">
        <f>IF(Table3[[#This Row],[Treatment_Success]]="Yes",1,0)</f>
        <v>0</v>
      </c>
      <c r="N817">
        <v>92221</v>
      </c>
    </row>
    <row r="818" spans="1:14" x14ac:dyDescent="0.35">
      <c r="A818" t="s">
        <v>865</v>
      </c>
      <c r="B818">
        <v>13</v>
      </c>
      <c r="C818" t="str">
        <f>_xlfn.IFS(Table3[[#This Row],[Age]]&lt;=10, "Child",Table3[[#This Row],[Age]]&lt;18, "Teenger", Table3[[#This Row],[Age]]&lt;30, "Middle Age", Table3[[#This Row],[Age]]&lt; 60,"Adult",Table3[[#This Row],[Age]],"Senior Citizen")</f>
        <v>Teenger</v>
      </c>
      <c r="D818" t="s">
        <v>18</v>
      </c>
      <c r="E818" t="s">
        <v>38</v>
      </c>
      <c r="F818" t="s">
        <v>49</v>
      </c>
      <c r="G818" s="1">
        <v>45508</v>
      </c>
      <c r="H818" s="1">
        <v>45523</v>
      </c>
      <c r="I818" s="2">
        <f>Table3[[#This Row],[Discharge_Date]]-Table3[[#This Row],[Admission_Date]]</f>
        <v>15</v>
      </c>
      <c r="J818">
        <v>34</v>
      </c>
      <c r="K818" t="s">
        <v>33</v>
      </c>
      <c r="L818" t="s">
        <v>26</v>
      </c>
      <c r="M818">
        <f>IF(Table3[[#This Row],[Treatment_Success]]="Yes",1,0)</f>
        <v>0</v>
      </c>
      <c r="N818">
        <v>162841</v>
      </c>
    </row>
    <row r="819" spans="1:14" x14ac:dyDescent="0.35">
      <c r="A819" t="s">
        <v>866</v>
      </c>
      <c r="B819">
        <v>42</v>
      </c>
      <c r="C819" t="str">
        <f>_xlfn.IFS(Table3[[#This Row],[Age]]&lt;=10, "Child",Table3[[#This Row],[Age]]&lt;18, "Teenger", Table3[[#This Row],[Age]]&lt;30, "Middle Age", Table3[[#This Row],[Age]]&lt; 60,"Adult",Table3[[#This Row],[Age]],"Senior Citizen")</f>
        <v>Adult</v>
      </c>
      <c r="D819" t="s">
        <v>12</v>
      </c>
      <c r="E819" t="s">
        <v>24</v>
      </c>
      <c r="F819" t="s">
        <v>22</v>
      </c>
      <c r="G819" s="1">
        <v>45572</v>
      </c>
      <c r="H819" s="1">
        <v>45584</v>
      </c>
      <c r="I819" s="2">
        <f>Table3[[#This Row],[Discharge_Date]]-Table3[[#This Row],[Admission_Date]]</f>
        <v>12</v>
      </c>
      <c r="J819">
        <v>27</v>
      </c>
      <c r="K819" t="s">
        <v>36</v>
      </c>
      <c r="L819" t="s">
        <v>26</v>
      </c>
      <c r="M819">
        <f>IF(Table3[[#This Row],[Treatment_Success]]="Yes",1,0)</f>
        <v>0</v>
      </c>
      <c r="N819">
        <v>173060</v>
      </c>
    </row>
    <row r="820" spans="1:14" x14ac:dyDescent="0.35">
      <c r="A820" t="s">
        <v>867</v>
      </c>
      <c r="B820">
        <v>52</v>
      </c>
      <c r="C820" t="str">
        <f>_xlfn.IFS(Table3[[#This Row],[Age]]&lt;=10, "Child",Table3[[#This Row],[Age]]&lt;18, "Teenger", Table3[[#This Row],[Age]]&lt;30, "Middle Age", Table3[[#This Row],[Age]]&lt; 60,"Adult",Table3[[#This Row],[Age]],"Senior Citizen")</f>
        <v>Adult</v>
      </c>
      <c r="D820" t="s">
        <v>18</v>
      </c>
      <c r="E820" t="s">
        <v>38</v>
      </c>
      <c r="F820" t="s">
        <v>95</v>
      </c>
      <c r="G820" s="1">
        <v>45361</v>
      </c>
      <c r="H820" s="1">
        <v>45362</v>
      </c>
      <c r="I820" s="2">
        <f>Table3[[#This Row],[Discharge_Date]]-Table3[[#This Row],[Admission_Date]]</f>
        <v>1</v>
      </c>
      <c r="J820">
        <v>295</v>
      </c>
      <c r="K820" t="s">
        <v>15</v>
      </c>
      <c r="L820" t="s">
        <v>16</v>
      </c>
      <c r="M820">
        <f>IF(Table3[[#This Row],[Treatment_Success]]="Yes",1,0)</f>
        <v>1</v>
      </c>
      <c r="N820">
        <v>46372</v>
      </c>
    </row>
    <row r="821" spans="1:14" x14ac:dyDescent="0.35">
      <c r="A821" t="s">
        <v>868</v>
      </c>
      <c r="B821">
        <v>84</v>
      </c>
      <c r="C821" t="str">
        <f>_xlfn.IFS(Table3[[#This Row],[Age]]&lt;=10, "Child",Table3[[#This Row],[Age]]&lt;18, "Teenger", Table3[[#This Row],[Age]]&lt;30, "Middle Age", Table3[[#This Row],[Age]]&lt; 60,"Adult",Table3[[#This Row],[Age]],"Senior Citizen")</f>
        <v>Senior Citizen</v>
      </c>
      <c r="D821" t="s">
        <v>18</v>
      </c>
      <c r="E821" t="s">
        <v>28</v>
      </c>
      <c r="F821" t="s">
        <v>54</v>
      </c>
      <c r="G821" s="1">
        <v>45419</v>
      </c>
      <c r="H821" s="1">
        <v>45428</v>
      </c>
      <c r="I821" s="2">
        <f>Table3[[#This Row],[Discharge_Date]]-Table3[[#This Row],[Admission_Date]]</f>
        <v>9</v>
      </c>
      <c r="J821">
        <v>211</v>
      </c>
      <c r="K821" t="s">
        <v>33</v>
      </c>
      <c r="L821" t="s">
        <v>26</v>
      </c>
      <c r="M821">
        <f>IF(Table3[[#This Row],[Treatment_Success]]="Yes",1,0)</f>
        <v>0</v>
      </c>
      <c r="N821">
        <v>130400</v>
      </c>
    </row>
    <row r="822" spans="1:14" x14ac:dyDescent="0.35">
      <c r="A822" t="s">
        <v>869</v>
      </c>
      <c r="B822">
        <v>23</v>
      </c>
      <c r="C822" t="str">
        <f>_xlfn.IFS(Table3[[#This Row],[Age]]&lt;=10, "Child",Table3[[#This Row],[Age]]&lt;18, "Teenger", Table3[[#This Row],[Age]]&lt;30, "Middle Age", Table3[[#This Row],[Age]]&lt; 60,"Adult",Table3[[#This Row],[Age]],"Senior Citizen")</f>
        <v>Middle Age</v>
      </c>
      <c r="D822" t="s">
        <v>12</v>
      </c>
      <c r="E822" t="s">
        <v>38</v>
      </c>
      <c r="F822" t="s">
        <v>29</v>
      </c>
      <c r="G822" s="1">
        <v>45360</v>
      </c>
      <c r="H822" s="1">
        <v>45365</v>
      </c>
      <c r="I822" s="2">
        <f>Table3[[#This Row],[Discharge_Date]]-Table3[[#This Row],[Admission_Date]]</f>
        <v>5</v>
      </c>
      <c r="J822">
        <v>44</v>
      </c>
      <c r="K822" t="s">
        <v>46</v>
      </c>
      <c r="L822" t="s">
        <v>16</v>
      </c>
      <c r="M822">
        <f>IF(Table3[[#This Row],[Treatment_Success]]="Yes",1,0)</f>
        <v>1</v>
      </c>
      <c r="N822">
        <v>52681</v>
      </c>
    </row>
    <row r="823" spans="1:14" x14ac:dyDescent="0.35">
      <c r="A823" t="s">
        <v>870</v>
      </c>
      <c r="B823">
        <v>49</v>
      </c>
      <c r="C823" t="str">
        <f>_xlfn.IFS(Table3[[#This Row],[Age]]&lt;=10, "Child",Table3[[#This Row],[Age]]&lt;18, "Teenger", Table3[[#This Row],[Age]]&lt;30, "Middle Age", Table3[[#This Row],[Age]]&lt; 60,"Adult",Table3[[#This Row],[Age]],"Senior Citizen")</f>
        <v>Adult</v>
      </c>
      <c r="D823" t="s">
        <v>18</v>
      </c>
      <c r="E823" t="s">
        <v>24</v>
      </c>
      <c r="F823" t="s">
        <v>80</v>
      </c>
      <c r="G823" s="1">
        <v>45493</v>
      </c>
      <c r="H823" s="1">
        <v>45508</v>
      </c>
      <c r="I823" s="2">
        <f>Table3[[#This Row],[Discharge_Date]]-Table3[[#This Row],[Admission_Date]]</f>
        <v>15</v>
      </c>
      <c r="J823">
        <v>286</v>
      </c>
      <c r="K823" t="s">
        <v>36</v>
      </c>
      <c r="L823" t="s">
        <v>16</v>
      </c>
      <c r="M823">
        <f>IF(Table3[[#This Row],[Treatment_Success]]="Yes",1,0)</f>
        <v>1</v>
      </c>
      <c r="N823">
        <v>126221</v>
      </c>
    </row>
    <row r="824" spans="1:14" x14ac:dyDescent="0.35">
      <c r="A824" t="s">
        <v>871</v>
      </c>
      <c r="B824">
        <v>90</v>
      </c>
      <c r="C824" t="str">
        <f>_xlfn.IFS(Table3[[#This Row],[Age]]&lt;=10, "Child",Table3[[#This Row],[Age]]&lt;18, "Teenger", Table3[[#This Row],[Age]]&lt;30, "Middle Age", Table3[[#This Row],[Age]]&lt; 60,"Adult",Table3[[#This Row],[Age]],"Senior Citizen")</f>
        <v>Senior Citizen</v>
      </c>
      <c r="D824" t="s">
        <v>18</v>
      </c>
      <c r="E824" t="s">
        <v>24</v>
      </c>
      <c r="F824" t="s">
        <v>56</v>
      </c>
      <c r="G824" s="1">
        <v>45393</v>
      </c>
      <c r="H824" s="1">
        <v>45398</v>
      </c>
      <c r="I824" s="2">
        <f>Table3[[#This Row],[Discharge_Date]]-Table3[[#This Row],[Admission_Date]]</f>
        <v>5</v>
      </c>
      <c r="J824">
        <v>220</v>
      </c>
      <c r="K824" t="s">
        <v>33</v>
      </c>
      <c r="L824" t="s">
        <v>16</v>
      </c>
      <c r="M824">
        <f>IF(Table3[[#This Row],[Treatment_Success]]="Yes",1,0)</f>
        <v>1</v>
      </c>
      <c r="N824">
        <v>28346</v>
      </c>
    </row>
    <row r="825" spans="1:14" x14ac:dyDescent="0.35">
      <c r="A825" t="s">
        <v>872</v>
      </c>
      <c r="B825">
        <v>73</v>
      </c>
      <c r="C825" t="str">
        <f>_xlfn.IFS(Table3[[#This Row],[Age]]&lt;=10, "Child",Table3[[#This Row],[Age]]&lt;18, "Teenger", Table3[[#This Row],[Age]]&lt;30, "Middle Age", Table3[[#This Row],[Age]]&lt; 60,"Adult",Table3[[#This Row],[Age]],"Senior Citizen")</f>
        <v>Senior Citizen</v>
      </c>
      <c r="D825" t="s">
        <v>18</v>
      </c>
      <c r="E825" t="s">
        <v>24</v>
      </c>
      <c r="F825" t="s">
        <v>40</v>
      </c>
      <c r="G825" s="1">
        <v>45480</v>
      </c>
      <c r="H825" s="1">
        <v>45483</v>
      </c>
      <c r="I825" s="2">
        <f>Table3[[#This Row],[Discharge_Date]]-Table3[[#This Row],[Admission_Date]]</f>
        <v>3</v>
      </c>
      <c r="J825">
        <v>270</v>
      </c>
      <c r="K825" t="s">
        <v>46</v>
      </c>
      <c r="L825" t="s">
        <v>26</v>
      </c>
      <c r="M825">
        <f>IF(Table3[[#This Row],[Treatment_Success]]="Yes",1,0)</f>
        <v>0</v>
      </c>
      <c r="N825">
        <v>181582</v>
      </c>
    </row>
    <row r="826" spans="1:14" x14ac:dyDescent="0.35">
      <c r="A826" t="s">
        <v>873</v>
      </c>
      <c r="B826">
        <v>29</v>
      </c>
      <c r="C826" t="str">
        <f>_xlfn.IFS(Table3[[#This Row],[Age]]&lt;=10, "Child",Table3[[#This Row],[Age]]&lt;18, "Teenger", Table3[[#This Row],[Age]]&lt;30, "Middle Age", Table3[[#This Row],[Age]]&lt; 60,"Adult",Table3[[#This Row],[Age]],"Senior Citizen")</f>
        <v>Middle Age</v>
      </c>
      <c r="D826" t="s">
        <v>18</v>
      </c>
      <c r="E826" t="s">
        <v>13</v>
      </c>
      <c r="F826" t="s">
        <v>32</v>
      </c>
      <c r="G826" s="1">
        <v>45545</v>
      </c>
      <c r="H826" s="1">
        <v>45547</v>
      </c>
      <c r="I826" s="2">
        <f>Table3[[#This Row],[Discharge_Date]]-Table3[[#This Row],[Admission_Date]]</f>
        <v>2</v>
      </c>
      <c r="J826">
        <v>148</v>
      </c>
      <c r="K826" t="s">
        <v>46</v>
      </c>
      <c r="L826" t="s">
        <v>26</v>
      </c>
      <c r="M826">
        <f>IF(Table3[[#This Row],[Treatment_Success]]="Yes",1,0)</f>
        <v>0</v>
      </c>
      <c r="N826">
        <v>39130</v>
      </c>
    </row>
    <row r="827" spans="1:14" x14ac:dyDescent="0.35">
      <c r="A827" t="s">
        <v>874</v>
      </c>
      <c r="B827">
        <v>27</v>
      </c>
      <c r="C827" t="str">
        <f>_xlfn.IFS(Table3[[#This Row],[Age]]&lt;=10, "Child",Table3[[#This Row],[Age]]&lt;18, "Teenger", Table3[[#This Row],[Age]]&lt;30, "Middle Age", Table3[[#This Row],[Age]]&lt; 60,"Adult",Table3[[#This Row],[Age]],"Senior Citizen")</f>
        <v>Middle Age</v>
      </c>
      <c r="D827" t="s">
        <v>18</v>
      </c>
      <c r="E827" t="s">
        <v>38</v>
      </c>
      <c r="F827" t="s">
        <v>25</v>
      </c>
      <c r="G827" s="1">
        <v>45512</v>
      </c>
      <c r="H827" s="1">
        <v>45526</v>
      </c>
      <c r="I827" s="2">
        <f>Table3[[#This Row],[Discharge_Date]]-Table3[[#This Row],[Admission_Date]]</f>
        <v>14</v>
      </c>
      <c r="J827">
        <v>97</v>
      </c>
      <c r="K827" t="s">
        <v>46</v>
      </c>
      <c r="L827" t="s">
        <v>16</v>
      </c>
      <c r="M827">
        <f>IF(Table3[[#This Row],[Treatment_Success]]="Yes",1,0)</f>
        <v>1</v>
      </c>
      <c r="N827">
        <v>112092</v>
      </c>
    </row>
    <row r="828" spans="1:14" x14ac:dyDescent="0.35">
      <c r="A828" t="s">
        <v>875</v>
      </c>
      <c r="B828">
        <v>38</v>
      </c>
      <c r="C828" t="str">
        <f>_xlfn.IFS(Table3[[#This Row],[Age]]&lt;=10, "Child",Table3[[#This Row],[Age]]&lt;18, "Teenger", Table3[[#This Row],[Age]]&lt;30, "Middle Age", Table3[[#This Row],[Age]]&lt; 60,"Adult",Table3[[#This Row],[Age]],"Senior Citizen")</f>
        <v>Adult</v>
      </c>
      <c r="D828" t="s">
        <v>12</v>
      </c>
      <c r="E828" t="s">
        <v>13</v>
      </c>
      <c r="F828" t="s">
        <v>35</v>
      </c>
      <c r="G828" s="1">
        <v>45366</v>
      </c>
      <c r="H828" s="1">
        <v>45367</v>
      </c>
      <c r="I828" s="2">
        <f>Table3[[#This Row],[Discharge_Date]]-Table3[[#This Row],[Admission_Date]]</f>
        <v>1</v>
      </c>
      <c r="J828">
        <v>231</v>
      </c>
      <c r="K828" t="s">
        <v>36</v>
      </c>
      <c r="L828" t="s">
        <v>16</v>
      </c>
      <c r="M828">
        <f>IF(Table3[[#This Row],[Treatment_Success]]="Yes",1,0)</f>
        <v>1</v>
      </c>
      <c r="N828">
        <v>157804</v>
      </c>
    </row>
    <row r="829" spans="1:14" x14ac:dyDescent="0.35">
      <c r="A829" t="s">
        <v>876</v>
      </c>
      <c r="B829">
        <v>59</v>
      </c>
      <c r="C829" t="str">
        <f>_xlfn.IFS(Table3[[#This Row],[Age]]&lt;=10, "Child",Table3[[#This Row],[Age]]&lt;18, "Teenger", Table3[[#This Row],[Age]]&lt;30, "Middle Age", Table3[[#This Row],[Age]]&lt; 60,"Adult",Table3[[#This Row],[Age]],"Senior Citizen")</f>
        <v>Adult</v>
      </c>
      <c r="D829" t="s">
        <v>18</v>
      </c>
      <c r="E829" t="s">
        <v>24</v>
      </c>
      <c r="F829" t="s">
        <v>43</v>
      </c>
      <c r="G829" s="1">
        <v>45642</v>
      </c>
      <c r="H829" s="1">
        <v>45653</v>
      </c>
      <c r="I829" s="2">
        <f>Table3[[#This Row],[Discharge_Date]]-Table3[[#This Row],[Admission_Date]]</f>
        <v>11</v>
      </c>
      <c r="J829">
        <v>69</v>
      </c>
      <c r="K829" t="s">
        <v>33</v>
      </c>
      <c r="L829" t="s">
        <v>26</v>
      </c>
      <c r="M829">
        <f>IF(Table3[[#This Row],[Treatment_Success]]="Yes",1,0)</f>
        <v>0</v>
      </c>
      <c r="N829">
        <v>185054</v>
      </c>
    </row>
    <row r="830" spans="1:14" x14ac:dyDescent="0.35">
      <c r="A830" t="s">
        <v>877</v>
      </c>
      <c r="B830">
        <v>50</v>
      </c>
      <c r="C830" t="str">
        <f>_xlfn.IFS(Table3[[#This Row],[Age]]&lt;=10, "Child",Table3[[#This Row],[Age]]&lt;18, "Teenger", Table3[[#This Row],[Age]]&lt;30, "Middle Age", Table3[[#This Row],[Age]]&lt; 60,"Adult",Table3[[#This Row],[Age]],"Senior Citizen")</f>
        <v>Adult</v>
      </c>
      <c r="D830" t="s">
        <v>12</v>
      </c>
      <c r="E830" t="s">
        <v>28</v>
      </c>
      <c r="F830" t="s">
        <v>32</v>
      </c>
      <c r="G830" s="1">
        <v>45400</v>
      </c>
      <c r="H830" s="1">
        <v>45412</v>
      </c>
      <c r="I830" s="2">
        <f>Table3[[#This Row],[Discharge_Date]]-Table3[[#This Row],[Admission_Date]]</f>
        <v>12</v>
      </c>
      <c r="J830">
        <v>38</v>
      </c>
      <c r="K830" t="s">
        <v>15</v>
      </c>
      <c r="L830" t="s">
        <v>16</v>
      </c>
      <c r="M830">
        <f>IF(Table3[[#This Row],[Treatment_Success]]="Yes",1,0)</f>
        <v>1</v>
      </c>
      <c r="N830">
        <v>18661</v>
      </c>
    </row>
    <row r="831" spans="1:14" x14ac:dyDescent="0.35">
      <c r="A831" t="s">
        <v>878</v>
      </c>
      <c r="B831">
        <v>31</v>
      </c>
      <c r="C831" t="str">
        <f>_xlfn.IFS(Table3[[#This Row],[Age]]&lt;=10, "Child",Table3[[#This Row],[Age]]&lt;18, "Teenger", Table3[[#This Row],[Age]]&lt;30, "Middle Age", Table3[[#This Row],[Age]]&lt; 60,"Adult",Table3[[#This Row],[Age]],"Senior Citizen")</f>
        <v>Adult</v>
      </c>
      <c r="D831" t="s">
        <v>12</v>
      </c>
      <c r="E831" t="s">
        <v>38</v>
      </c>
      <c r="F831" t="s">
        <v>35</v>
      </c>
      <c r="G831" s="1">
        <v>45462</v>
      </c>
      <c r="H831" s="1">
        <v>45477</v>
      </c>
      <c r="I831" s="2">
        <f>Table3[[#This Row],[Discharge_Date]]-Table3[[#This Row],[Admission_Date]]</f>
        <v>15</v>
      </c>
      <c r="J831">
        <v>24</v>
      </c>
      <c r="K831" t="s">
        <v>15</v>
      </c>
      <c r="L831" t="s">
        <v>16</v>
      </c>
      <c r="M831">
        <f>IF(Table3[[#This Row],[Treatment_Success]]="Yes",1,0)</f>
        <v>1</v>
      </c>
      <c r="N831">
        <v>137262</v>
      </c>
    </row>
    <row r="832" spans="1:14" x14ac:dyDescent="0.35">
      <c r="A832" t="s">
        <v>879</v>
      </c>
      <c r="B832">
        <v>39</v>
      </c>
      <c r="C832" t="str">
        <f>_xlfn.IFS(Table3[[#This Row],[Age]]&lt;=10, "Child",Table3[[#This Row],[Age]]&lt;18, "Teenger", Table3[[#This Row],[Age]]&lt;30, "Middle Age", Table3[[#This Row],[Age]]&lt; 60,"Adult",Table3[[#This Row],[Age]],"Senior Citizen")</f>
        <v>Adult</v>
      </c>
      <c r="D832" t="s">
        <v>12</v>
      </c>
      <c r="E832" t="s">
        <v>38</v>
      </c>
      <c r="F832" t="s">
        <v>106</v>
      </c>
      <c r="G832" s="1">
        <v>45609</v>
      </c>
      <c r="H832" s="1">
        <v>45616</v>
      </c>
      <c r="I832" s="2">
        <f>Table3[[#This Row],[Discharge_Date]]-Table3[[#This Row],[Admission_Date]]</f>
        <v>7</v>
      </c>
      <c r="J832">
        <v>287</v>
      </c>
      <c r="K832" t="s">
        <v>15</v>
      </c>
      <c r="L832" t="s">
        <v>16</v>
      </c>
      <c r="M832">
        <f>IF(Table3[[#This Row],[Treatment_Success]]="Yes",1,0)</f>
        <v>1</v>
      </c>
      <c r="N832">
        <v>73233</v>
      </c>
    </row>
    <row r="833" spans="1:14" x14ac:dyDescent="0.35">
      <c r="A833" t="s">
        <v>880</v>
      </c>
      <c r="B833">
        <v>64</v>
      </c>
      <c r="C833" t="str">
        <f>_xlfn.IFS(Table3[[#This Row],[Age]]&lt;=10, "Child",Table3[[#This Row],[Age]]&lt;18, "Teenger", Table3[[#This Row],[Age]]&lt;30, "Middle Age", Table3[[#This Row],[Age]]&lt; 60,"Adult",Table3[[#This Row],[Age]],"Senior Citizen")</f>
        <v>Senior Citizen</v>
      </c>
      <c r="D833" t="s">
        <v>12</v>
      </c>
      <c r="E833" t="s">
        <v>31</v>
      </c>
      <c r="F833" t="s">
        <v>106</v>
      </c>
      <c r="G833" s="1">
        <v>45378</v>
      </c>
      <c r="H833" s="1">
        <v>45387</v>
      </c>
      <c r="I833" s="2">
        <f>Table3[[#This Row],[Discharge_Date]]-Table3[[#This Row],[Admission_Date]]</f>
        <v>9</v>
      </c>
      <c r="J833">
        <v>46</v>
      </c>
      <c r="K833" t="s">
        <v>33</v>
      </c>
      <c r="L833" t="s">
        <v>26</v>
      </c>
      <c r="M833">
        <f>IF(Table3[[#This Row],[Treatment_Success]]="Yes",1,0)</f>
        <v>0</v>
      </c>
      <c r="N833">
        <v>42170</v>
      </c>
    </row>
    <row r="834" spans="1:14" x14ac:dyDescent="0.35">
      <c r="A834" t="s">
        <v>881</v>
      </c>
      <c r="B834">
        <v>41</v>
      </c>
      <c r="C834" t="str">
        <f>_xlfn.IFS(Table3[[#This Row],[Age]]&lt;=10, "Child",Table3[[#This Row],[Age]]&lt;18, "Teenger", Table3[[#This Row],[Age]]&lt;30, "Middle Age", Table3[[#This Row],[Age]]&lt; 60,"Adult",Table3[[#This Row],[Age]],"Senior Citizen")</f>
        <v>Adult</v>
      </c>
      <c r="D834" t="s">
        <v>18</v>
      </c>
      <c r="E834" t="s">
        <v>13</v>
      </c>
      <c r="F834" t="s">
        <v>43</v>
      </c>
      <c r="G834" s="1">
        <v>45425</v>
      </c>
      <c r="H834" s="1">
        <v>45427</v>
      </c>
      <c r="I834" s="2">
        <f>Table3[[#This Row],[Discharge_Date]]-Table3[[#This Row],[Admission_Date]]</f>
        <v>2</v>
      </c>
      <c r="J834">
        <v>144</v>
      </c>
      <c r="K834" t="s">
        <v>33</v>
      </c>
      <c r="L834" t="s">
        <v>26</v>
      </c>
      <c r="M834">
        <f>IF(Table3[[#This Row],[Treatment_Success]]="Yes",1,0)</f>
        <v>0</v>
      </c>
      <c r="N834">
        <v>79167</v>
      </c>
    </row>
    <row r="835" spans="1:14" x14ac:dyDescent="0.35">
      <c r="A835" t="s">
        <v>882</v>
      </c>
      <c r="B835">
        <v>34</v>
      </c>
      <c r="C835" t="str">
        <f>_xlfn.IFS(Table3[[#This Row],[Age]]&lt;=10, "Child",Table3[[#This Row],[Age]]&lt;18, "Teenger", Table3[[#This Row],[Age]]&lt;30, "Middle Age", Table3[[#This Row],[Age]]&lt; 60,"Adult",Table3[[#This Row],[Age]],"Senior Citizen")</f>
        <v>Adult</v>
      </c>
      <c r="D835" t="s">
        <v>12</v>
      </c>
      <c r="E835" t="s">
        <v>31</v>
      </c>
      <c r="F835" t="s">
        <v>66</v>
      </c>
      <c r="G835" s="1">
        <v>45426</v>
      </c>
      <c r="H835" s="1">
        <v>45436</v>
      </c>
      <c r="I835" s="2">
        <f>Table3[[#This Row],[Discharge_Date]]-Table3[[#This Row],[Admission_Date]]</f>
        <v>10</v>
      </c>
      <c r="J835">
        <v>162</v>
      </c>
      <c r="K835" t="s">
        <v>46</v>
      </c>
      <c r="L835" t="s">
        <v>16</v>
      </c>
      <c r="M835">
        <f>IF(Table3[[#This Row],[Treatment_Success]]="Yes",1,0)</f>
        <v>1</v>
      </c>
      <c r="N835">
        <v>150666</v>
      </c>
    </row>
    <row r="836" spans="1:14" x14ac:dyDescent="0.35">
      <c r="A836" t="s">
        <v>883</v>
      </c>
      <c r="B836">
        <v>57</v>
      </c>
      <c r="C836" t="str">
        <f>_xlfn.IFS(Table3[[#This Row],[Age]]&lt;=10, "Child",Table3[[#This Row],[Age]]&lt;18, "Teenger", Table3[[#This Row],[Age]]&lt;30, "Middle Age", Table3[[#This Row],[Age]]&lt; 60,"Adult",Table3[[#This Row],[Age]],"Senior Citizen")</f>
        <v>Adult</v>
      </c>
      <c r="D836" t="s">
        <v>18</v>
      </c>
      <c r="E836" t="s">
        <v>13</v>
      </c>
      <c r="F836" t="s">
        <v>106</v>
      </c>
      <c r="G836" s="1">
        <v>45628</v>
      </c>
      <c r="H836" s="1">
        <v>45639</v>
      </c>
      <c r="I836" s="2">
        <f>Table3[[#This Row],[Discharge_Date]]-Table3[[#This Row],[Admission_Date]]</f>
        <v>11</v>
      </c>
      <c r="J836">
        <v>28</v>
      </c>
      <c r="K836" t="s">
        <v>36</v>
      </c>
      <c r="L836" t="s">
        <v>16</v>
      </c>
      <c r="M836">
        <f>IF(Table3[[#This Row],[Treatment_Success]]="Yes",1,0)</f>
        <v>1</v>
      </c>
      <c r="N836">
        <v>14401</v>
      </c>
    </row>
    <row r="837" spans="1:14" x14ac:dyDescent="0.35">
      <c r="A837" t="s">
        <v>884</v>
      </c>
      <c r="B837">
        <v>21</v>
      </c>
      <c r="C837" t="str">
        <f>_xlfn.IFS(Table3[[#This Row],[Age]]&lt;=10, "Child",Table3[[#This Row],[Age]]&lt;18, "Teenger", Table3[[#This Row],[Age]]&lt;30, "Middle Age", Table3[[#This Row],[Age]]&lt; 60,"Adult",Table3[[#This Row],[Age]],"Senior Citizen")</f>
        <v>Middle Age</v>
      </c>
      <c r="D837" t="s">
        <v>12</v>
      </c>
      <c r="E837" t="s">
        <v>31</v>
      </c>
      <c r="F837" t="s">
        <v>90</v>
      </c>
      <c r="G837" s="1">
        <v>45532</v>
      </c>
      <c r="H837" s="1">
        <v>45537</v>
      </c>
      <c r="I837" s="2">
        <f>Table3[[#This Row],[Discharge_Date]]-Table3[[#This Row],[Admission_Date]]</f>
        <v>5</v>
      </c>
      <c r="J837">
        <v>254</v>
      </c>
      <c r="K837" t="s">
        <v>15</v>
      </c>
      <c r="L837" t="s">
        <v>26</v>
      </c>
      <c r="M837">
        <f>IF(Table3[[#This Row],[Treatment_Success]]="Yes",1,0)</f>
        <v>0</v>
      </c>
      <c r="N837">
        <v>98459</v>
      </c>
    </row>
    <row r="838" spans="1:14" x14ac:dyDescent="0.35">
      <c r="A838" t="s">
        <v>885</v>
      </c>
      <c r="B838">
        <v>63</v>
      </c>
      <c r="C838" t="str">
        <f>_xlfn.IFS(Table3[[#This Row],[Age]]&lt;=10, "Child",Table3[[#This Row],[Age]]&lt;18, "Teenger", Table3[[#This Row],[Age]]&lt;30, "Middle Age", Table3[[#This Row],[Age]]&lt; 60,"Adult",Table3[[#This Row],[Age]],"Senior Citizen")</f>
        <v>Senior Citizen</v>
      </c>
      <c r="D838" t="s">
        <v>12</v>
      </c>
      <c r="E838" t="s">
        <v>31</v>
      </c>
      <c r="F838" t="s">
        <v>90</v>
      </c>
      <c r="G838" s="1">
        <v>45655</v>
      </c>
      <c r="H838" s="1">
        <v>45664</v>
      </c>
      <c r="I838" s="2">
        <f>Table3[[#This Row],[Discharge_Date]]-Table3[[#This Row],[Admission_Date]]</f>
        <v>9</v>
      </c>
      <c r="J838">
        <v>76</v>
      </c>
      <c r="K838" t="s">
        <v>15</v>
      </c>
      <c r="L838" t="s">
        <v>16</v>
      </c>
      <c r="M838">
        <f>IF(Table3[[#This Row],[Treatment_Success]]="Yes",1,0)</f>
        <v>1</v>
      </c>
      <c r="N838">
        <v>29530</v>
      </c>
    </row>
    <row r="839" spans="1:14" x14ac:dyDescent="0.35">
      <c r="A839" t="s">
        <v>886</v>
      </c>
      <c r="B839">
        <v>37</v>
      </c>
      <c r="C839" t="str">
        <f>_xlfn.IFS(Table3[[#This Row],[Age]]&lt;=10, "Child",Table3[[#This Row],[Age]]&lt;18, "Teenger", Table3[[#This Row],[Age]]&lt;30, "Middle Age", Table3[[#This Row],[Age]]&lt; 60,"Adult",Table3[[#This Row],[Age]],"Senior Citizen")</f>
        <v>Adult</v>
      </c>
      <c r="D839" t="s">
        <v>18</v>
      </c>
      <c r="E839" t="s">
        <v>13</v>
      </c>
      <c r="F839" t="s">
        <v>25</v>
      </c>
      <c r="G839" s="1">
        <v>45396</v>
      </c>
      <c r="H839" s="1">
        <v>45410</v>
      </c>
      <c r="I839" s="2">
        <f>Table3[[#This Row],[Discharge_Date]]-Table3[[#This Row],[Admission_Date]]</f>
        <v>14</v>
      </c>
      <c r="J839">
        <v>261</v>
      </c>
      <c r="K839" t="s">
        <v>33</v>
      </c>
      <c r="L839" t="s">
        <v>16</v>
      </c>
      <c r="M839">
        <f>IF(Table3[[#This Row],[Treatment_Success]]="Yes",1,0)</f>
        <v>1</v>
      </c>
      <c r="N839">
        <v>157973</v>
      </c>
    </row>
    <row r="840" spans="1:14" x14ac:dyDescent="0.35">
      <c r="A840" t="s">
        <v>887</v>
      </c>
      <c r="B840">
        <v>74</v>
      </c>
      <c r="C840" t="str">
        <f>_xlfn.IFS(Table3[[#This Row],[Age]]&lt;=10, "Child",Table3[[#This Row],[Age]]&lt;18, "Teenger", Table3[[#This Row],[Age]]&lt;30, "Middle Age", Table3[[#This Row],[Age]]&lt; 60,"Adult",Table3[[#This Row],[Age]],"Senior Citizen")</f>
        <v>Senior Citizen</v>
      </c>
      <c r="D840" t="s">
        <v>18</v>
      </c>
      <c r="E840" t="s">
        <v>31</v>
      </c>
      <c r="F840" t="s">
        <v>45</v>
      </c>
      <c r="G840" s="1">
        <v>45294</v>
      </c>
      <c r="H840" s="1">
        <v>45303</v>
      </c>
      <c r="I840" s="2">
        <f>Table3[[#This Row],[Discharge_Date]]-Table3[[#This Row],[Admission_Date]]</f>
        <v>9</v>
      </c>
      <c r="J840">
        <v>127</v>
      </c>
      <c r="K840" t="s">
        <v>46</v>
      </c>
      <c r="L840" t="s">
        <v>16</v>
      </c>
      <c r="M840">
        <f>IF(Table3[[#This Row],[Treatment_Success]]="Yes",1,0)</f>
        <v>1</v>
      </c>
      <c r="N840">
        <v>91155</v>
      </c>
    </row>
    <row r="841" spans="1:14" x14ac:dyDescent="0.35">
      <c r="A841" t="s">
        <v>888</v>
      </c>
      <c r="B841">
        <v>88</v>
      </c>
      <c r="C841" t="str">
        <f>_xlfn.IFS(Table3[[#This Row],[Age]]&lt;=10, "Child",Table3[[#This Row],[Age]]&lt;18, "Teenger", Table3[[#This Row],[Age]]&lt;30, "Middle Age", Table3[[#This Row],[Age]]&lt; 60,"Adult",Table3[[#This Row],[Age]],"Senior Citizen")</f>
        <v>Senior Citizen</v>
      </c>
      <c r="D841" t="s">
        <v>18</v>
      </c>
      <c r="E841" t="s">
        <v>31</v>
      </c>
      <c r="F841" t="s">
        <v>63</v>
      </c>
      <c r="G841" s="1">
        <v>45305</v>
      </c>
      <c r="H841" s="1">
        <v>45310</v>
      </c>
      <c r="I841" s="2">
        <f>Table3[[#This Row],[Discharge_Date]]-Table3[[#This Row],[Admission_Date]]</f>
        <v>5</v>
      </c>
      <c r="J841">
        <v>55</v>
      </c>
      <c r="K841" t="s">
        <v>33</v>
      </c>
      <c r="L841" t="s">
        <v>16</v>
      </c>
      <c r="M841">
        <f>IF(Table3[[#This Row],[Treatment_Success]]="Yes",1,0)</f>
        <v>1</v>
      </c>
      <c r="N841">
        <v>12569</v>
      </c>
    </row>
    <row r="842" spans="1:14" x14ac:dyDescent="0.35">
      <c r="A842" t="s">
        <v>889</v>
      </c>
      <c r="B842">
        <v>85</v>
      </c>
      <c r="C842" t="str">
        <f>_xlfn.IFS(Table3[[#This Row],[Age]]&lt;=10, "Child",Table3[[#This Row],[Age]]&lt;18, "Teenger", Table3[[#This Row],[Age]]&lt;30, "Middle Age", Table3[[#This Row],[Age]]&lt; 60,"Adult",Table3[[#This Row],[Age]],"Senior Citizen")</f>
        <v>Senior Citizen</v>
      </c>
      <c r="D842" t="s">
        <v>12</v>
      </c>
      <c r="E842" t="s">
        <v>31</v>
      </c>
      <c r="F842" t="s">
        <v>68</v>
      </c>
      <c r="G842" s="1">
        <v>45333</v>
      </c>
      <c r="H842" s="1">
        <v>45341</v>
      </c>
      <c r="I842" s="2">
        <f>Table3[[#This Row],[Discharge_Date]]-Table3[[#This Row],[Admission_Date]]</f>
        <v>8</v>
      </c>
      <c r="J842">
        <v>138</v>
      </c>
      <c r="K842" t="s">
        <v>15</v>
      </c>
      <c r="L842" t="s">
        <v>16</v>
      </c>
      <c r="M842">
        <f>IF(Table3[[#This Row],[Treatment_Success]]="Yes",1,0)</f>
        <v>1</v>
      </c>
      <c r="N842">
        <v>16494</v>
      </c>
    </row>
    <row r="843" spans="1:14" x14ac:dyDescent="0.35">
      <c r="A843" t="s">
        <v>890</v>
      </c>
      <c r="B843">
        <v>58</v>
      </c>
      <c r="C843" t="str">
        <f>_xlfn.IFS(Table3[[#This Row],[Age]]&lt;=10, "Child",Table3[[#This Row],[Age]]&lt;18, "Teenger", Table3[[#This Row],[Age]]&lt;30, "Middle Age", Table3[[#This Row],[Age]]&lt; 60,"Adult",Table3[[#This Row],[Age]],"Senior Citizen")</f>
        <v>Adult</v>
      </c>
      <c r="D843" t="s">
        <v>12</v>
      </c>
      <c r="E843" t="s">
        <v>28</v>
      </c>
      <c r="F843" t="s">
        <v>106</v>
      </c>
      <c r="G843" s="1">
        <v>45627</v>
      </c>
      <c r="H843" s="1">
        <v>45637</v>
      </c>
      <c r="I843" s="2">
        <f>Table3[[#This Row],[Discharge_Date]]-Table3[[#This Row],[Admission_Date]]</f>
        <v>10</v>
      </c>
      <c r="J843">
        <v>109</v>
      </c>
      <c r="K843" t="s">
        <v>15</v>
      </c>
      <c r="L843" t="s">
        <v>16</v>
      </c>
      <c r="M843">
        <f>IF(Table3[[#This Row],[Treatment_Success]]="Yes",1,0)</f>
        <v>1</v>
      </c>
      <c r="N843">
        <v>89717</v>
      </c>
    </row>
    <row r="844" spans="1:14" x14ac:dyDescent="0.35">
      <c r="A844" t="s">
        <v>891</v>
      </c>
      <c r="B844">
        <v>10</v>
      </c>
      <c r="C844" t="str">
        <f>_xlfn.IFS(Table3[[#This Row],[Age]]&lt;=10, "Child",Table3[[#This Row],[Age]]&lt;18, "Teenger", Table3[[#This Row],[Age]]&lt;30, "Middle Age", Table3[[#This Row],[Age]]&lt; 60,"Adult",Table3[[#This Row],[Age]],"Senior Citizen")</f>
        <v>Child</v>
      </c>
      <c r="D844" t="s">
        <v>12</v>
      </c>
      <c r="E844" t="s">
        <v>24</v>
      </c>
      <c r="F844" t="s">
        <v>56</v>
      </c>
      <c r="G844" s="1">
        <v>45320</v>
      </c>
      <c r="H844" s="1">
        <v>45332</v>
      </c>
      <c r="I844" s="2">
        <f>Table3[[#This Row],[Discharge_Date]]-Table3[[#This Row],[Admission_Date]]</f>
        <v>12</v>
      </c>
      <c r="J844">
        <v>131</v>
      </c>
      <c r="K844" t="s">
        <v>36</v>
      </c>
      <c r="L844" t="s">
        <v>16</v>
      </c>
      <c r="M844">
        <f>IF(Table3[[#This Row],[Treatment_Success]]="Yes",1,0)</f>
        <v>1</v>
      </c>
      <c r="N844">
        <v>109573</v>
      </c>
    </row>
    <row r="845" spans="1:14" x14ac:dyDescent="0.35">
      <c r="A845" t="s">
        <v>892</v>
      </c>
      <c r="B845">
        <v>27</v>
      </c>
      <c r="C845" t="str">
        <f>_xlfn.IFS(Table3[[#This Row],[Age]]&lt;=10, "Child",Table3[[#This Row],[Age]]&lt;18, "Teenger", Table3[[#This Row],[Age]]&lt;30, "Middle Age", Table3[[#This Row],[Age]]&lt; 60,"Adult",Table3[[#This Row],[Age]],"Senior Citizen")</f>
        <v>Middle Age</v>
      </c>
      <c r="D845" t="s">
        <v>18</v>
      </c>
      <c r="E845" t="s">
        <v>31</v>
      </c>
      <c r="F845" t="s">
        <v>22</v>
      </c>
      <c r="G845" s="1">
        <v>45337</v>
      </c>
      <c r="H845" s="1">
        <v>45338</v>
      </c>
      <c r="I845" s="2">
        <f>Table3[[#This Row],[Discharge_Date]]-Table3[[#This Row],[Admission_Date]]</f>
        <v>1</v>
      </c>
      <c r="J845">
        <v>207</v>
      </c>
      <c r="K845" t="s">
        <v>33</v>
      </c>
      <c r="L845" t="s">
        <v>16</v>
      </c>
      <c r="M845">
        <f>IF(Table3[[#This Row],[Treatment_Success]]="Yes",1,0)</f>
        <v>1</v>
      </c>
      <c r="N845">
        <v>36615</v>
      </c>
    </row>
    <row r="846" spans="1:14" x14ac:dyDescent="0.35">
      <c r="A846" t="s">
        <v>893</v>
      </c>
      <c r="B846">
        <v>56</v>
      </c>
      <c r="C846" t="str">
        <f>_xlfn.IFS(Table3[[#This Row],[Age]]&lt;=10, "Child",Table3[[#This Row],[Age]]&lt;18, "Teenger", Table3[[#This Row],[Age]]&lt;30, "Middle Age", Table3[[#This Row],[Age]]&lt; 60,"Adult",Table3[[#This Row],[Age]],"Senior Citizen")</f>
        <v>Adult</v>
      </c>
      <c r="D846" t="s">
        <v>12</v>
      </c>
      <c r="E846" t="s">
        <v>28</v>
      </c>
      <c r="F846" t="s">
        <v>106</v>
      </c>
      <c r="G846" s="1">
        <v>45444</v>
      </c>
      <c r="H846" s="1">
        <v>45452</v>
      </c>
      <c r="I846" s="2">
        <f>Table3[[#This Row],[Discharge_Date]]-Table3[[#This Row],[Admission_Date]]</f>
        <v>8</v>
      </c>
      <c r="J846">
        <v>184</v>
      </c>
      <c r="K846" t="s">
        <v>15</v>
      </c>
      <c r="L846" t="s">
        <v>16</v>
      </c>
      <c r="M846">
        <f>IF(Table3[[#This Row],[Treatment_Success]]="Yes",1,0)</f>
        <v>1</v>
      </c>
      <c r="N846">
        <v>139388</v>
      </c>
    </row>
    <row r="847" spans="1:14" x14ac:dyDescent="0.35">
      <c r="A847" t="s">
        <v>894</v>
      </c>
      <c r="B847">
        <v>58</v>
      </c>
      <c r="C847" t="str">
        <f>_xlfn.IFS(Table3[[#This Row],[Age]]&lt;=10, "Child",Table3[[#This Row],[Age]]&lt;18, "Teenger", Table3[[#This Row],[Age]]&lt;30, "Middle Age", Table3[[#This Row],[Age]]&lt; 60,"Adult",Table3[[#This Row],[Age]],"Senior Citizen")</f>
        <v>Adult</v>
      </c>
      <c r="D847" t="s">
        <v>12</v>
      </c>
      <c r="E847" t="s">
        <v>31</v>
      </c>
      <c r="F847" t="s">
        <v>32</v>
      </c>
      <c r="G847" s="1">
        <v>45394</v>
      </c>
      <c r="H847" s="1">
        <v>45402</v>
      </c>
      <c r="I847" s="2">
        <f>Table3[[#This Row],[Discharge_Date]]-Table3[[#This Row],[Admission_Date]]</f>
        <v>8</v>
      </c>
      <c r="J847">
        <v>289</v>
      </c>
      <c r="K847" t="s">
        <v>46</v>
      </c>
      <c r="L847" t="s">
        <v>16</v>
      </c>
      <c r="M847">
        <f>IF(Table3[[#This Row],[Treatment_Success]]="Yes",1,0)</f>
        <v>1</v>
      </c>
      <c r="N847">
        <v>115765</v>
      </c>
    </row>
    <row r="848" spans="1:14" x14ac:dyDescent="0.35">
      <c r="A848" t="s">
        <v>895</v>
      </c>
      <c r="B848">
        <v>24</v>
      </c>
      <c r="C848" t="str">
        <f>_xlfn.IFS(Table3[[#This Row],[Age]]&lt;=10, "Child",Table3[[#This Row],[Age]]&lt;18, "Teenger", Table3[[#This Row],[Age]]&lt;30, "Middle Age", Table3[[#This Row],[Age]]&lt; 60,"Adult",Table3[[#This Row],[Age]],"Senior Citizen")</f>
        <v>Middle Age</v>
      </c>
      <c r="D848" t="s">
        <v>12</v>
      </c>
      <c r="E848" t="s">
        <v>31</v>
      </c>
      <c r="F848" t="s">
        <v>45</v>
      </c>
      <c r="G848" s="1">
        <v>45480</v>
      </c>
      <c r="H848" s="1">
        <v>45490</v>
      </c>
      <c r="I848" s="2">
        <f>Table3[[#This Row],[Discharge_Date]]-Table3[[#This Row],[Admission_Date]]</f>
        <v>10</v>
      </c>
      <c r="J848">
        <v>21</v>
      </c>
      <c r="K848" t="s">
        <v>33</v>
      </c>
      <c r="L848" t="s">
        <v>26</v>
      </c>
      <c r="M848">
        <f>IF(Table3[[#This Row],[Treatment_Success]]="Yes",1,0)</f>
        <v>0</v>
      </c>
      <c r="N848">
        <v>182324</v>
      </c>
    </row>
    <row r="849" spans="1:14" x14ac:dyDescent="0.35">
      <c r="A849" t="s">
        <v>896</v>
      </c>
      <c r="B849">
        <v>88</v>
      </c>
      <c r="C849" t="str">
        <f>_xlfn.IFS(Table3[[#This Row],[Age]]&lt;=10, "Child",Table3[[#This Row],[Age]]&lt;18, "Teenger", Table3[[#This Row],[Age]]&lt;30, "Middle Age", Table3[[#This Row],[Age]]&lt; 60,"Adult",Table3[[#This Row],[Age]],"Senior Citizen")</f>
        <v>Senior Citizen</v>
      </c>
      <c r="D849" t="s">
        <v>18</v>
      </c>
      <c r="E849" t="s">
        <v>31</v>
      </c>
      <c r="F849" t="s">
        <v>49</v>
      </c>
      <c r="G849" s="1">
        <v>45406</v>
      </c>
      <c r="H849" s="1">
        <v>45417</v>
      </c>
      <c r="I849" s="2">
        <f>Table3[[#This Row],[Discharge_Date]]-Table3[[#This Row],[Admission_Date]]</f>
        <v>11</v>
      </c>
      <c r="J849">
        <v>269</v>
      </c>
      <c r="K849" t="s">
        <v>15</v>
      </c>
      <c r="L849" t="s">
        <v>16</v>
      </c>
      <c r="M849">
        <f>IF(Table3[[#This Row],[Treatment_Success]]="Yes",1,0)</f>
        <v>1</v>
      </c>
      <c r="N849">
        <v>127740</v>
      </c>
    </row>
    <row r="850" spans="1:14" x14ac:dyDescent="0.35">
      <c r="A850" t="s">
        <v>897</v>
      </c>
      <c r="B850">
        <v>62</v>
      </c>
      <c r="C850" t="str">
        <f>_xlfn.IFS(Table3[[#This Row],[Age]]&lt;=10, "Child",Table3[[#This Row],[Age]]&lt;18, "Teenger", Table3[[#This Row],[Age]]&lt;30, "Middle Age", Table3[[#This Row],[Age]]&lt; 60,"Adult",Table3[[#This Row],[Age]],"Senior Citizen")</f>
        <v>Senior Citizen</v>
      </c>
      <c r="D850" t="s">
        <v>12</v>
      </c>
      <c r="E850" t="s">
        <v>13</v>
      </c>
      <c r="F850" t="s">
        <v>106</v>
      </c>
      <c r="G850" s="1">
        <v>45515</v>
      </c>
      <c r="H850" s="1">
        <v>45517</v>
      </c>
      <c r="I850" s="2">
        <f>Table3[[#This Row],[Discharge_Date]]-Table3[[#This Row],[Admission_Date]]</f>
        <v>2</v>
      </c>
      <c r="J850">
        <v>154</v>
      </c>
      <c r="K850" t="s">
        <v>36</v>
      </c>
      <c r="L850" t="s">
        <v>26</v>
      </c>
      <c r="M850">
        <f>IF(Table3[[#This Row],[Treatment_Success]]="Yes",1,0)</f>
        <v>0</v>
      </c>
      <c r="N850">
        <v>82458</v>
      </c>
    </row>
    <row r="851" spans="1:14" x14ac:dyDescent="0.35">
      <c r="A851" t="s">
        <v>898</v>
      </c>
      <c r="B851">
        <v>71</v>
      </c>
      <c r="C851" t="str">
        <f>_xlfn.IFS(Table3[[#This Row],[Age]]&lt;=10, "Child",Table3[[#This Row],[Age]]&lt;18, "Teenger", Table3[[#This Row],[Age]]&lt;30, "Middle Age", Table3[[#This Row],[Age]]&lt; 60,"Adult",Table3[[#This Row],[Age]],"Senior Citizen")</f>
        <v>Senior Citizen</v>
      </c>
      <c r="D851" t="s">
        <v>18</v>
      </c>
      <c r="E851" t="s">
        <v>24</v>
      </c>
      <c r="F851" t="s">
        <v>49</v>
      </c>
      <c r="G851" s="1">
        <v>45583</v>
      </c>
      <c r="H851" s="1">
        <v>45584</v>
      </c>
      <c r="I851" s="2">
        <f>Table3[[#This Row],[Discharge_Date]]-Table3[[#This Row],[Admission_Date]]</f>
        <v>1</v>
      </c>
      <c r="J851">
        <v>56</v>
      </c>
      <c r="K851" t="s">
        <v>46</v>
      </c>
      <c r="L851" t="s">
        <v>26</v>
      </c>
      <c r="M851">
        <f>IF(Table3[[#This Row],[Treatment_Success]]="Yes",1,0)</f>
        <v>0</v>
      </c>
      <c r="N851">
        <v>29768</v>
      </c>
    </row>
    <row r="852" spans="1:14" x14ac:dyDescent="0.35">
      <c r="A852" t="s">
        <v>899</v>
      </c>
      <c r="B852">
        <v>73</v>
      </c>
      <c r="C852" t="str">
        <f>_xlfn.IFS(Table3[[#This Row],[Age]]&lt;=10, "Child",Table3[[#This Row],[Age]]&lt;18, "Teenger", Table3[[#This Row],[Age]]&lt;30, "Middle Age", Table3[[#This Row],[Age]]&lt; 60,"Adult",Table3[[#This Row],[Age]],"Senior Citizen")</f>
        <v>Senior Citizen</v>
      </c>
      <c r="D852" t="s">
        <v>12</v>
      </c>
      <c r="E852" t="s">
        <v>38</v>
      </c>
      <c r="F852" t="s">
        <v>32</v>
      </c>
      <c r="G852" s="1">
        <v>45529</v>
      </c>
      <c r="H852" s="1">
        <v>45540</v>
      </c>
      <c r="I852" s="2">
        <f>Table3[[#This Row],[Discharge_Date]]-Table3[[#This Row],[Admission_Date]]</f>
        <v>11</v>
      </c>
      <c r="J852">
        <v>300</v>
      </c>
      <c r="K852" t="s">
        <v>15</v>
      </c>
      <c r="L852" t="s">
        <v>16</v>
      </c>
      <c r="M852">
        <f>IF(Table3[[#This Row],[Treatment_Success]]="Yes",1,0)</f>
        <v>1</v>
      </c>
      <c r="N852">
        <v>34867</v>
      </c>
    </row>
    <row r="853" spans="1:14" x14ac:dyDescent="0.35">
      <c r="A853" t="s">
        <v>900</v>
      </c>
      <c r="B853">
        <v>23</v>
      </c>
      <c r="C853" t="str">
        <f>_xlfn.IFS(Table3[[#This Row],[Age]]&lt;=10, "Child",Table3[[#This Row],[Age]]&lt;18, "Teenger", Table3[[#This Row],[Age]]&lt;30, "Middle Age", Table3[[#This Row],[Age]]&lt; 60,"Adult",Table3[[#This Row],[Age]],"Senior Citizen")</f>
        <v>Middle Age</v>
      </c>
      <c r="D853" t="s">
        <v>18</v>
      </c>
      <c r="E853" t="s">
        <v>31</v>
      </c>
      <c r="F853" t="s">
        <v>52</v>
      </c>
      <c r="G853" s="1">
        <v>45630</v>
      </c>
      <c r="H853" s="1">
        <v>45638</v>
      </c>
      <c r="I853" s="2">
        <f>Table3[[#This Row],[Discharge_Date]]-Table3[[#This Row],[Admission_Date]]</f>
        <v>8</v>
      </c>
      <c r="J853">
        <v>43</v>
      </c>
      <c r="K853" t="s">
        <v>46</v>
      </c>
      <c r="L853" t="s">
        <v>16</v>
      </c>
      <c r="M853">
        <f>IF(Table3[[#This Row],[Treatment_Success]]="Yes",1,0)</f>
        <v>1</v>
      </c>
      <c r="N853">
        <v>87299</v>
      </c>
    </row>
    <row r="854" spans="1:14" x14ac:dyDescent="0.35">
      <c r="A854" t="s">
        <v>901</v>
      </c>
      <c r="B854">
        <v>59</v>
      </c>
      <c r="C854" t="str">
        <f>_xlfn.IFS(Table3[[#This Row],[Age]]&lt;=10, "Child",Table3[[#This Row],[Age]]&lt;18, "Teenger", Table3[[#This Row],[Age]]&lt;30, "Middle Age", Table3[[#This Row],[Age]]&lt; 60,"Adult",Table3[[#This Row],[Age]],"Senior Citizen")</f>
        <v>Adult</v>
      </c>
      <c r="D854" t="s">
        <v>12</v>
      </c>
      <c r="E854" t="s">
        <v>28</v>
      </c>
      <c r="F854" t="s">
        <v>32</v>
      </c>
      <c r="G854" s="1">
        <v>45592</v>
      </c>
      <c r="H854" s="1">
        <v>45604</v>
      </c>
      <c r="I854" s="2">
        <f>Table3[[#This Row],[Discharge_Date]]-Table3[[#This Row],[Admission_Date]]</f>
        <v>12</v>
      </c>
      <c r="J854">
        <v>175</v>
      </c>
      <c r="K854" t="s">
        <v>36</v>
      </c>
      <c r="L854" t="s">
        <v>16</v>
      </c>
      <c r="M854">
        <f>IF(Table3[[#This Row],[Treatment_Success]]="Yes",1,0)</f>
        <v>1</v>
      </c>
      <c r="N854">
        <v>53519</v>
      </c>
    </row>
    <row r="855" spans="1:14" x14ac:dyDescent="0.35">
      <c r="A855" t="s">
        <v>902</v>
      </c>
      <c r="B855">
        <v>78</v>
      </c>
      <c r="C855" t="str">
        <f>_xlfn.IFS(Table3[[#This Row],[Age]]&lt;=10, "Child",Table3[[#This Row],[Age]]&lt;18, "Teenger", Table3[[#This Row],[Age]]&lt;30, "Middle Age", Table3[[#This Row],[Age]]&lt; 60,"Adult",Table3[[#This Row],[Age]],"Senior Citizen")</f>
        <v>Senior Citizen</v>
      </c>
      <c r="D855" t="s">
        <v>12</v>
      </c>
      <c r="E855" t="s">
        <v>24</v>
      </c>
      <c r="F855" t="s">
        <v>93</v>
      </c>
      <c r="G855" s="1">
        <v>45332</v>
      </c>
      <c r="H855" s="1">
        <v>45344</v>
      </c>
      <c r="I855" s="2">
        <f>Table3[[#This Row],[Discharge_Date]]-Table3[[#This Row],[Admission_Date]]</f>
        <v>12</v>
      </c>
      <c r="J855">
        <v>274</v>
      </c>
      <c r="K855" t="s">
        <v>15</v>
      </c>
      <c r="L855" t="s">
        <v>16</v>
      </c>
      <c r="M855">
        <f>IF(Table3[[#This Row],[Treatment_Success]]="Yes",1,0)</f>
        <v>1</v>
      </c>
      <c r="N855">
        <v>108529</v>
      </c>
    </row>
    <row r="856" spans="1:14" x14ac:dyDescent="0.35">
      <c r="A856" t="s">
        <v>903</v>
      </c>
      <c r="B856">
        <v>22</v>
      </c>
      <c r="C856" t="str">
        <f>_xlfn.IFS(Table3[[#This Row],[Age]]&lt;=10, "Child",Table3[[#This Row],[Age]]&lt;18, "Teenger", Table3[[#This Row],[Age]]&lt;30, "Middle Age", Table3[[#This Row],[Age]]&lt; 60,"Adult",Table3[[#This Row],[Age]],"Senior Citizen")</f>
        <v>Middle Age</v>
      </c>
      <c r="D856" t="s">
        <v>12</v>
      </c>
      <c r="E856" t="s">
        <v>31</v>
      </c>
      <c r="F856" t="s">
        <v>40</v>
      </c>
      <c r="G856" s="1">
        <v>45351</v>
      </c>
      <c r="H856" s="1">
        <v>45352</v>
      </c>
      <c r="I856" s="2">
        <f>Table3[[#This Row],[Discharge_Date]]-Table3[[#This Row],[Admission_Date]]</f>
        <v>1</v>
      </c>
      <c r="J856">
        <v>208</v>
      </c>
      <c r="K856" t="s">
        <v>46</v>
      </c>
      <c r="L856" t="s">
        <v>16</v>
      </c>
      <c r="M856">
        <f>IF(Table3[[#This Row],[Treatment_Success]]="Yes",1,0)</f>
        <v>1</v>
      </c>
      <c r="N856">
        <v>167135</v>
      </c>
    </row>
    <row r="857" spans="1:14" x14ac:dyDescent="0.35">
      <c r="A857" t="s">
        <v>904</v>
      </c>
      <c r="B857">
        <v>89</v>
      </c>
      <c r="C857" t="str">
        <f>_xlfn.IFS(Table3[[#This Row],[Age]]&lt;=10, "Child",Table3[[#This Row],[Age]]&lt;18, "Teenger", Table3[[#This Row],[Age]]&lt;30, "Middle Age", Table3[[#This Row],[Age]]&lt; 60,"Adult",Table3[[#This Row],[Age]],"Senior Citizen")</f>
        <v>Senior Citizen</v>
      </c>
      <c r="D857" t="s">
        <v>12</v>
      </c>
      <c r="E857" t="s">
        <v>38</v>
      </c>
      <c r="F857" t="s">
        <v>45</v>
      </c>
      <c r="G857" s="1">
        <v>45607</v>
      </c>
      <c r="H857" s="1">
        <v>45613</v>
      </c>
      <c r="I857" s="2">
        <f>Table3[[#This Row],[Discharge_Date]]-Table3[[#This Row],[Admission_Date]]</f>
        <v>6</v>
      </c>
      <c r="J857">
        <v>65</v>
      </c>
      <c r="K857" t="s">
        <v>36</v>
      </c>
      <c r="L857" t="s">
        <v>16</v>
      </c>
      <c r="M857">
        <f>IF(Table3[[#This Row],[Treatment_Success]]="Yes",1,0)</f>
        <v>1</v>
      </c>
      <c r="N857">
        <v>55017</v>
      </c>
    </row>
    <row r="858" spans="1:14" x14ac:dyDescent="0.35">
      <c r="A858" t="s">
        <v>905</v>
      </c>
      <c r="B858">
        <v>3</v>
      </c>
      <c r="C858" t="str">
        <f>_xlfn.IFS(Table3[[#This Row],[Age]]&lt;=10, "Child",Table3[[#This Row],[Age]]&lt;18, "Teenger", Table3[[#This Row],[Age]]&lt;30, "Middle Age", Table3[[#This Row],[Age]]&lt; 60,"Adult",Table3[[#This Row],[Age]],"Senior Citizen")</f>
        <v>Child</v>
      </c>
      <c r="D858" t="s">
        <v>18</v>
      </c>
      <c r="E858" t="s">
        <v>24</v>
      </c>
      <c r="F858" t="s">
        <v>29</v>
      </c>
      <c r="G858" s="1">
        <v>45349</v>
      </c>
      <c r="H858" s="1">
        <v>45363</v>
      </c>
      <c r="I858" s="2">
        <f>Table3[[#This Row],[Discharge_Date]]-Table3[[#This Row],[Admission_Date]]</f>
        <v>14</v>
      </c>
      <c r="J858">
        <v>247</v>
      </c>
      <c r="K858" t="s">
        <v>36</v>
      </c>
      <c r="L858" t="s">
        <v>16</v>
      </c>
      <c r="M858">
        <f>IF(Table3[[#This Row],[Treatment_Success]]="Yes",1,0)</f>
        <v>1</v>
      </c>
      <c r="N858">
        <v>119239</v>
      </c>
    </row>
    <row r="859" spans="1:14" x14ac:dyDescent="0.35">
      <c r="A859" t="s">
        <v>906</v>
      </c>
      <c r="B859">
        <v>69</v>
      </c>
      <c r="C859" t="str">
        <f>_xlfn.IFS(Table3[[#This Row],[Age]]&lt;=10, "Child",Table3[[#This Row],[Age]]&lt;18, "Teenger", Table3[[#This Row],[Age]]&lt;30, "Middle Age", Table3[[#This Row],[Age]]&lt; 60,"Adult",Table3[[#This Row],[Age]],"Senior Citizen")</f>
        <v>Senior Citizen</v>
      </c>
      <c r="D859" t="s">
        <v>18</v>
      </c>
      <c r="E859" t="s">
        <v>24</v>
      </c>
      <c r="F859" t="s">
        <v>83</v>
      </c>
      <c r="G859" s="1">
        <v>45612</v>
      </c>
      <c r="H859" s="1">
        <v>45626</v>
      </c>
      <c r="I859" s="2">
        <f>Table3[[#This Row],[Discharge_Date]]-Table3[[#This Row],[Admission_Date]]</f>
        <v>14</v>
      </c>
      <c r="J859">
        <v>238</v>
      </c>
      <c r="K859" t="s">
        <v>36</v>
      </c>
      <c r="L859" t="s">
        <v>26</v>
      </c>
      <c r="M859">
        <f>IF(Table3[[#This Row],[Treatment_Success]]="Yes",1,0)</f>
        <v>0</v>
      </c>
      <c r="N859">
        <v>115593</v>
      </c>
    </row>
    <row r="860" spans="1:14" x14ac:dyDescent="0.35">
      <c r="A860" t="s">
        <v>907</v>
      </c>
      <c r="B860">
        <v>22</v>
      </c>
      <c r="C860" t="str">
        <f>_xlfn.IFS(Table3[[#This Row],[Age]]&lt;=10, "Child",Table3[[#This Row],[Age]]&lt;18, "Teenger", Table3[[#This Row],[Age]]&lt;30, "Middle Age", Table3[[#This Row],[Age]]&lt; 60,"Adult",Table3[[#This Row],[Age]],"Senior Citizen")</f>
        <v>Middle Age</v>
      </c>
      <c r="D860" t="s">
        <v>18</v>
      </c>
      <c r="E860" t="s">
        <v>31</v>
      </c>
      <c r="F860" t="s">
        <v>43</v>
      </c>
      <c r="G860" s="1">
        <v>45303</v>
      </c>
      <c r="H860" s="1">
        <v>45305</v>
      </c>
      <c r="I860" s="2">
        <f>Table3[[#This Row],[Discharge_Date]]-Table3[[#This Row],[Admission_Date]]</f>
        <v>2</v>
      </c>
      <c r="J860">
        <v>242</v>
      </c>
      <c r="K860" t="s">
        <v>15</v>
      </c>
      <c r="L860" t="s">
        <v>26</v>
      </c>
      <c r="M860">
        <f>IF(Table3[[#This Row],[Treatment_Success]]="Yes",1,0)</f>
        <v>0</v>
      </c>
      <c r="N860">
        <v>158413</v>
      </c>
    </row>
    <row r="861" spans="1:14" x14ac:dyDescent="0.35">
      <c r="A861" t="s">
        <v>908</v>
      </c>
      <c r="B861">
        <v>38</v>
      </c>
      <c r="C861" t="str">
        <f>_xlfn.IFS(Table3[[#This Row],[Age]]&lt;=10, "Child",Table3[[#This Row],[Age]]&lt;18, "Teenger", Table3[[#This Row],[Age]]&lt;30, "Middle Age", Table3[[#This Row],[Age]]&lt; 60,"Adult",Table3[[#This Row],[Age]],"Senior Citizen")</f>
        <v>Adult</v>
      </c>
      <c r="D861" t="s">
        <v>12</v>
      </c>
      <c r="E861" t="s">
        <v>24</v>
      </c>
      <c r="F861" t="s">
        <v>95</v>
      </c>
      <c r="G861" s="1">
        <v>45416</v>
      </c>
      <c r="H861" s="1">
        <v>45420</v>
      </c>
      <c r="I861" s="2">
        <f>Table3[[#This Row],[Discharge_Date]]-Table3[[#This Row],[Admission_Date]]</f>
        <v>4</v>
      </c>
      <c r="J861">
        <v>5</v>
      </c>
      <c r="K861" t="s">
        <v>15</v>
      </c>
      <c r="L861" t="s">
        <v>26</v>
      </c>
      <c r="M861">
        <f>IF(Table3[[#This Row],[Treatment_Success]]="Yes",1,0)</f>
        <v>0</v>
      </c>
      <c r="N861">
        <v>113969</v>
      </c>
    </row>
    <row r="862" spans="1:14" x14ac:dyDescent="0.35">
      <c r="A862" t="s">
        <v>909</v>
      </c>
      <c r="B862">
        <v>75</v>
      </c>
      <c r="C862" t="str">
        <f>_xlfn.IFS(Table3[[#This Row],[Age]]&lt;=10, "Child",Table3[[#This Row],[Age]]&lt;18, "Teenger", Table3[[#This Row],[Age]]&lt;30, "Middle Age", Table3[[#This Row],[Age]]&lt; 60,"Adult",Table3[[#This Row],[Age]],"Senior Citizen")</f>
        <v>Senior Citizen</v>
      </c>
      <c r="D862" t="s">
        <v>12</v>
      </c>
      <c r="E862" t="s">
        <v>24</v>
      </c>
      <c r="F862" t="s">
        <v>43</v>
      </c>
      <c r="G862" s="1">
        <v>45545</v>
      </c>
      <c r="H862" s="1">
        <v>45557</v>
      </c>
      <c r="I862" s="2">
        <f>Table3[[#This Row],[Discharge_Date]]-Table3[[#This Row],[Admission_Date]]</f>
        <v>12</v>
      </c>
      <c r="J862">
        <v>205</v>
      </c>
      <c r="K862" t="s">
        <v>46</v>
      </c>
      <c r="L862" t="s">
        <v>26</v>
      </c>
      <c r="M862">
        <f>IF(Table3[[#This Row],[Treatment_Success]]="Yes",1,0)</f>
        <v>0</v>
      </c>
      <c r="N862">
        <v>65792</v>
      </c>
    </row>
    <row r="863" spans="1:14" x14ac:dyDescent="0.35">
      <c r="A863" t="s">
        <v>910</v>
      </c>
      <c r="B863">
        <v>3</v>
      </c>
      <c r="C863" t="str">
        <f>_xlfn.IFS(Table3[[#This Row],[Age]]&lt;=10, "Child",Table3[[#This Row],[Age]]&lt;18, "Teenger", Table3[[#This Row],[Age]]&lt;30, "Middle Age", Table3[[#This Row],[Age]]&lt; 60,"Adult",Table3[[#This Row],[Age]],"Senior Citizen")</f>
        <v>Child</v>
      </c>
      <c r="D863" t="s">
        <v>12</v>
      </c>
      <c r="E863" t="s">
        <v>28</v>
      </c>
      <c r="F863" t="s">
        <v>95</v>
      </c>
      <c r="G863" s="1">
        <v>45323</v>
      </c>
      <c r="H863" s="1">
        <v>45332</v>
      </c>
      <c r="I863" s="2">
        <f>Table3[[#This Row],[Discharge_Date]]-Table3[[#This Row],[Admission_Date]]</f>
        <v>9</v>
      </c>
      <c r="J863">
        <v>284</v>
      </c>
      <c r="K863" t="s">
        <v>15</v>
      </c>
      <c r="L863" t="s">
        <v>16</v>
      </c>
      <c r="M863">
        <f>IF(Table3[[#This Row],[Treatment_Success]]="Yes",1,0)</f>
        <v>1</v>
      </c>
      <c r="N863">
        <v>174948</v>
      </c>
    </row>
    <row r="864" spans="1:14" x14ac:dyDescent="0.35">
      <c r="A864" t="s">
        <v>911</v>
      </c>
      <c r="B864">
        <v>61</v>
      </c>
      <c r="C864" t="str">
        <f>_xlfn.IFS(Table3[[#This Row],[Age]]&lt;=10, "Child",Table3[[#This Row],[Age]]&lt;18, "Teenger", Table3[[#This Row],[Age]]&lt;30, "Middle Age", Table3[[#This Row],[Age]]&lt; 60,"Adult",Table3[[#This Row],[Age]],"Senior Citizen")</f>
        <v>Senior Citizen</v>
      </c>
      <c r="D864" t="s">
        <v>18</v>
      </c>
      <c r="E864" t="s">
        <v>31</v>
      </c>
      <c r="F864" t="s">
        <v>35</v>
      </c>
      <c r="G864" s="1">
        <v>45505</v>
      </c>
      <c r="H864" s="1">
        <v>45520</v>
      </c>
      <c r="I864" s="2">
        <f>Table3[[#This Row],[Discharge_Date]]-Table3[[#This Row],[Admission_Date]]</f>
        <v>15</v>
      </c>
      <c r="J864">
        <v>178</v>
      </c>
      <c r="K864" t="s">
        <v>46</v>
      </c>
      <c r="L864" t="s">
        <v>26</v>
      </c>
      <c r="M864">
        <f>IF(Table3[[#This Row],[Treatment_Success]]="Yes",1,0)</f>
        <v>0</v>
      </c>
      <c r="N864">
        <v>10454</v>
      </c>
    </row>
    <row r="865" spans="1:14" x14ac:dyDescent="0.35">
      <c r="A865" t="s">
        <v>912</v>
      </c>
      <c r="B865">
        <v>25</v>
      </c>
      <c r="C865" t="str">
        <f>_xlfn.IFS(Table3[[#This Row],[Age]]&lt;=10, "Child",Table3[[#This Row],[Age]]&lt;18, "Teenger", Table3[[#This Row],[Age]]&lt;30, "Middle Age", Table3[[#This Row],[Age]]&lt; 60,"Adult",Table3[[#This Row],[Age]],"Senior Citizen")</f>
        <v>Middle Age</v>
      </c>
      <c r="D865" t="s">
        <v>12</v>
      </c>
      <c r="E865" t="s">
        <v>38</v>
      </c>
      <c r="F865" t="s">
        <v>20</v>
      </c>
      <c r="G865" s="1">
        <v>45374</v>
      </c>
      <c r="H865" s="1">
        <v>45379</v>
      </c>
      <c r="I865" s="2">
        <f>Table3[[#This Row],[Discharge_Date]]-Table3[[#This Row],[Admission_Date]]</f>
        <v>5</v>
      </c>
      <c r="J865">
        <v>119</v>
      </c>
      <c r="K865" t="s">
        <v>36</v>
      </c>
      <c r="L865" t="s">
        <v>16</v>
      </c>
      <c r="M865">
        <f>IF(Table3[[#This Row],[Treatment_Success]]="Yes",1,0)</f>
        <v>1</v>
      </c>
      <c r="N865">
        <v>162836</v>
      </c>
    </row>
    <row r="866" spans="1:14" x14ac:dyDescent="0.35">
      <c r="A866" t="s">
        <v>913</v>
      </c>
      <c r="B866">
        <v>17</v>
      </c>
      <c r="C866" t="str">
        <f>_xlfn.IFS(Table3[[#This Row],[Age]]&lt;=10, "Child",Table3[[#This Row],[Age]]&lt;18, "Teenger", Table3[[#This Row],[Age]]&lt;30, "Middle Age", Table3[[#This Row],[Age]]&lt; 60,"Adult",Table3[[#This Row],[Age]],"Senior Citizen")</f>
        <v>Teenger</v>
      </c>
      <c r="D866" t="s">
        <v>12</v>
      </c>
      <c r="E866" t="s">
        <v>31</v>
      </c>
      <c r="F866" t="s">
        <v>93</v>
      </c>
      <c r="G866" s="1">
        <v>45628</v>
      </c>
      <c r="H866" s="1">
        <v>45636</v>
      </c>
      <c r="I866" s="2">
        <f>Table3[[#This Row],[Discharge_Date]]-Table3[[#This Row],[Admission_Date]]</f>
        <v>8</v>
      </c>
      <c r="J866">
        <v>185</v>
      </c>
      <c r="K866" t="s">
        <v>46</v>
      </c>
      <c r="L866" t="s">
        <v>16</v>
      </c>
      <c r="M866">
        <f>IF(Table3[[#This Row],[Treatment_Success]]="Yes",1,0)</f>
        <v>1</v>
      </c>
      <c r="N866">
        <v>168012</v>
      </c>
    </row>
    <row r="867" spans="1:14" x14ac:dyDescent="0.35">
      <c r="A867" t="s">
        <v>914</v>
      </c>
      <c r="B867">
        <v>89</v>
      </c>
      <c r="C867" t="str">
        <f>_xlfn.IFS(Table3[[#This Row],[Age]]&lt;=10, "Child",Table3[[#This Row],[Age]]&lt;18, "Teenger", Table3[[#This Row],[Age]]&lt;30, "Middle Age", Table3[[#This Row],[Age]]&lt; 60,"Adult",Table3[[#This Row],[Age]],"Senior Citizen")</f>
        <v>Senior Citizen</v>
      </c>
      <c r="D867" t="s">
        <v>18</v>
      </c>
      <c r="E867" t="s">
        <v>31</v>
      </c>
      <c r="F867" t="s">
        <v>106</v>
      </c>
      <c r="G867" s="1">
        <v>45398</v>
      </c>
      <c r="H867" s="1">
        <v>45403</v>
      </c>
      <c r="I867" s="2">
        <f>Table3[[#This Row],[Discharge_Date]]-Table3[[#This Row],[Admission_Date]]</f>
        <v>5</v>
      </c>
      <c r="J867">
        <v>89</v>
      </c>
      <c r="K867" t="s">
        <v>36</v>
      </c>
      <c r="L867" t="s">
        <v>16</v>
      </c>
      <c r="M867">
        <f>IF(Table3[[#This Row],[Treatment_Success]]="Yes",1,0)</f>
        <v>1</v>
      </c>
      <c r="N867">
        <v>163793</v>
      </c>
    </row>
    <row r="868" spans="1:14" x14ac:dyDescent="0.35">
      <c r="A868" t="s">
        <v>915</v>
      </c>
      <c r="B868">
        <v>54</v>
      </c>
      <c r="C868" t="str">
        <f>_xlfn.IFS(Table3[[#This Row],[Age]]&lt;=10, "Child",Table3[[#This Row],[Age]]&lt;18, "Teenger", Table3[[#This Row],[Age]]&lt;30, "Middle Age", Table3[[#This Row],[Age]]&lt; 60,"Adult",Table3[[#This Row],[Age]],"Senior Citizen")</f>
        <v>Adult</v>
      </c>
      <c r="D868" t="s">
        <v>12</v>
      </c>
      <c r="E868" t="s">
        <v>38</v>
      </c>
      <c r="F868" t="s">
        <v>14</v>
      </c>
      <c r="G868" s="1">
        <v>45543</v>
      </c>
      <c r="H868" s="1">
        <v>45545</v>
      </c>
      <c r="I868" s="2">
        <f>Table3[[#This Row],[Discharge_Date]]-Table3[[#This Row],[Admission_Date]]</f>
        <v>2</v>
      </c>
      <c r="J868">
        <v>108</v>
      </c>
      <c r="K868" t="s">
        <v>15</v>
      </c>
      <c r="L868" t="s">
        <v>16</v>
      </c>
      <c r="M868">
        <f>IF(Table3[[#This Row],[Treatment_Success]]="Yes",1,0)</f>
        <v>1</v>
      </c>
      <c r="N868">
        <v>99053</v>
      </c>
    </row>
    <row r="869" spans="1:14" x14ac:dyDescent="0.35">
      <c r="A869" t="s">
        <v>916</v>
      </c>
      <c r="B869">
        <v>87</v>
      </c>
      <c r="C869" t="str">
        <f>_xlfn.IFS(Table3[[#This Row],[Age]]&lt;=10, "Child",Table3[[#This Row],[Age]]&lt;18, "Teenger", Table3[[#This Row],[Age]]&lt;30, "Middle Age", Table3[[#This Row],[Age]]&lt; 60,"Adult",Table3[[#This Row],[Age]],"Senior Citizen")</f>
        <v>Senior Citizen</v>
      </c>
      <c r="D869" t="s">
        <v>18</v>
      </c>
      <c r="E869" t="s">
        <v>13</v>
      </c>
      <c r="F869" t="s">
        <v>49</v>
      </c>
      <c r="G869" s="1">
        <v>45425</v>
      </c>
      <c r="H869" s="1">
        <v>45431</v>
      </c>
      <c r="I869" s="2">
        <f>Table3[[#This Row],[Discharge_Date]]-Table3[[#This Row],[Admission_Date]]</f>
        <v>6</v>
      </c>
      <c r="J869">
        <v>17</v>
      </c>
      <c r="K869" t="s">
        <v>15</v>
      </c>
      <c r="L869" t="s">
        <v>16</v>
      </c>
      <c r="M869">
        <f>IF(Table3[[#This Row],[Treatment_Success]]="Yes",1,0)</f>
        <v>1</v>
      </c>
      <c r="N869">
        <v>117884</v>
      </c>
    </row>
    <row r="870" spans="1:14" x14ac:dyDescent="0.35">
      <c r="A870" t="s">
        <v>917</v>
      </c>
      <c r="B870">
        <v>30</v>
      </c>
      <c r="C870" t="str">
        <f>_xlfn.IFS(Table3[[#This Row],[Age]]&lt;=10, "Child",Table3[[#This Row],[Age]]&lt;18, "Teenger", Table3[[#This Row],[Age]]&lt;30, "Middle Age", Table3[[#This Row],[Age]]&lt; 60,"Adult",Table3[[#This Row],[Age]],"Senior Citizen")</f>
        <v>Adult</v>
      </c>
      <c r="D870" t="s">
        <v>18</v>
      </c>
      <c r="E870" t="s">
        <v>28</v>
      </c>
      <c r="F870" t="s">
        <v>14</v>
      </c>
      <c r="G870" s="1">
        <v>45350</v>
      </c>
      <c r="H870" s="1">
        <v>45360</v>
      </c>
      <c r="I870" s="2">
        <f>Table3[[#This Row],[Discharge_Date]]-Table3[[#This Row],[Admission_Date]]</f>
        <v>10</v>
      </c>
      <c r="J870">
        <v>250</v>
      </c>
      <c r="K870" t="s">
        <v>33</v>
      </c>
      <c r="L870" t="s">
        <v>16</v>
      </c>
      <c r="M870">
        <f>IF(Table3[[#This Row],[Treatment_Success]]="Yes",1,0)</f>
        <v>1</v>
      </c>
      <c r="N870">
        <v>98124</v>
      </c>
    </row>
    <row r="871" spans="1:14" x14ac:dyDescent="0.35">
      <c r="A871" t="s">
        <v>918</v>
      </c>
      <c r="B871">
        <v>72</v>
      </c>
      <c r="C871" t="str">
        <f>_xlfn.IFS(Table3[[#This Row],[Age]]&lt;=10, "Child",Table3[[#This Row],[Age]]&lt;18, "Teenger", Table3[[#This Row],[Age]]&lt;30, "Middle Age", Table3[[#This Row],[Age]]&lt; 60,"Adult",Table3[[#This Row],[Age]],"Senior Citizen")</f>
        <v>Senior Citizen</v>
      </c>
      <c r="D871" t="s">
        <v>12</v>
      </c>
      <c r="E871" t="s">
        <v>13</v>
      </c>
      <c r="F871" t="s">
        <v>40</v>
      </c>
      <c r="G871" s="1">
        <v>45315</v>
      </c>
      <c r="H871" s="1">
        <v>45328</v>
      </c>
      <c r="I871" s="2">
        <f>Table3[[#This Row],[Discharge_Date]]-Table3[[#This Row],[Admission_Date]]</f>
        <v>13</v>
      </c>
      <c r="J871">
        <v>264</v>
      </c>
      <c r="K871" t="s">
        <v>15</v>
      </c>
      <c r="L871" t="s">
        <v>16</v>
      </c>
      <c r="M871">
        <f>IF(Table3[[#This Row],[Treatment_Success]]="Yes",1,0)</f>
        <v>1</v>
      </c>
      <c r="N871">
        <v>119773</v>
      </c>
    </row>
    <row r="872" spans="1:14" x14ac:dyDescent="0.35">
      <c r="A872" t="s">
        <v>919</v>
      </c>
      <c r="B872">
        <v>15</v>
      </c>
      <c r="C872" t="str">
        <f>_xlfn.IFS(Table3[[#This Row],[Age]]&lt;=10, "Child",Table3[[#This Row],[Age]]&lt;18, "Teenger", Table3[[#This Row],[Age]]&lt;30, "Middle Age", Table3[[#This Row],[Age]]&lt; 60,"Adult",Table3[[#This Row],[Age]],"Senior Citizen")</f>
        <v>Teenger</v>
      </c>
      <c r="D872" t="s">
        <v>18</v>
      </c>
      <c r="E872" t="s">
        <v>28</v>
      </c>
      <c r="F872" t="s">
        <v>35</v>
      </c>
      <c r="G872" s="1">
        <v>45526</v>
      </c>
      <c r="H872" s="1">
        <v>45540</v>
      </c>
      <c r="I872" s="2">
        <f>Table3[[#This Row],[Discharge_Date]]-Table3[[#This Row],[Admission_Date]]</f>
        <v>14</v>
      </c>
      <c r="J872">
        <v>53</v>
      </c>
      <c r="K872" t="s">
        <v>15</v>
      </c>
      <c r="L872" t="s">
        <v>16</v>
      </c>
      <c r="M872">
        <f>IF(Table3[[#This Row],[Treatment_Success]]="Yes",1,0)</f>
        <v>1</v>
      </c>
      <c r="N872">
        <v>48790</v>
      </c>
    </row>
    <row r="873" spans="1:14" x14ac:dyDescent="0.35">
      <c r="A873" t="s">
        <v>920</v>
      </c>
      <c r="B873">
        <v>27</v>
      </c>
      <c r="C873" t="str">
        <f>_xlfn.IFS(Table3[[#This Row],[Age]]&lt;=10, "Child",Table3[[#This Row],[Age]]&lt;18, "Teenger", Table3[[#This Row],[Age]]&lt;30, "Middle Age", Table3[[#This Row],[Age]]&lt; 60,"Adult",Table3[[#This Row],[Age]],"Senior Citizen")</f>
        <v>Middle Age</v>
      </c>
      <c r="D873" t="s">
        <v>12</v>
      </c>
      <c r="E873" t="s">
        <v>13</v>
      </c>
      <c r="F873" t="s">
        <v>25</v>
      </c>
      <c r="G873" s="1">
        <v>45614</v>
      </c>
      <c r="H873" s="1">
        <v>45616</v>
      </c>
      <c r="I873" s="2">
        <f>Table3[[#This Row],[Discharge_Date]]-Table3[[#This Row],[Admission_Date]]</f>
        <v>2</v>
      </c>
      <c r="J873">
        <v>150</v>
      </c>
      <c r="K873" t="s">
        <v>46</v>
      </c>
      <c r="L873" t="s">
        <v>26</v>
      </c>
      <c r="M873">
        <f>IF(Table3[[#This Row],[Treatment_Success]]="Yes",1,0)</f>
        <v>0</v>
      </c>
      <c r="N873">
        <v>197034</v>
      </c>
    </row>
    <row r="874" spans="1:14" x14ac:dyDescent="0.35">
      <c r="A874" t="s">
        <v>921</v>
      </c>
      <c r="B874">
        <v>83</v>
      </c>
      <c r="C874" t="str">
        <f>_xlfn.IFS(Table3[[#This Row],[Age]]&lt;=10, "Child",Table3[[#This Row],[Age]]&lt;18, "Teenger", Table3[[#This Row],[Age]]&lt;30, "Middle Age", Table3[[#This Row],[Age]]&lt; 60,"Adult",Table3[[#This Row],[Age]],"Senior Citizen")</f>
        <v>Senior Citizen</v>
      </c>
      <c r="D874" t="s">
        <v>12</v>
      </c>
      <c r="E874" t="s">
        <v>38</v>
      </c>
      <c r="F874" t="s">
        <v>106</v>
      </c>
      <c r="G874" s="1">
        <v>45342</v>
      </c>
      <c r="H874" s="1">
        <v>45345</v>
      </c>
      <c r="I874" s="2">
        <f>Table3[[#This Row],[Discharge_Date]]-Table3[[#This Row],[Admission_Date]]</f>
        <v>3</v>
      </c>
      <c r="J874">
        <v>63</v>
      </c>
      <c r="K874" t="s">
        <v>36</v>
      </c>
      <c r="L874" t="s">
        <v>26</v>
      </c>
      <c r="M874">
        <f>IF(Table3[[#This Row],[Treatment_Success]]="Yes",1,0)</f>
        <v>0</v>
      </c>
      <c r="N874">
        <v>113986</v>
      </c>
    </row>
    <row r="875" spans="1:14" x14ac:dyDescent="0.35">
      <c r="A875" t="s">
        <v>922</v>
      </c>
      <c r="B875">
        <v>61</v>
      </c>
      <c r="C875" t="str">
        <f>_xlfn.IFS(Table3[[#This Row],[Age]]&lt;=10, "Child",Table3[[#This Row],[Age]]&lt;18, "Teenger", Table3[[#This Row],[Age]]&lt;30, "Middle Age", Table3[[#This Row],[Age]]&lt; 60,"Adult",Table3[[#This Row],[Age]],"Senior Citizen")</f>
        <v>Senior Citizen</v>
      </c>
      <c r="D875" t="s">
        <v>12</v>
      </c>
      <c r="E875" t="s">
        <v>38</v>
      </c>
      <c r="F875" t="s">
        <v>49</v>
      </c>
      <c r="G875" s="1">
        <v>45295</v>
      </c>
      <c r="H875" s="1">
        <v>45299</v>
      </c>
      <c r="I875" s="2">
        <f>Table3[[#This Row],[Discharge_Date]]-Table3[[#This Row],[Admission_Date]]</f>
        <v>4</v>
      </c>
      <c r="J875">
        <v>88</v>
      </c>
      <c r="K875" t="s">
        <v>15</v>
      </c>
      <c r="L875" t="s">
        <v>16</v>
      </c>
      <c r="M875">
        <f>IF(Table3[[#This Row],[Treatment_Success]]="Yes",1,0)</f>
        <v>1</v>
      </c>
      <c r="N875">
        <v>102631</v>
      </c>
    </row>
    <row r="876" spans="1:14" x14ac:dyDescent="0.35">
      <c r="A876" t="s">
        <v>923</v>
      </c>
      <c r="B876">
        <v>81</v>
      </c>
      <c r="C876" t="str">
        <f>_xlfn.IFS(Table3[[#This Row],[Age]]&lt;=10, "Child",Table3[[#This Row],[Age]]&lt;18, "Teenger", Table3[[#This Row],[Age]]&lt;30, "Middle Age", Table3[[#This Row],[Age]]&lt; 60,"Adult",Table3[[#This Row],[Age]],"Senior Citizen")</f>
        <v>Senior Citizen</v>
      </c>
      <c r="D876" t="s">
        <v>18</v>
      </c>
      <c r="E876" t="s">
        <v>13</v>
      </c>
      <c r="F876" t="s">
        <v>22</v>
      </c>
      <c r="G876" s="1">
        <v>45504</v>
      </c>
      <c r="H876" s="1">
        <v>45510</v>
      </c>
      <c r="I876" s="2">
        <f>Table3[[#This Row],[Discharge_Date]]-Table3[[#This Row],[Admission_Date]]</f>
        <v>6</v>
      </c>
      <c r="J876">
        <v>272</v>
      </c>
      <c r="K876" t="s">
        <v>46</v>
      </c>
      <c r="L876" t="s">
        <v>16</v>
      </c>
      <c r="M876">
        <f>IF(Table3[[#This Row],[Treatment_Success]]="Yes",1,0)</f>
        <v>1</v>
      </c>
      <c r="N876">
        <v>41174</v>
      </c>
    </row>
    <row r="877" spans="1:14" x14ac:dyDescent="0.35">
      <c r="A877" t="s">
        <v>924</v>
      </c>
      <c r="B877">
        <v>53</v>
      </c>
      <c r="C877" t="str">
        <f>_xlfn.IFS(Table3[[#This Row],[Age]]&lt;=10, "Child",Table3[[#This Row],[Age]]&lt;18, "Teenger", Table3[[#This Row],[Age]]&lt;30, "Middle Age", Table3[[#This Row],[Age]]&lt; 60,"Adult",Table3[[#This Row],[Age]],"Senior Citizen")</f>
        <v>Adult</v>
      </c>
      <c r="D877" t="s">
        <v>12</v>
      </c>
      <c r="E877" t="s">
        <v>28</v>
      </c>
      <c r="F877" t="s">
        <v>54</v>
      </c>
      <c r="G877" s="1">
        <v>45511</v>
      </c>
      <c r="H877" s="1">
        <v>45518</v>
      </c>
      <c r="I877" s="2">
        <f>Table3[[#This Row],[Discharge_Date]]-Table3[[#This Row],[Admission_Date]]</f>
        <v>7</v>
      </c>
      <c r="J877">
        <v>186</v>
      </c>
      <c r="K877" t="s">
        <v>15</v>
      </c>
      <c r="L877" t="s">
        <v>26</v>
      </c>
      <c r="M877">
        <f>IF(Table3[[#This Row],[Treatment_Success]]="Yes",1,0)</f>
        <v>0</v>
      </c>
      <c r="N877">
        <v>43164</v>
      </c>
    </row>
    <row r="878" spans="1:14" x14ac:dyDescent="0.35">
      <c r="A878" t="s">
        <v>925</v>
      </c>
      <c r="B878">
        <v>67</v>
      </c>
      <c r="C878" t="str">
        <f>_xlfn.IFS(Table3[[#This Row],[Age]]&lt;=10, "Child",Table3[[#This Row],[Age]]&lt;18, "Teenger", Table3[[#This Row],[Age]]&lt;30, "Middle Age", Table3[[#This Row],[Age]]&lt; 60,"Adult",Table3[[#This Row],[Age]],"Senior Citizen")</f>
        <v>Senior Citizen</v>
      </c>
      <c r="D878" t="s">
        <v>18</v>
      </c>
      <c r="E878" t="s">
        <v>24</v>
      </c>
      <c r="F878" t="s">
        <v>95</v>
      </c>
      <c r="G878" s="1">
        <v>45297</v>
      </c>
      <c r="H878" s="1">
        <v>45309</v>
      </c>
      <c r="I878" s="2">
        <f>Table3[[#This Row],[Discharge_Date]]-Table3[[#This Row],[Admission_Date]]</f>
        <v>12</v>
      </c>
      <c r="J878">
        <v>162</v>
      </c>
      <c r="K878" t="s">
        <v>46</v>
      </c>
      <c r="L878" t="s">
        <v>16</v>
      </c>
      <c r="M878">
        <f>IF(Table3[[#This Row],[Treatment_Success]]="Yes",1,0)</f>
        <v>1</v>
      </c>
      <c r="N878">
        <v>118789</v>
      </c>
    </row>
    <row r="879" spans="1:14" x14ac:dyDescent="0.35">
      <c r="A879" t="s">
        <v>926</v>
      </c>
      <c r="B879">
        <v>5</v>
      </c>
      <c r="C879" t="str">
        <f>_xlfn.IFS(Table3[[#This Row],[Age]]&lt;=10, "Child",Table3[[#This Row],[Age]]&lt;18, "Teenger", Table3[[#This Row],[Age]]&lt;30, "Middle Age", Table3[[#This Row],[Age]]&lt; 60,"Adult",Table3[[#This Row],[Age]],"Senior Citizen")</f>
        <v>Child</v>
      </c>
      <c r="D879" t="s">
        <v>18</v>
      </c>
      <c r="E879" t="s">
        <v>28</v>
      </c>
      <c r="F879" t="s">
        <v>52</v>
      </c>
      <c r="G879" s="1">
        <v>45323</v>
      </c>
      <c r="H879" s="1">
        <v>45330</v>
      </c>
      <c r="I879" s="2">
        <f>Table3[[#This Row],[Discharge_Date]]-Table3[[#This Row],[Admission_Date]]</f>
        <v>7</v>
      </c>
      <c r="J879">
        <v>267</v>
      </c>
      <c r="K879" t="s">
        <v>33</v>
      </c>
      <c r="L879" t="s">
        <v>26</v>
      </c>
      <c r="M879">
        <f>IF(Table3[[#This Row],[Treatment_Success]]="Yes",1,0)</f>
        <v>0</v>
      </c>
      <c r="N879">
        <v>110382</v>
      </c>
    </row>
    <row r="880" spans="1:14" x14ac:dyDescent="0.35">
      <c r="A880" t="s">
        <v>927</v>
      </c>
      <c r="B880">
        <v>71</v>
      </c>
      <c r="C880" t="str">
        <f>_xlfn.IFS(Table3[[#This Row],[Age]]&lt;=10, "Child",Table3[[#This Row],[Age]]&lt;18, "Teenger", Table3[[#This Row],[Age]]&lt;30, "Middle Age", Table3[[#This Row],[Age]]&lt; 60,"Adult",Table3[[#This Row],[Age]],"Senior Citizen")</f>
        <v>Senior Citizen</v>
      </c>
      <c r="D880" t="s">
        <v>12</v>
      </c>
      <c r="E880" t="s">
        <v>38</v>
      </c>
      <c r="F880" t="s">
        <v>63</v>
      </c>
      <c r="G880" s="1">
        <v>45640</v>
      </c>
      <c r="H880" s="1">
        <v>45652</v>
      </c>
      <c r="I880" s="2">
        <f>Table3[[#This Row],[Discharge_Date]]-Table3[[#This Row],[Admission_Date]]</f>
        <v>12</v>
      </c>
      <c r="J880">
        <v>5</v>
      </c>
      <c r="K880" t="s">
        <v>33</v>
      </c>
      <c r="L880" t="s">
        <v>16</v>
      </c>
      <c r="M880">
        <f>IF(Table3[[#This Row],[Treatment_Success]]="Yes",1,0)</f>
        <v>1</v>
      </c>
      <c r="N880">
        <v>188578</v>
      </c>
    </row>
    <row r="881" spans="1:14" x14ac:dyDescent="0.35">
      <c r="A881" t="s">
        <v>928</v>
      </c>
      <c r="B881">
        <v>83</v>
      </c>
      <c r="C881" t="str">
        <f>_xlfn.IFS(Table3[[#This Row],[Age]]&lt;=10, "Child",Table3[[#This Row],[Age]]&lt;18, "Teenger", Table3[[#This Row],[Age]]&lt;30, "Middle Age", Table3[[#This Row],[Age]]&lt; 60,"Adult",Table3[[#This Row],[Age]],"Senior Citizen")</f>
        <v>Senior Citizen</v>
      </c>
      <c r="D881" t="s">
        <v>18</v>
      </c>
      <c r="E881" t="s">
        <v>28</v>
      </c>
      <c r="F881" t="s">
        <v>35</v>
      </c>
      <c r="G881" s="1">
        <v>45498</v>
      </c>
      <c r="H881" s="1">
        <v>45506</v>
      </c>
      <c r="I881" s="2">
        <f>Table3[[#This Row],[Discharge_Date]]-Table3[[#This Row],[Admission_Date]]</f>
        <v>8</v>
      </c>
      <c r="J881">
        <v>227</v>
      </c>
      <c r="K881" t="s">
        <v>33</v>
      </c>
      <c r="L881" t="s">
        <v>26</v>
      </c>
      <c r="M881">
        <f>IF(Table3[[#This Row],[Treatment_Success]]="Yes",1,0)</f>
        <v>0</v>
      </c>
      <c r="N881">
        <v>56719</v>
      </c>
    </row>
    <row r="882" spans="1:14" x14ac:dyDescent="0.35">
      <c r="A882" t="s">
        <v>929</v>
      </c>
      <c r="B882">
        <v>5</v>
      </c>
      <c r="C882" t="str">
        <f>_xlfn.IFS(Table3[[#This Row],[Age]]&lt;=10, "Child",Table3[[#This Row],[Age]]&lt;18, "Teenger", Table3[[#This Row],[Age]]&lt;30, "Middle Age", Table3[[#This Row],[Age]]&lt; 60,"Adult",Table3[[#This Row],[Age]],"Senior Citizen")</f>
        <v>Child</v>
      </c>
      <c r="D882" t="s">
        <v>12</v>
      </c>
      <c r="E882" t="s">
        <v>31</v>
      </c>
      <c r="F882" t="s">
        <v>25</v>
      </c>
      <c r="G882" s="1">
        <v>45446</v>
      </c>
      <c r="H882" s="1">
        <v>45448</v>
      </c>
      <c r="I882" s="2">
        <f>Table3[[#This Row],[Discharge_Date]]-Table3[[#This Row],[Admission_Date]]</f>
        <v>2</v>
      </c>
      <c r="J882">
        <v>65</v>
      </c>
      <c r="K882" t="s">
        <v>33</v>
      </c>
      <c r="L882" t="s">
        <v>16</v>
      </c>
      <c r="M882">
        <f>IF(Table3[[#This Row],[Treatment_Success]]="Yes",1,0)</f>
        <v>1</v>
      </c>
      <c r="N882">
        <v>29332</v>
      </c>
    </row>
    <row r="883" spans="1:14" x14ac:dyDescent="0.35">
      <c r="A883" t="s">
        <v>930</v>
      </c>
      <c r="B883">
        <v>40</v>
      </c>
      <c r="C883" t="str">
        <f>_xlfn.IFS(Table3[[#This Row],[Age]]&lt;=10, "Child",Table3[[#This Row],[Age]]&lt;18, "Teenger", Table3[[#This Row],[Age]]&lt;30, "Middle Age", Table3[[#This Row],[Age]]&lt; 60,"Adult",Table3[[#This Row],[Age]],"Senior Citizen")</f>
        <v>Adult</v>
      </c>
      <c r="D883" t="s">
        <v>12</v>
      </c>
      <c r="E883" t="s">
        <v>13</v>
      </c>
      <c r="F883" t="s">
        <v>80</v>
      </c>
      <c r="G883" s="1">
        <v>45553</v>
      </c>
      <c r="H883" s="1">
        <v>45562</v>
      </c>
      <c r="I883" s="2">
        <f>Table3[[#This Row],[Discharge_Date]]-Table3[[#This Row],[Admission_Date]]</f>
        <v>9</v>
      </c>
      <c r="J883">
        <v>15</v>
      </c>
      <c r="K883" t="s">
        <v>33</v>
      </c>
      <c r="L883" t="s">
        <v>16</v>
      </c>
      <c r="M883">
        <f>IF(Table3[[#This Row],[Treatment_Success]]="Yes",1,0)</f>
        <v>1</v>
      </c>
      <c r="N883">
        <v>84676</v>
      </c>
    </row>
    <row r="884" spans="1:14" x14ac:dyDescent="0.35">
      <c r="A884" t="s">
        <v>931</v>
      </c>
      <c r="B884">
        <v>15</v>
      </c>
      <c r="C884" t="str">
        <f>_xlfn.IFS(Table3[[#This Row],[Age]]&lt;=10, "Child",Table3[[#This Row],[Age]]&lt;18, "Teenger", Table3[[#This Row],[Age]]&lt;30, "Middle Age", Table3[[#This Row],[Age]]&lt; 60,"Adult",Table3[[#This Row],[Age]],"Senior Citizen")</f>
        <v>Teenger</v>
      </c>
      <c r="D884" t="s">
        <v>18</v>
      </c>
      <c r="E884" t="s">
        <v>38</v>
      </c>
      <c r="F884" t="s">
        <v>32</v>
      </c>
      <c r="G884" s="1">
        <v>45508</v>
      </c>
      <c r="H884" s="1">
        <v>45517</v>
      </c>
      <c r="I884" s="2">
        <f>Table3[[#This Row],[Discharge_Date]]-Table3[[#This Row],[Admission_Date]]</f>
        <v>9</v>
      </c>
      <c r="J884">
        <v>260</v>
      </c>
      <c r="K884" t="s">
        <v>33</v>
      </c>
      <c r="L884" t="s">
        <v>16</v>
      </c>
      <c r="M884">
        <f>IF(Table3[[#This Row],[Treatment_Success]]="Yes",1,0)</f>
        <v>1</v>
      </c>
      <c r="N884">
        <v>17512</v>
      </c>
    </row>
    <row r="885" spans="1:14" x14ac:dyDescent="0.35">
      <c r="A885" t="s">
        <v>932</v>
      </c>
      <c r="B885">
        <v>58</v>
      </c>
      <c r="C885" t="str">
        <f>_xlfn.IFS(Table3[[#This Row],[Age]]&lt;=10, "Child",Table3[[#This Row],[Age]]&lt;18, "Teenger", Table3[[#This Row],[Age]]&lt;30, "Middle Age", Table3[[#This Row],[Age]]&lt; 60,"Adult",Table3[[#This Row],[Age]],"Senior Citizen")</f>
        <v>Adult</v>
      </c>
      <c r="D885" t="s">
        <v>12</v>
      </c>
      <c r="E885" t="s">
        <v>28</v>
      </c>
      <c r="F885" t="s">
        <v>25</v>
      </c>
      <c r="G885" s="1">
        <v>45625</v>
      </c>
      <c r="H885" s="1">
        <v>45627</v>
      </c>
      <c r="I885" s="2">
        <f>Table3[[#This Row],[Discharge_Date]]-Table3[[#This Row],[Admission_Date]]</f>
        <v>2</v>
      </c>
      <c r="J885">
        <v>3</v>
      </c>
      <c r="K885" t="s">
        <v>46</v>
      </c>
      <c r="L885" t="s">
        <v>16</v>
      </c>
      <c r="M885">
        <f>IF(Table3[[#This Row],[Treatment_Success]]="Yes",1,0)</f>
        <v>1</v>
      </c>
      <c r="N885">
        <v>66891</v>
      </c>
    </row>
    <row r="886" spans="1:14" x14ac:dyDescent="0.35">
      <c r="A886" t="s">
        <v>933</v>
      </c>
      <c r="B886">
        <v>81</v>
      </c>
      <c r="C886" t="str">
        <f>_xlfn.IFS(Table3[[#This Row],[Age]]&lt;=10, "Child",Table3[[#This Row],[Age]]&lt;18, "Teenger", Table3[[#This Row],[Age]]&lt;30, "Middle Age", Table3[[#This Row],[Age]]&lt; 60,"Adult",Table3[[#This Row],[Age]],"Senior Citizen")</f>
        <v>Senior Citizen</v>
      </c>
      <c r="D886" t="s">
        <v>18</v>
      </c>
      <c r="E886" t="s">
        <v>38</v>
      </c>
      <c r="F886" t="s">
        <v>83</v>
      </c>
      <c r="G886" s="1">
        <v>45589</v>
      </c>
      <c r="H886" s="1">
        <v>45599</v>
      </c>
      <c r="I886" s="2">
        <f>Table3[[#This Row],[Discharge_Date]]-Table3[[#This Row],[Admission_Date]]</f>
        <v>10</v>
      </c>
      <c r="J886">
        <v>146</v>
      </c>
      <c r="K886" t="s">
        <v>36</v>
      </c>
      <c r="L886" t="s">
        <v>26</v>
      </c>
      <c r="M886">
        <f>IF(Table3[[#This Row],[Treatment_Success]]="Yes",1,0)</f>
        <v>0</v>
      </c>
      <c r="N886">
        <v>141227</v>
      </c>
    </row>
    <row r="887" spans="1:14" x14ac:dyDescent="0.35">
      <c r="A887" t="s">
        <v>934</v>
      </c>
      <c r="B887">
        <v>42</v>
      </c>
      <c r="C887" t="str">
        <f>_xlfn.IFS(Table3[[#This Row],[Age]]&lt;=10, "Child",Table3[[#This Row],[Age]]&lt;18, "Teenger", Table3[[#This Row],[Age]]&lt;30, "Middle Age", Table3[[#This Row],[Age]]&lt; 60,"Adult",Table3[[#This Row],[Age]],"Senior Citizen")</f>
        <v>Adult</v>
      </c>
      <c r="D887" t="s">
        <v>18</v>
      </c>
      <c r="E887" t="s">
        <v>38</v>
      </c>
      <c r="F887" t="s">
        <v>20</v>
      </c>
      <c r="G887" s="1">
        <v>45418</v>
      </c>
      <c r="H887" s="1">
        <v>45420</v>
      </c>
      <c r="I887" s="2">
        <f>Table3[[#This Row],[Discharge_Date]]-Table3[[#This Row],[Admission_Date]]</f>
        <v>2</v>
      </c>
      <c r="J887">
        <v>51</v>
      </c>
      <c r="K887" t="s">
        <v>36</v>
      </c>
      <c r="L887" t="s">
        <v>26</v>
      </c>
      <c r="M887">
        <f>IF(Table3[[#This Row],[Treatment_Success]]="Yes",1,0)</f>
        <v>0</v>
      </c>
      <c r="N887">
        <v>113017</v>
      </c>
    </row>
    <row r="888" spans="1:14" x14ac:dyDescent="0.35">
      <c r="A888" t="s">
        <v>935</v>
      </c>
      <c r="B888">
        <v>8</v>
      </c>
      <c r="C888" t="str">
        <f>_xlfn.IFS(Table3[[#This Row],[Age]]&lt;=10, "Child",Table3[[#This Row],[Age]]&lt;18, "Teenger", Table3[[#This Row],[Age]]&lt;30, "Middle Age", Table3[[#This Row],[Age]]&lt; 60,"Adult",Table3[[#This Row],[Age]],"Senior Citizen")</f>
        <v>Child</v>
      </c>
      <c r="D888" t="s">
        <v>12</v>
      </c>
      <c r="E888" t="s">
        <v>13</v>
      </c>
      <c r="F888" t="s">
        <v>43</v>
      </c>
      <c r="G888" s="1">
        <v>45333</v>
      </c>
      <c r="H888" s="1">
        <v>45335</v>
      </c>
      <c r="I888" s="2">
        <f>Table3[[#This Row],[Discharge_Date]]-Table3[[#This Row],[Admission_Date]]</f>
        <v>2</v>
      </c>
      <c r="J888">
        <v>110</v>
      </c>
      <c r="K888" t="s">
        <v>46</v>
      </c>
      <c r="L888" t="s">
        <v>16</v>
      </c>
      <c r="M888">
        <f>IF(Table3[[#This Row],[Treatment_Success]]="Yes",1,0)</f>
        <v>1</v>
      </c>
      <c r="N888">
        <v>101808</v>
      </c>
    </row>
    <row r="889" spans="1:14" x14ac:dyDescent="0.35">
      <c r="A889" t="s">
        <v>936</v>
      </c>
      <c r="B889">
        <v>52</v>
      </c>
      <c r="C889" t="str">
        <f>_xlfn.IFS(Table3[[#This Row],[Age]]&lt;=10, "Child",Table3[[#This Row],[Age]]&lt;18, "Teenger", Table3[[#This Row],[Age]]&lt;30, "Middle Age", Table3[[#This Row],[Age]]&lt; 60,"Adult",Table3[[#This Row],[Age]],"Senior Citizen")</f>
        <v>Adult</v>
      </c>
      <c r="D889" t="s">
        <v>12</v>
      </c>
      <c r="E889" t="s">
        <v>38</v>
      </c>
      <c r="F889" t="s">
        <v>58</v>
      </c>
      <c r="G889" s="1">
        <v>45638</v>
      </c>
      <c r="H889" s="1">
        <v>45647</v>
      </c>
      <c r="I889" s="2">
        <f>Table3[[#This Row],[Discharge_Date]]-Table3[[#This Row],[Admission_Date]]</f>
        <v>9</v>
      </c>
      <c r="J889">
        <v>256</v>
      </c>
      <c r="K889" t="s">
        <v>46</v>
      </c>
      <c r="L889" t="s">
        <v>26</v>
      </c>
      <c r="M889">
        <f>IF(Table3[[#This Row],[Treatment_Success]]="Yes",1,0)</f>
        <v>0</v>
      </c>
      <c r="N889">
        <v>185621</v>
      </c>
    </row>
    <row r="890" spans="1:14" x14ac:dyDescent="0.35">
      <c r="A890" t="s">
        <v>937</v>
      </c>
      <c r="B890">
        <v>54</v>
      </c>
      <c r="C890" t="str">
        <f>_xlfn.IFS(Table3[[#This Row],[Age]]&lt;=10, "Child",Table3[[#This Row],[Age]]&lt;18, "Teenger", Table3[[#This Row],[Age]]&lt;30, "Middle Age", Table3[[#This Row],[Age]]&lt; 60,"Adult",Table3[[#This Row],[Age]],"Senior Citizen")</f>
        <v>Adult</v>
      </c>
      <c r="D890" t="s">
        <v>18</v>
      </c>
      <c r="E890" t="s">
        <v>13</v>
      </c>
      <c r="F890" t="s">
        <v>49</v>
      </c>
      <c r="G890" s="1">
        <v>45542</v>
      </c>
      <c r="H890" s="1">
        <v>45554</v>
      </c>
      <c r="I890" s="2">
        <f>Table3[[#This Row],[Discharge_Date]]-Table3[[#This Row],[Admission_Date]]</f>
        <v>12</v>
      </c>
      <c r="J890">
        <v>66</v>
      </c>
      <c r="K890" t="s">
        <v>46</v>
      </c>
      <c r="L890" t="s">
        <v>26</v>
      </c>
      <c r="M890">
        <f>IF(Table3[[#This Row],[Treatment_Success]]="Yes",1,0)</f>
        <v>0</v>
      </c>
      <c r="N890">
        <v>38917</v>
      </c>
    </row>
    <row r="891" spans="1:14" x14ac:dyDescent="0.35">
      <c r="A891" t="s">
        <v>938</v>
      </c>
      <c r="B891">
        <v>68</v>
      </c>
      <c r="C891" t="str">
        <f>_xlfn.IFS(Table3[[#This Row],[Age]]&lt;=10, "Child",Table3[[#This Row],[Age]]&lt;18, "Teenger", Table3[[#This Row],[Age]]&lt;30, "Middle Age", Table3[[#This Row],[Age]]&lt; 60,"Adult",Table3[[#This Row],[Age]],"Senior Citizen")</f>
        <v>Senior Citizen</v>
      </c>
      <c r="D891" t="s">
        <v>18</v>
      </c>
      <c r="E891" t="s">
        <v>13</v>
      </c>
      <c r="F891" t="s">
        <v>20</v>
      </c>
      <c r="G891" s="1">
        <v>45652</v>
      </c>
      <c r="H891" s="1">
        <v>45661</v>
      </c>
      <c r="I891" s="2">
        <f>Table3[[#This Row],[Discharge_Date]]-Table3[[#This Row],[Admission_Date]]</f>
        <v>9</v>
      </c>
      <c r="J891">
        <v>243</v>
      </c>
      <c r="K891" t="s">
        <v>15</v>
      </c>
      <c r="L891" t="s">
        <v>16</v>
      </c>
      <c r="M891">
        <f>IF(Table3[[#This Row],[Treatment_Success]]="Yes",1,0)</f>
        <v>1</v>
      </c>
      <c r="N891">
        <v>151545</v>
      </c>
    </row>
    <row r="892" spans="1:14" x14ac:dyDescent="0.35">
      <c r="A892" t="s">
        <v>939</v>
      </c>
      <c r="B892">
        <v>16</v>
      </c>
      <c r="C892" t="str">
        <f>_xlfn.IFS(Table3[[#This Row],[Age]]&lt;=10, "Child",Table3[[#This Row],[Age]]&lt;18, "Teenger", Table3[[#This Row],[Age]]&lt;30, "Middle Age", Table3[[#This Row],[Age]]&lt; 60,"Adult",Table3[[#This Row],[Age]],"Senior Citizen")</f>
        <v>Teenger</v>
      </c>
      <c r="D892" t="s">
        <v>12</v>
      </c>
      <c r="E892" t="s">
        <v>24</v>
      </c>
      <c r="F892" t="s">
        <v>90</v>
      </c>
      <c r="G892" s="1">
        <v>45481</v>
      </c>
      <c r="H892" s="1">
        <v>45496</v>
      </c>
      <c r="I892" s="2">
        <f>Table3[[#This Row],[Discharge_Date]]-Table3[[#This Row],[Admission_Date]]</f>
        <v>15</v>
      </c>
      <c r="J892">
        <v>190</v>
      </c>
      <c r="K892" t="s">
        <v>33</v>
      </c>
      <c r="L892" t="s">
        <v>16</v>
      </c>
      <c r="M892">
        <f>IF(Table3[[#This Row],[Treatment_Success]]="Yes",1,0)</f>
        <v>1</v>
      </c>
      <c r="N892">
        <v>142042</v>
      </c>
    </row>
    <row r="893" spans="1:14" x14ac:dyDescent="0.35">
      <c r="A893" t="s">
        <v>940</v>
      </c>
      <c r="B893">
        <v>48</v>
      </c>
      <c r="C893" t="str">
        <f>_xlfn.IFS(Table3[[#This Row],[Age]]&lt;=10, "Child",Table3[[#This Row],[Age]]&lt;18, "Teenger", Table3[[#This Row],[Age]]&lt;30, "Middle Age", Table3[[#This Row],[Age]]&lt; 60,"Adult",Table3[[#This Row],[Age]],"Senior Citizen")</f>
        <v>Adult</v>
      </c>
      <c r="D893" t="s">
        <v>12</v>
      </c>
      <c r="E893" t="s">
        <v>38</v>
      </c>
      <c r="F893" t="s">
        <v>83</v>
      </c>
      <c r="G893" s="1">
        <v>45370</v>
      </c>
      <c r="H893" s="1">
        <v>45372</v>
      </c>
      <c r="I893" s="2">
        <f>Table3[[#This Row],[Discharge_Date]]-Table3[[#This Row],[Admission_Date]]</f>
        <v>2</v>
      </c>
      <c r="J893">
        <v>151</v>
      </c>
      <c r="K893" t="s">
        <v>46</v>
      </c>
      <c r="L893" t="s">
        <v>16</v>
      </c>
      <c r="M893">
        <f>IF(Table3[[#This Row],[Treatment_Success]]="Yes",1,0)</f>
        <v>1</v>
      </c>
      <c r="N893">
        <v>42452</v>
      </c>
    </row>
    <row r="894" spans="1:14" x14ac:dyDescent="0.35">
      <c r="A894" t="s">
        <v>941</v>
      </c>
      <c r="B894">
        <v>76</v>
      </c>
      <c r="C894" t="str">
        <f>_xlfn.IFS(Table3[[#This Row],[Age]]&lt;=10, "Child",Table3[[#This Row],[Age]]&lt;18, "Teenger", Table3[[#This Row],[Age]]&lt;30, "Middle Age", Table3[[#This Row],[Age]]&lt; 60,"Adult",Table3[[#This Row],[Age]],"Senior Citizen")</f>
        <v>Senior Citizen</v>
      </c>
      <c r="D894" t="s">
        <v>12</v>
      </c>
      <c r="E894" t="s">
        <v>24</v>
      </c>
      <c r="F894" t="s">
        <v>83</v>
      </c>
      <c r="G894" s="1">
        <v>45364</v>
      </c>
      <c r="H894" s="1">
        <v>45377</v>
      </c>
      <c r="I894" s="2">
        <f>Table3[[#This Row],[Discharge_Date]]-Table3[[#This Row],[Admission_Date]]</f>
        <v>13</v>
      </c>
      <c r="J894">
        <v>146</v>
      </c>
      <c r="K894" t="s">
        <v>36</v>
      </c>
      <c r="L894" t="s">
        <v>16</v>
      </c>
      <c r="M894">
        <f>IF(Table3[[#This Row],[Treatment_Success]]="Yes",1,0)</f>
        <v>1</v>
      </c>
      <c r="N894">
        <v>198897</v>
      </c>
    </row>
    <row r="895" spans="1:14" x14ac:dyDescent="0.35">
      <c r="A895" t="s">
        <v>942</v>
      </c>
      <c r="B895">
        <v>16</v>
      </c>
      <c r="C895" t="str">
        <f>_xlfn.IFS(Table3[[#This Row],[Age]]&lt;=10, "Child",Table3[[#This Row],[Age]]&lt;18, "Teenger", Table3[[#This Row],[Age]]&lt;30, "Middle Age", Table3[[#This Row],[Age]]&lt; 60,"Adult",Table3[[#This Row],[Age]],"Senior Citizen")</f>
        <v>Teenger</v>
      </c>
      <c r="D895" t="s">
        <v>12</v>
      </c>
      <c r="E895" t="s">
        <v>24</v>
      </c>
      <c r="F895" t="s">
        <v>52</v>
      </c>
      <c r="G895" s="1">
        <v>45542</v>
      </c>
      <c r="H895" s="1">
        <v>45543</v>
      </c>
      <c r="I895" s="2">
        <f>Table3[[#This Row],[Discharge_Date]]-Table3[[#This Row],[Admission_Date]]</f>
        <v>1</v>
      </c>
      <c r="J895">
        <v>214</v>
      </c>
      <c r="K895" t="s">
        <v>46</v>
      </c>
      <c r="L895" t="s">
        <v>16</v>
      </c>
      <c r="M895">
        <f>IF(Table3[[#This Row],[Treatment_Success]]="Yes",1,0)</f>
        <v>1</v>
      </c>
      <c r="N895">
        <v>153311</v>
      </c>
    </row>
    <row r="896" spans="1:14" x14ac:dyDescent="0.35">
      <c r="A896" t="s">
        <v>943</v>
      </c>
      <c r="B896">
        <v>44</v>
      </c>
      <c r="C896" t="str">
        <f>_xlfn.IFS(Table3[[#This Row],[Age]]&lt;=10, "Child",Table3[[#This Row],[Age]]&lt;18, "Teenger", Table3[[#This Row],[Age]]&lt;30, "Middle Age", Table3[[#This Row],[Age]]&lt; 60,"Adult",Table3[[#This Row],[Age]],"Senior Citizen")</f>
        <v>Adult</v>
      </c>
      <c r="D896" t="s">
        <v>12</v>
      </c>
      <c r="E896" t="s">
        <v>31</v>
      </c>
      <c r="F896" t="s">
        <v>25</v>
      </c>
      <c r="G896" s="1">
        <v>45523</v>
      </c>
      <c r="H896" s="1">
        <v>45538</v>
      </c>
      <c r="I896" s="2">
        <f>Table3[[#This Row],[Discharge_Date]]-Table3[[#This Row],[Admission_Date]]</f>
        <v>15</v>
      </c>
      <c r="J896">
        <v>68</v>
      </c>
      <c r="K896" t="s">
        <v>36</v>
      </c>
      <c r="L896" t="s">
        <v>26</v>
      </c>
      <c r="M896">
        <f>IF(Table3[[#This Row],[Treatment_Success]]="Yes",1,0)</f>
        <v>0</v>
      </c>
      <c r="N896">
        <v>122946</v>
      </c>
    </row>
    <row r="897" spans="1:14" x14ac:dyDescent="0.35">
      <c r="A897" t="s">
        <v>944</v>
      </c>
      <c r="B897">
        <v>20</v>
      </c>
      <c r="C897" t="str">
        <f>_xlfn.IFS(Table3[[#This Row],[Age]]&lt;=10, "Child",Table3[[#This Row],[Age]]&lt;18, "Teenger", Table3[[#This Row],[Age]]&lt;30, "Middle Age", Table3[[#This Row],[Age]]&lt; 60,"Adult",Table3[[#This Row],[Age]],"Senior Citizen")</f>
        <v>Middle Age</v>
      </c>
      <c r="D897" t="s">
        <v>12</v>
      </c>
      <c r="E897" t="s">
        <v>24</v>
      </c>
      <c r="F897" t="s">
        <v>35</v>
      </c>
      <c r="G897" s="1">
        <v>45633</v>
      </c>
      <c r="H897" s="1">
        <v>45641</v>
      </c>
      <c r="I897" s="2">
        <f>Table3[[#This Row],[Discharge_Date]]-Table3[[#This Row],[Admission_Date]]</f>
        <v>8</v>
      </c>
      <c r="J897">
        <v>210</v>
      </c>
      <c r="K897" t="s">
        <v>46</v>
      </c>
      <c r="L897" t="s">
        <v>16</v>
      </c>
      <c r="M897">
        <f>IF(Table3[[#This Row],[Treatment_Success]]="Yes",1,0)</f>
        <v>1</v>
      </c>
      <c r="N897">
        <v>108650</v>
      </c>
    </row>
    <row r="898" spans="1:14" x14ac:dyDescent="0.35">
      <c r="A898" t="s">
        <v>945</v>
      </c>
      <c r="B898">
        <v>6</v>
      </c>
      <c r="C898" t="str">
        <f>_xlfn.IFS(Table3[[#This Row],[Age]]&lt;=10, "Child",Table3[[#This Row],[Age]]&lt;18, "Teenger", Table3[[#This Row],[Age]]&lt;30, "Middle Age", Table3[[#This Row],[Age]]&lt; 60,"Adult",Table3[[#This Row],[Age]],"Senior Citizen")</f>
        <v>Child</v>
      </c>
      <c r="D898" t="s">
        <v>12</v>
      </c>
      <c r="E898" t="s">
        <v>38</v>
      </c>
      <c r="F898" t="s">
        <v>68</v>
      </c>
      <c r="G898" s="1">
        <v>45465</v>
      </c>
      <c r="H898" s="1">
        <v>45474</v>
      </c>
      <c r="I898" s="2">
        <f>Table3[[#This Row],[Discharge_Date]]-Table3[[#This Row],[Admission_Date]]</f>
        <v>9</v>
      </c>
      <c r="J898">
        <v>46</v>
      </c>
      <c r="K898" t="s">
        <v>36</v>
      </c>
      <c r="L898" t="s">
        <v>16</v>
      </c>
      <c r="M898">
        <f>IF(Table3[[#This Row],[Treatment_Success]]="Yes",1,0)</f>
        <v>1</v>
      </c>
      <c r="N898">
        <v>154945</v>
      </c>
    </row>
    <row r="899" spans="1:14" x14ac:dyDescent="0.35">
      <c r="A899" t="s">
        <v>946</v>
      </c>
      <c r="B899">
        <v>40</v>
      </c>
      <c r="C899" t="str">
        <f>_xlfn.IFS(Table3[[#This Row],[Age]]&lt;=10, "Child",Table3[[#This Row],[Age]]&lt;18, "Teenger", Table3[[#This Row],[Age]]&lt;30, "Middle Age", Table3[[#This Row],[Age]]&lt; 60,"Adult",Table3[[#This Row],[Age]],"Senior Citizen")</f>
        <v>Adult</v>
      </c>
      <c r="D899" t="s">
        <v>18</v>
      </c>
      <c r="E899" t="s">
        <v>28</v>
      </c>
      <c r="F899" t="s">
        <v>45</v>
      </c>
      <c r="G899" s="1">
        <v>45614</v>
      </c>
      <c r="H899" s="1">
        <v>45627</v>
      </c>
      <c r="I899" s="2">
        <f>Table3[[#This Row],[Discharge_Date]]-Table3[[#This Row],[Admission_Date]]</f>
        <v>13</v>
      </c>
      <c r="J899">
        <v>99</v>
      </c>
      <c r="K899" t="s">
        <v>15</v>
      </c>
      <c r="L899" t="s">
        <v>16</v>
      </c>
      <c r="M899">
        <f>IF(Table3[[#This Row],[Treatment_Success]]="Yes",1,0)</f>
        <v>1</v>
      </c>
      <c r="N899">
        <v>129737</v>
      </c>
    </row>
    <row r="900" spans="1:14" x14ac:dyDescent="0.35">
      <c r="A900" t="s">
        <v>947</v>
      </c>
      <c r="B900">
        <v>3</v>
      </c>
      <c r="C900" t="str">
        <f>_xlfn.IFS(Table3[[#This Row],[Age]]&lt;=10, "Child",Table3[[#This Row],[Age]]&lt;18, "Teenger", Table3[[#This Row],[Age]]&lt;30, "Middle Age", Table3[[#This Row],[Age]]&lt; 60,"Adult",Table3[[#This Row],[Age]],"Senior Citizen")</f>
        <v>Child</v>
      </c>
      <c r="D900" t="s">
        <v>18</v>
      </c>
      <c r="E900" t="s">
        <v>28</v>
      </c>
      <c r="F900" t="s">
        <v>66</v>
      </c>
      <c r="G900" s="1">
        <v>45549</v>
      </c>
      <c r="H900" s="1">
        <v>45564</v>
      </c>
      <c r="I900" s="2">
        <f>Table3[[#This Row],[Discharge_Date]]-Table3[[#This Row],[Admission_Date]]</f>
        <v>15</v>
      </c>
      <c r="J900">
        <v>10</v>
      </c>
      <c r="K900" t="s">
        <v>33</v>
      </c>
      <c r="L900" t="s">
        <v>16</v>
      </c>
      <c r="M900">
        <f>IF(Table3[[#This Row],[Treatment_Success]]="Yes",1,0)</f>
        <v>1</v>
      </c>
      <c r="N900">
        <v>69300</v>
      </c>
    </row>
    <row r="901" spans="1:14" x14ac:dyDescent="0.35">
      <c r="A901" t="s">
        <v>948</v>
      </c>
      <c r="B901">
        <v>75</v>
      </c>
      <c r="C901" t="str">
        <f>_xlfn.IFS(Table3[[#This Row],[Age]]&lt;=10, "Child",Table3[[#This Row],[Age]]&lt;18, "Teenger", Table3[[#This Row],[Age]]&lt;30, "Middle Age", Table3[[#This Row],[Age]]&lt; 60,"Adult",Table3[[#This Row],[Age]],"Senior Citizen")</f>
        <v>Senior Citizen</v>
      </c>
      <c r="D901" t="s">
        <v>12</v>
      </c>
      <c r="E901" t="s">
        <v>24</v>
      </c>
      <c r="F901" t="s">
        <v>61</v>
      </c>
      <c r="G901" s="1">
        <v>45653</v>
      </c>
      <c r="H901" s="1">
        <v>45667</v>
      </c>
      <c r="I901" s="2">
        <f>Table3[[#This Row],[Discharge_Date]]-Table3[[#This Row],[Admission_Date]]</f>
        <v>14</v>
      </c>
      <c r="J901">
        <v>165</v>
      </c>
      <c r="K901" t="s">
        <v>46</v>
      </c>
      <c r="L901" t="s">
        <v>16</v>
      </c>
      <c r="M901">
        <f>IF(Table3[[#This Row],[Treatment_Success]]="Yes",1,0)</f>
        <v>1</v>
      </c>
      <c r="N901">
        <v>133836</v>
      </c>
    </row>
    <row r="902" spans="1:14" x14ac:dyDescent="0.35">
      <c r="A902" t="s">
        <v>949</v>
      </c>
      <c r="B902">
        <v>56</v>
      </c>
      <c r="C902" t="str">
        <f>_xlfn.IFS(Table3[[#This Row],[Age]]&lt;=10, "Child",Table3[[#This Row],[Age]]&lt;18, "Teenger", Table3[[#This Row],[Age]]&lt;30, "Middle Age", Table3[[#This Row],[Age]]&lt; 60,"Adult",Table3[[#This Row],[Age]],"Senior Citizen")</f>
        <v>Adult</v>
      </c>
      <c r="D902" t="s">
        <v>18</v>
      </c>
      <c r="E902" t="s">
        <v>31</v>
      </c>
      <c r="F902" t="s">
        <v>80</v>
      </c>
      <c r="G902" s="1">
        <v>45303</v>
      </c>
      <c r="H902" s="1">
        <v>45309</v>
      </c>
      <c r="I902" s="2">
        <f>Table3[[#This Row],[Discharge_Date]]-Table3[[#This Row],[Admission_Date]]</f>
        <v>6</v>
      </c>
      <c r="J902">
        <v>271</v>
      </c>
      <c r="K902" t="s">
        <v>33</v>
      </c>
      <c r="L902" t="s">
        <v>26</v>
      </c>
      <c r="M902">
        <f>IF(Table3[[#This Row],[Treatment_Success]]="Yes",1,0)</f>
        <v>0</v>
      </c>
      <c r="N902">
        <v>72417</v>
      </c>
    </row>
    <row r="903" spans="1:14" x14ac:dyDescent="0.35">
      <c r="A903" t="s">
        <v>950</v>
      </c>
      <c r="B903">
        <v>13</v>
      </c>
      <c r="C903" t="str">
        <f>_xlfn.IFS(Table3[[#This Row],[Age]]&lt;=10, "Child",Table3[[#This Row],[Age]]&lt;18, "Teenger", Table3[[#This Row],[Age]]&lt;30, "Middle Age", Table3[[#This Row],[Age]]&lt; 60,"Adult",Table3[[#This Row],[Age]],"Senior Citizen")</f>
        <v>Teenger</v>
      </c>
      <c r="D903" t="s">
        <v>18</v>
      </c>
      <c r="E903" t="s">
        <v>38</v>
      </c>
      <c r="F903" t="s">
        <v>106</v>
      </c>
      <c r="G903" s="1">
        <v>45338</v>
      </c>
      <c r="H903" s="1">
        <v>45340</v>
      </c>
      <c r="I903" s="2">
        <f>Table3[[#This Row],[Discharge_Date]]-Table3[[#This Row],[Admission_Date]]</f>
        <v>2</v>
      </c>
      <c r="J903">
        <v>94</v>
      </c>
      <c r="K903" t="s">
        <v>33</v>
      </c>
      <c r="L903" t="s">
        <v>16</v>
      </c>
      <c r="M903">
        <f>IF(Table3[[#This Row],[Treatment_Success]]="Yes",1,0)</f>
        <v>1</v>
      </c>
      <c r="N903">
        <v>45429</v>
      </c>
    </row>
    <row r="904" spans="1:14" x14ac:dyDescent="0.35">
      <c r="A904" t="s">
        <v>951</v>
      </c>
      <c r="B904">
        <v>87</v>
      </c>
      <c r="C904" t="str">
        <f>_xlfn.IFS(Table3[[#This Row],[Age]]&lt;=10, "Child",Table3[[#This Row],[Age]]&lt;18, "Teenger", Table3[[#This Row],[Age]]&lt;30, "Middle Age", Table3[[#This Row],[Age]]&lt; 60,"Adult",Table3[[#This Row],[Age]],"Senior Citizen")</f>
        <v>Senior Citizen</v>
      </c>
      <c r="D904" t="s">
        <v>18</v>
      </c>
      <c r="E904" t="s">
        <v>24</v>
      </c>
      <c r="F904" t="s">
        <v>35</v>
      </c>
      <c r="G904" s="1">
        <v>45449</v>
      </c>
      <c r="H904" s="1">
        <v>45456</v>
      </c>
      <c r="I904" s="2">
        <f>Table3[[#This Row],[Discharge_Date]]-Table3[[#This Row],[Admission_Date]]</f>
        <v>7</v>
      </c>
      <c r="J904">
        <v>167</v>
      </c>
      <c r="K904" t="s">
        <v>36</v>
      </c>
      <c r="L904" t="s">
        <v>16</v>
      </c>
      <c r="M904">
        <f>IF(Table3[[#This Row],[Treatment_Success]]="Yes",1,0)</f>
        <v>1</v>
      </c>
      <c r="N904">
        <v>191987</v>
      </c>
    </row>
    <row r="905" spans="1:14" x14ac:dyDescent="0.35">
      <c r="A905" t="s">
        <v>952</v>
      </c>
      <c r="B905">
        <v>50</v>
      </c>
      <c r="C905" t="str">
        <f>_xlfn.IFS(Table3[[#This Row],[Age]]&lt;=10, "Child",Table3[[#This Row],[Age]]&lt;18, "Teenger", Table3[[#This Row],[Age]]&lt;30, "Middle Age", Table3[[#This Row],[Age]]&lt; 60,"Adult",Table3[[#This Row],[Age]],"Senior Citizen")</f>
        <v>Adult</v>
      </c>
      <c r="D905" t="s">
        <v>18</v>
      </c>
      <c r="E905" t="s">
        <v>38</v>
      </c>
      <c r="F905" t="s">
        <v>106</v>
      </c>
      <c r="G905" s="1">
        <v>45321</v>
      </c>
      <c r="H905" s="1">
        <v>45326</v>
      </c>
      <c r="I905" s="2">
        <f>Table3[[#This Row],[Discharge_Date]]-Table3[[#This Row],[Admission_Date]]</f>
        <v>5</v>
      </c>
      <c r="J905">
        <v>212</v>
      </c>
      <c r="K905" t="s">
        <v>33</v>
      </c>
      <c r="L905" t="s">
        <v>16</v>
      </c>
      <c r="M905">
        <f>IF(Table3[[#This Row],[Treatment_Success]]="Yes",1,0)</f>
        <v>1</v>
      </c>
      <c r="N905">
        <v>103438</v>
      </c>
    </row>
    <row r="906" spans="1:14" x14ac:dyDescent="0.35">
      <c r="A906" t="s">
        <v>953</v>
      </c>
      <c r="B906">
        <v>26</v>
      </c>
      <c r="C906" t="str">
        <f>_xlfn.IFS(Table3[[#This Row],[Age]]&lt;=10, "Child",Table3[[#This Row],[Age]]&lt;18, "Teenger", Table3[[#This Row],[Age]]&lt;30, "Middle Age", Table3[[#This Row],[Age]]&lt; 60,"Adult",Table3[[#This Row],[Age]],"Senior Citizen")</f>
        <v>Middle Age</v>
      </c>
      <c r="D906" t="s">
        <v>18</v>
      </c>
      <c r="E906" t="s">
        <v>28</v>
      </c>
      <c r="F906" t="s">
        <v>58</v>
      </c>
      <c r="G906" s="1">
        <v>45353</v>
      </c>
      <c r="H906" s="1">
        <v>45354</v>
      </c>
      <c r="I906" s="2">
        <f>Table3[[#This Row],[Discharge_Date]]-Table3[[#This Row],[Admission_Date]]</f>
        <v>1</v>
      </c>
      <c r="J906">
        <v>122</v>
      </c>
      <c r="K906" t="s">
        <v>46</v>
      </c>
      <c r="L906" t="s">
        <v>26</v>
      </c>
      <c r="M906">
        <f>IF(Table3[[#This Row],[Treatment_Success]]="Yes",1,0)</f>
        <v>0</v>
      </c>
      <c r="N906">
        <v>35167</v>
      </c>
    </row>
    <row r="907" spans="1:14" x14ac:dyDescent="0.35">
      <c r="A907" t="s">
        <v>954</v>
      </c>
      <c r="B907">
        <v>41</v>
      </c>
      <c r="C907" t="str">
        <f>_xlfn.IFS(Table3[[#This Row],[Age]]&lt;=10, "Child",Table3[[#This Row],[Age]]&lt;18, "Teenger", Table3[[#This Row],[Age]]&lt;30, "Middle Age", Table3[[#This Row],[Age]]&lt; 60,"Adult",Table3[[#This Row],[Age]],"Senior Citizen")</f>
        <v>Adult</v>
      </c>
      <c r="D907" t="s">
        <v>12</v>
      </c>
      <c r="E907" t="s">
        <v>28</v>
      </c>
      <c r="F907" t="s">
        <v>93</v>
      </c>
      <c r="G907" s="1">
        <v>45429</v>
      </c>
      <c r="H907" s="1">
        <v>45430</v>
      </c>
      <c r="I907" s="2">
        <f>Table3[[#This Row],[Discharge_Date]]-Table3[[#This Row],[Admission_Date]]</f>
        <v>1</v>
      </c>
      <c r="J907">
        <v>34</v>
      </c>
      <c r="K907" t="s">
        <v>46</v>
      </c>
      <c r="L907" t="s">
        <v>16</v>
      </c>
      <c r="M907">
        <f>IF(Table3[[#This Row],[Treatment_Success]]="Yes",1,0)</f>
        <v>1</v>
      </c>
      <c r="N907">
        <v>111822</v>
      </c>
    </row>
    <row r="908" spans="1:14" x14ac:dyDescent="0.35">
      <c r="A908" t="s">
        <v>955</v>
      </c>
      <c r="B908">
        <v>3</v>
      </c>
      <c r="C908" t="str">
        <f>_xlfn.IFS(Table3[[#This Row],[Age]]&lt;=10, "Child",Table3[[#This Row],[Age]]&lt;18, "Teenger", Table3[[#This Row],[Age]]&lt;30, "Middle Age", Table3[[#This Row],[Age]]&lt; 60,"Adult",Table3[[#This Row],[Age]],"Senior Citizen")</f>
        <v>Child</v>
      </c>
      <c r="D908" t="s">
        <v>12</v>
      </c>
      <c r="E908" t="s">
        <v>28</v>
      </c>
      <c r="F908" t="s">
        <v>58</v>
      </c>
      <c r="G908" s="1">
        <v>45616</v>
      </c>
      <c r="H908" s="1">
        <v>45620</v>
      </c>
      <c r="I908" s="2">
        <f>Table3[[#This Row],[Discharge_Date]]-Table3[[#This Row],[Admission_Date]]</f>
        <v>4</v>
      </c>
      <c r="J908">
        <v>52</v>
      </c>
      <c r="K908" t="s">
        <v>36</v>
      </c>
      <c r="L908" t="s">
        <v>16</v>
      </c>
      <c r="M908">
        <f>IF(Table3[[#This Row],[Treatment_Success]]="Yes",1,0)</f>
        <v>1</v>
      </c>
      <c r="N908">
        <v>84852</v>
      </c>
    </row>
    <row r="909" spans="1:14" x14ac:dyDescent="0.35">
      <c r="A909" t="s">
        <v>956</v>
      </c>
      <c r="B909">
        <v>58</v>
      </c>
      <c r="C909" t="str">
        <f>_xlfn.IFS(Table3[[#This Row],[Age]]&lt;=10, "Child",Table3[[#This Row],[Age]]&lt;18, "Teenger", Table3[[#This Row],[Age]]&lt;30, "Middle Age", Table3[[#This Row],[Age]]&lt; 60,"Adult",Table3[[#This Row],[Age]],"Senior Citizen")</f>
        <v>Adult</v>
      </c>
      <c r="D909" t="s">
        <v>18</v>
      </c>
      <c r="E909" t="s">
        <v>28</v>
      </c>
      <c r="F909" t="s">
        <v>29</v>
      </c>
      <c r="G909" s="1">
        <v>45582</v>
      </c>
      <c r="H909" s="1">
        <v>45589</v>
      </c>
      <c r="I909" s="2">
        <f>Table3[[#This Row],[Discharge_Date]]-Table3[[#This Row],[Admission_Date]]</f>
        <v>7</v>
      </c>
      <c r="J909">
        <v>73</v>
      </c>
      <c r="K909" t="s">
        <v>33</v>
      </c>
      <c r="L909" t="s">
        <v>16</v>
      </c>
      <c r="M909">
        <f>IF(Table3[[#This Row],[Treatment_Success]]="Yes",1,0)</f>
        <v>1</v>
      </c>
      <c r="N909">
        <v>69267</v>
      </c>
    </row>
    <row r="910" spans="1:14" x14ac:dyDescent="0.35">
      <c r="A910" t="s">
        <v>957</v>
      </c>
      <c r="B910">
        <v>72</v>
      </c>
      <c r="C910" t="str">
        <f>_xlfn.IFS(Table3[[#This Row],[Age]]&lt;=10, "Child",Table3[[#This Row],[Age]]&lt;18, "Teenger", Table3[[#This Row],[Age]]&lt;30, "Middle Age", Table3[[#This Row],[Age]]&lt; 60,"Adult",Table3[[#This Row],[Age]],"Senior Citizen")</f>
        <v>Senior Citizen</v>
      </c>
      <c r="D910" t="s">
        <v>12</v>
      </c>
      <c r="E910" t="s">
        <v>24</v>
      </c>
      <c r="F910" t="s">
        <v>80</v>
      </c>
      <c r="G910" s="1">
        <v>45567</v>
      </c>
      <c r="H910" s="1">
        <v>45574</v>
      </c>
      <c r="I910" s="2">
        <f>Table3[[#This Row],[Discharge_Date]]-Table3[[#This Row],[Admission_Date]]</f>
        <v>7</v>
      </c>
      <c r="J910">
        <v>238</v>
      </c>
      <c r="K910" t="s">
        <v>33</v>
      </c>
      <c r="L910" t="s">
        <v>16</v>
      </c>
      <c r="M910">
        <f>IF(Table3[[#This Row],[Treatment_Success]]="Yes",1,0)</f>
        <v>1</v>
      </c>
      <c r="N910">
        <v>5142</v>
      </c>
    </row>
    <row r="911" spans="1:14" x14ac:dyDescent="0.35">
      <c r="A911" t="s">
        <v>958</v>
      </c>
      <c r="B911">
        <v>62</v>
      </c>
      <c r="C911" t="str">
        <f>_xlfn.IFS(Table3[[#This Row],[Age]]&lt;=10, "Child",Table3[[#This Row],[Age]]&lt;18, "Teenger", Table3[[#This Row],[Age]]&lt;30, "Middle Age", Table3[[#This Row],[Age]]&lt; 60,"Adult",Table3[[#This Row],[Age]],"Senior Citizen")</f>
        <v>Senior Citizen</v>
      </c>
      <c r="D911" t="s">
        <v>12</v>
      </c>
      <c r="E911" t="s">
        <v>28</v>
      </c>
      <c r="F911" t="s">
        <v>32</v>
      </c>
      <c r="G911" s="1">
        <v>45322</v>
      </c>
      <c r="H911" s="1">
        <v>45337</v>
      </c>
      <c r="I911" s="2">
        <f>Table3[[#This Row],[Discharge_Date]]-Table3[[#This Row],[Admission_Date]]</f>
        <v>15</v>
      </c>
      <c r="J911">
        <v>195</v>
      </c>
      <c r="K911" t="s">
        <v>33</v>
      </c>
      <c r="L911" t="s">
        <v>16</v>
      </c>
      <c r="M911">
        <f>IF(Table3[[#This Row],[Treatment_Success]]="Yes",1,0)</f>
        <v>1</v>
      </c>
      <c r="N911">
        <v>158395</v>
      </c>
    </row>
    <row r="912" spans="1:14" x14ac:dyDescent="0.35">
      <c r="A912" t="s">
        <v>959</v>
      </c>
      <c r="B912">
        <v>6</v>
      </c>
      <c r="C912" t="str">
        <f>_xlfn.IFS(Table3[[#This Row],[Age]]&lt;=10, "Child",Table3[[#This Row],[Age]]&lt;18, "Teenger", Table3[[#This Row],[Age]]&lt;30, "Middle Age", Table3[[#This Row],[Age]]&lt; 60,"Adult",Table3[[#This Row],[Age]],"Senior Citizen")</f>
        <v>Child</v>
      </c>
      <c r="D912" t="s">
        <v>18</v>
      </c>
      <c r="E912" t="s">
        <v>28</v>
      </c>
      <c r="F912" t="s">
        <v>58</v>
      </c>
      <c r="G912" s="1">
        <v>45553</v>
      </c>
      <c r="H912" s="1">
        <v>45558</v>
      </c>
      <c r="I912" s="2">
        <f>Table3[[#This Row],[Discharge_Date]]-Table3[[#This Row],[Admission_Date]]</f>
        <v>5</v>
      </c>
      <c r="J912">
        <v>36</v>
      </c>
      <c r="K912" t="s">
        <v>33</v>
      </c>
      <c r="L912" t="s">
        <v>16</v>
      </c>
      <c r="M912">
        <f>IF(Table3[[#This Row],[Treatment_Success]]="Yes",1,0)</f>
        <v>1</v>
      </c>
      <c r="N912">
        <v>108626</v>
      </c>
    </row>
    <row r="913" spans="1:14" x14ac:dyDescent="0.35">
      <c r="A913" t="s">
        <v>960</v>
      </c>
      <c r="B913">
        <v>18</v>
      </c>
      <c r="C913" t="str">
        <f>_xlfn.IFS(Table3[[#This Row],[Age]]&lt;=10, "Child",Table3[[#This Row],[Age]]&lt;18, "Teenger", Table3[[#This Row],[Age]]&lt;30, "Middle Age", Table3[[#This Row],[Age]]&lt; 60,"Adult",Table3[[#This Row],[Age]],"Senior Citizen")</f>
        <v>Middle Age</v>
      </c>
      <c r="D913" t="s">
        <v>12</v>
      </c>
      <c r="E913" t="s">
        <v>31</v>
      </c>
      <c r="F913" t="s">
        <v>29</v>
      </c>
      <c r="G913" s="1">
        <v>45649</v>
      </c>
      <c r="H913" s="1">
        <v>45651</v>
      </c>
      <c r="I913" s="2">
        <f>Table3[[#This Row],[Discharge_Date]]-Table3[[#This Row],[Admission_Date]]</f>
        <v>2</v>
      </c>
      <c r="J913">
        <v>259</v>
      </c>
      <c r="K913" t="s">
        <v>33</v>
      </c>
      <c r="L913" t="s">
        <v>16</v>
      </c>
      <c r="M913">
        <f>IF(Table3[[#This Row],[Treatment_Success]]="Yes",1,0)</f>
        <v>1</v>
      </c>
      <c r="N913">
        <v>171505</v>
      </c>
    </row>
    <row r="914" spans="1:14" x14ac:dyDescent="0.35">
      <c r="A914" t="s">
        <v>961</v>
      </c>
      <c r="B914">
        <v>58</v>
      </c>
      <c r="C914" t="str">
        <f>_xlfn.IFS(Table3[[#This Row],[Age]]&lt;=10, "Child",Table3[[#This Row],[Age]]&lt;18, "Teenger", Table3[[#This Row],[Age]]&lt;30, "Middle Age", Table3[[#This Row],[Age]]&lt; 60,"Adult",Table3[[#This Row],[Age]],"Senior Citizen")</f>
        <v>Adult</v>
      </c>
      <c r="D914" t="s">
        <v>12</v>
      </c>
      <c r="E914" t="s">
        <v>13</v>
      </c>
      <c r="F914" t="s">
        <v>54</v>
      </c>
      <c r="G914" s="1">
        <v>45425</v>
      </c>
      <c r="H914" s="1">
        <v>45438</v>
      </c>
      <c r="I914" s="2">
        <f>Table3[[#This Row],[Discharge_Date]]-Table3[[#This Row],[Admission_Date]]</f>
        <v>13</v>
      </c>
      <c r="J914">
        <v>165</v>
      </c>
      <c r="K914" t="s">
        <v>33</v>
      </c>
      <c r="L914" t="s">
        <v>16</v>
      </c>
      <c r="M914">
        <f>IF(Table3[[#This Row],[Treatment_Success]]="Yes",1,0)</f>
        <v>1</v>
      </c>
      <c r="N914">
        <v>125533</v>
      </c>
    </row>
    <row r="915" spans="1:14" x14ac:dyDescent="0.35">
      <c r="A915" t="s">
        <v>962</v>
      </c>
      <c r="B915">
        <v>3</v>
      </c>
      <c r="C915" t="str">
        <f>_xlfn.IFS(Table3[[#This Row],[Age]]&lt;=10, "Child",Table3[[#This Row],[Age]]&lt;18, "Teenger", Table3[[#This Row],[Age]]&lt;30, "Middle Age", Table3[[#This Row],[Age]]&lt; 60,"Adult",Table3[[#This Row],[Age]],"Senior Citizen")</f>
        <v>Child</v>
      </c>
      <c r="D915" t="s">
        <v>18</v>
      </c>
      <c r="E915" t="s">
        <v>24</v>
      </c>
      <c r="F915" t="s">
        <v>35</v>
      </c>
      <c r="G915" s="1">
        <v>45598</v>
      </c>
      <c r="H915" s="1">
        <v>45604</v>
      </c>
      <c r="I915" s="2">
        <f>Table3[[#This Row],[Discharge_Date]]-Table3[[#This Row],[Admission_Date]]</f>
        <v>6</v>
      </c>
      <c r="J915">
        <v>244</v>
      </c>
      <c r="K915" t="s">
        <v>15</v>
      </c>
      <c r="L915" t="s">
        <v>16</v>
      </c>
      <c r="M915">
        <f>IF(Table3[[#This Row],[Treatment_Success]]="Yes",1,0)</f>
        <v>1</v>
      </c>
      <c r="N915">
        <v>181345</v>
      </c>
    </row>
    <row r="916" spans="1:14" x14ac:dyDescent="0.35">
      <c r="A916" t="s">
        <v>963</v>
      </c>
      <c r="B916">
        <v>72</v>
      </c>
      <c r="C916" t="str">
        <f>_xlfn.IFS(Table3[[#This Row],[Age]]&lt;=10, "Child",Table3[[#This Row],[Age]]&lt;18, "Teenger", Table3[[#This Row],[Age]]&lt;30, "Middle Age", Table3[[#This Row],[Age]]&lt; 60,"Adult",Table3[[#This Row],[Age]],"Senior Citizen")</f>
        <v>Senior Citizen</v>
      </c>
      <c r="D916" t="s">
        <v>12</v>
      </c>
      <c r="E916" t="s">
        <v>31</v>
      </c>
      <c r="F916" t="s">
        <v>61</v>
      </c>
      <c r="G916" s="1">
        <v>45380</v>
      </c>
      <c r="H916" s="1">
        <v>45387</v>
      </c>
      <c r="I916" s="2">
        <f>Table3[[#This Row],[Discharge_Date]]-Table3[[#This Row],[Admission_Date]]</f>
        <v>7</v>
      </c>
      <c r="J916">
        <v>42</v>
      </c>
      <c r="K916" t="s">
        <v>15</v>
      </c>
      <c r="L916" t="s">
        <v>16</v>
      </c>
      <c r="M916">
        <f>IF(Table3[[#This Row],[Treatment_Success]]="Yes",1,0)</f>
        <v>1</v>
      </c>
      <c r="N916">
        <v>181059</v>
      </c>
    </row>
    <row r="917" spans="1:14" x14ac:dyDescent="0.35">
      <c r="A917" t="s">
        <v>964</v>
      </c>
      <c r="B917">
        <v>16</v>
      </c>
      <c r="C917" t="str">
        <f>_xlfn.IFS(Table3[[#This Row],[Age]]&lt;=10, "Child",Table3[[#This Row],[Age]]&lt;18, "Teenger", Table3[[#This Row],[Age]]&lt;30, "Middle Age", Table3[[#This Row],[Age]]&lt; 60,"Adult",Table3[[#This Row],[Age]],"Senior Citizen")</f>
        <v>Teenger</v>
      </c>
      <c r="D917" t="s">
        <v>12</v>
      </c>
      <c r="E917" t="s">
        <v>31</v>
      </c>
      <c r="F917" t="s">
        <v>35</v>
      </c>
      <c r="G917" s="1">
        <v>45519</v>
      </c>
      <c r="H917" s="1">
        <v>45530</v>
      </c>
      <c r="I917" s="2">
        <f>Table3[[#This Row],[Discharge_Date]]-Table3[[#This Row],[Admission_Date]]</f>
        <v>11</v>
      </c>
      <c r="J917">
        <v>184</v>
      </c>
      <c r="K917" t="s">
        <v>46</v>
      </c>
      <c r="L917" t="s">
        <v>16</v>
      </c>
      <c r="M917">
        <f>IF(Table3[[#This Row],[Treatment_Success]]="Yes",1,0)</f>
        <v>1</v>
      </c>
      <c r="N917">
        <v>187722</v>
      </c>
    </row>
    <row r="918" spans="1:14" x14ac:dyDescent="0.35">
      <c r="A918" t="s">
        <v>965</v>
      </c>
      <c r="B918">
        <v>60</v>
      </c>
      <c r="C918" t="str">
        <f>_xlfn.IFS(Table3[[#This Row],[Age]]&lt;=10, "Child",Table3[[#This Row],[Age]]&lt;18, "Teenger", Table3[[#This Row],[Age]]&lt;30, "Middle Age", Table3[[#This Row],[Age]]&lt; 60,"Adult",Table3[[#This Row],[Age]],"Senior Citizen")</f>
        <v>Senior Citizen</v>
      </c>
      <c r="D918" t="s">
        <v>12</v>
      </c>
      <c r="E918" t="s">
        <v>13</v>
      </c>
      <c r="F918" t="s">
        <v>20</v>
      </c>
      <c r="G918" s="1">
        <v>45296</v>
      </c>
      <c r="H918" s="1">
        <v>45298</v>
      </c>
      <c r="I918" s="2">
        <f>Table3[[#This Row],[Discharge_Date]]-Table3[[#This Row],[Admission_Date]]</f>
        <v>2</v>
      </c>
      <c r="J918">
        <v>5</v>
      </c>
      <c r="K918" t="s">
        <v>36</v>
      </c>
      <c r="L918" t="s">
        <v>16</v>
      </c>
      <c r="M918">
        <f>IF(Table3[[#This Row],[Treatment_Success]]="Yes",1,0)</f>
        <v>1</v>
      </c>
      <c r="N918">
        <v>78697</v>
      </c>
    </row>
    <row r="919" spans="1:14" x14ac:dyDescent="0.35">
      <c r="A919" t="s">
        <v>966</v>
      </c>
      <c r="B919">
        <v>46</v>
      </c>
      <c r="C919" t="str">
        <f>_xlfn.IFS(Table3[[#This Row],[Age]]&lt;=10, "Child",Table3[[#This Row],[Age]]&lt;18, "Teenger", Table3[[#This Row],[Age]]&lt;30, "Middle Age", Table3[[#This Row],[Age]]&lt; 60,"Adult",Table3[[#This Row],[Age]],"Senior Citizen")</f>
        <v>Adult</v>
      </c>
      <c r="D919" t="s">
        <v>18</v>
      </c>
      <c r="E919" t="s">
        <v>24</v>
      </c>
      <c r="F919" t="s">
        <v>35</v>
      </c>
      <c r="G919" s="1">
        <v>45640</v>
      </c>
      <c r="H919" s="1">
        <v>45655</v>
      </c>
      <c r="I919" s="2">
        <f>Table3[[#This Row],[Discharge_Date]]-Table3[[#This Row],[Admission_Date]]</f>
        <v>15</v>
      </c>
      <c r="J919">
        <v>156</v>
      </c>
      <c r="K919" t="s">
        <v>36</v>
      </c>
      <c r="L919" t="s">
        <v>16</v>
      </c>
      <c r="M919">
        <f>IF(Table3[[#This Row],[Treatment_Success]]="Yes",1,0)</f>
        <v>1</v>
      </c>
      <c r="N919">
        <v>134448</v>
      </c>
    </row>
    <row r="920" spans="1:14" x14ac:dyDescent="0.35">
      <c r="A920" t="s">
        <v>967</v>
      </c>
      <c r="B920">
        <v>36</v>
      </c>
      <c r="C920" t="str">
        <f>_xlfn.IFS(Table3[[#This Row],[Age]]&lt;=10, "Child",Table3[[#This Row],[Age]]&lt;18, "Teenger", Table3[[#This Row],[Age]]&lt;30, "Middle Age", Table3[[#This Row],[Age]]&lt; 60,"Adult",Table3[[#This Row],[Age]],"Senior Citizen")</f>
        <v>Adult</v>
      </c>
      <c r="D920" t="s">
        <v>12</v>
      </c>
      <c r="E920" t="s">
        <v>28</v>
      </c>
      <c r="F920" t="s">
        <v>29</v>
      </c>
      <c r="G920" s="1">
        <v>45477</v>
      </c>
      <c r="H920" s="1">
        <v>45478</v>
      </c>
      <c r="I920" s="2">
        <f>Table3[[#This Row],[Discharge_Date]]-Table3[[#This Row],[Admission_Date]]</f>
        <v>1</v>
      </c>
      <c r="J920">
        <v>4</v>
      </c>
      <c r="K920" t="s">
        <v>36</v>
      </c>
      <c r="L920" t="s">
        <v>26</v>
      </c>
      <c r="M920">
        <f>IF(Table3[[#This Row],[Treatment_Success]]="Yes",1,0)</f>
        <v>0</v>
      </c>
      <c r="N920">
        <v>34083</v>
      </c>
    </row>
    <row r="921" spans="1:14" x14ac:dyDescent="0.35">
      <c r="A921" t="s">
        <v>968</v>
      </c>
      <c r="B921">
        <v>65</v>
      </c>
      <c r="C921" t="str">
        <f>_xlfn.IFS(Table3[[#This Row],[Age]]&lt;=10, "Child",Table3[[#This Row],[Age]]&lt;18, "Teenger", Table3[[#This Row],[Age]]&lt;30, "Middle Age", Table3[[#This Row],[Age]]&lt; 60,"Adult",Table3[[#This Row],[Age]],"Senior Citizen")</f>
        <v>Senior Citizen</v>
      </c>
      <c r="D921" t="s">
        <v>12</v>
      </c>
      <c r="E921" t="s">
        <v>13</v>
      </c>
      <c r="F921" t="s">
        <v>61</v>
      </c>
      <c r="G921" s="1">
        <v>45434</v>
      </c>
      <c r="H921" s="1">
        <v>45444</v>
      </c>
      <c r="I921" s="2">
        <f>Table3[[#This Row],[Discharge_Date]]-Table3[[#This Row],[Admission_Date]]</f>
        <v>10</v>
      </c>
      <c r="J921">
        <v>100</v>
      </c>
      <c r="K921" t="s">
        <v>36</v>
      </c>
      <c r="L921" t="s">
        <v>16</v>
      </c>
      <c r="M921">
        <f>IF(Table3[[#This Row],[Treatment_Success]]="Yes",1,0)</f>
        <v>1</v>
      </c>
      <c r="N921">
        <v>159183</v>
      </c>
    </row>
    <row r="922" spans="1:14" x14ac:dyDescent="0.35">
      <c r="A922" t="s">
        <v>969</v>
      </c>
      <c r="B922">
        <v>9</v>
      </c>
      <c r="C922" t="str">
        <f>_xlfn.IFS(Table3[[#This Row],[Age]]&lt;=10, "Child",Table3[[#This Row],[Age]]&lt;18, "Teenger", Table3[[#This Row],[Age]]&lt;30, "Middle Age", Table3[[#This Row],[Age]]&lt; 60,"Adult",Table3[[#This Row],[Age]],"Senior Citizen")</f>
        <v>Child</v>
      </c>
      <c r="D922" t="s">
        <v>18</v>
      </c>
      <c r="E922" t="s">
        <v>38</v>
      </c>
      <c r="F922" t="s">
        <v>58</v>
      </c>
      <c r="G922" s="1">
        <v>45357</v>
      </c>
      <c r="H922" s="1">
        <v>45369</v>
      </c>
      <c r="I922" s="2">
        <f>Table3[[#This Row],[Discharge_Date]]-Table3[[#This Row],[Admission_Date]]</f>
        <v>12</v>
      </c>
      <c r="J922">
        <v>117</v>
      </c>
      <c r="K922" t="s">
        <v>33</v>
      </c>
      <c r="L922" t="s">
        <v>16</v>
      </c>
      <c r="M922">
        <f>IF(Table3[[#This Row],[Treatment_Success]]="Yes",1,0)</f>
        <v>1</v>
      </c>
      <c r="N922">
        <v>182728</v>
      </c>
    </row>
    <row r="923" spans="1:14" x14ac:dyDescent="0.35">
      <c r="A923" t="s">
        <v>970</v>
      </c>
      <c r="B923">
        <v>87</v>
      </c>
      <c r="C923" t="str">
        <f>_xlfn.IFS(Table3[[#This Row],[Age]]&lt;=10, "Child",Table3[[#This Row],[Age]]&lt;18, "Teenger", Table3[[#This Row],[Age]]&lt;30, "Middle Age", Table3[[#This Row],[Age]]&lt; 60,"Adult",Table3[[#This Row],[Age]],"Senior Citizen")</f>
        <v>Senior Citizen</v>
      </c>
      <c r="D923" t="s">
        <v>12</v>
      </c>
      <c r="E923" t="s">
        <v>28</v>
      </c>
      <c r="F923" t="s">
        <v>20</v>
      </c>
      <c r="G923" s="1">
        <v>45303</v>
      </c>
      <c r="H923" s="1">
        <v>45315</v>
      </c>
      <c r="I923" s="2">
        <f>Table3[[#This Row],[Discharge_Date]]-Table3[[#This Row],[Admission_Date]]</f>
        <v>12</v>
      </c>
      <c r="J923">
        <v>2</v>
      </c>
      <c r="K923" t="s">
        <v>46</v>
      </c>
      <c r="L923" t="s">
        <v>16</v>
      </c>
      <c r="M923">
        <f>IF(Table3[[#This Row],[Treatment_Success]]="Yes",1,0)</f>
        <v>1</v>
      </c>
      <c r="N923">
        <v>89672</v>
      </c>
    </row>
    <row r="924" spans="1:14" x14ac:dyDescent="0.35">
      <c r="A924" t="s">
        <v>971</v>
      </c>
      <c r="B924">
        <v>53</v>
      </c>
      <c r="C924" t="str">
        <f>_xlfn.IFS(Table3[[#This Row],[Age]]&lt;=10, "Child",Table3[[#This Row],[Age]]&lt;18, "Teenger", Table3[[#This Row],[Age]]&lt;30, "Middle Age", Table3[[#This Row],[Age]]&lt; 60,"Adult",Table3[[#This Row],[Age]],"Senior Citizen")</f>
        <v>Adult</v>
      </c>
      <c r="D924" t="s">
        <v>12</v>
      </c>
      <c r="E924" t="s">
        <v>24</v>
      </c>
      <c r="F924" t="s">
        <v>54</v>
      </c>
      <c r="G924" s="1">
        <v>45513</v>
      </c>
      <c r="H924" s="1">
        <v>45527</v>
      </c>
      <c r="I924" s="2">
        <f>Table3[[#This Row],[Discharge_Date]]-Table3[[#This Row],[Admission_Date]]</f>
        <v>14</v>
      </c>
      <c r="J924">
        <v>266</v>
      </c>
      <c r="K924" t="s">
        <v>46</v>
      </c>
      <c r="L924" t="s">
        <v>26</v>
      </c>
      <c r="M924">
        <f>IF(Table3[[#This Row],[Treatment_Success]]="Yes",1,0)</f>
        <v>0</v>
      </c>
      <c r="N924">
        <v>99757</v>
      </c>
    </row>
    <row r="925" spans="1:14" x14ac:dyDescent="0.35">
      <c r="A925" t="s">
        <v>972</v>
      </c>
      <c r="B925">
        <v>6</v>
      </c>
      <c r="C925" t="str">
        <f>_xlfn.IFS(Table3[[#This Row],[Age]]&lt;=10, "Child",Table3[[#This Row],[Age]]&lt;18, "Teenger", Table3[[#This Row],[Age]]&lt;30, "Middle Age", Table3[[#This Row],[Age]]&lt; 60,"Adult",Table3[[#This Row],[Age]],"Senior Citizen")</f>
        <v>Child</v>
      </c>
      <c r="D925" t="s">
        <v>18</v>
      </c>
      <c r="E925" t="s">
        <v>24</v>
      </c>
      <c r="F925" t="s">
        <v>32</v>
      </c>
      <c r="G925" s="1">
        <v>45556</v>
      </c>
      <c r="H925" s="1">
        <v>45569</v>
      </c>
      <c r="I925" s="2">
        <f>Table3[[#This Row],[Discharge_Date]]-Table3[[#This Row],[Admission_Date]]</f>
        <v>13</v>
      </c>
      <c r="J925">
        <v>216</v>
      </c>
      <c r="K925" t="s">
        <v>46</v>
      </c>
      <c r="L925" t="s">
        <v>16</v>
      </c>
      <c r="M925">
        <f>IF(Table3[[#This Row],[Treatment_Success]]="Yes",1,0)</f>
        <v>1</v>
      </c>
      <c r="N925">
        <v>6352</v>
      </c>
    </row>
    <row r="926" spans="1:14" x14ac:dyDescent="0.35">
      <c r="A926" t="s">
        <v>973</v>
      </c>
      <c r="B926">
        <v>43</v>
      </c>
      <c r="C926" t="str">
        <f>_xlfn.IFS(Table3[[#This Row],[Age]]&lt;=10, "Child",Table3[[#This Row],[Age]]&lt;18, "Teenger", Table3[[#This Row],[Age]]&lt;30, "Middle Age", Table3[[#This Row],[Age]]&lt; 60,"Adult",Table3[[#This Row],[Age]],"Senior Citizen")</f>
        <v>Adult</v>
      </c>
      <c r="D926" t="s">
        <v>18</v>
      </c>
      <c r="E926" t="s">
        <v>28</v>
      </c>
      <c r="F926" t="s">
        <v>80</v>
      </c>
      <c r="G926" s="1">
        <v>45492</v>
      </c>
      <c r="H926" s="1">
        <v>45496</v>
      </c>
      <c r="I926" s="2">
        <f>Table3[[#This Row],[Discharge_Date]]-Table3[[#This Row],[Admission_Date]]</f>
        <v>4</v>
      </c>
      <c r="J926">
        <v>116</v>
      </c>
      <c r="K926" t="s">
        <v>46</v>
      </c>
      <c r="L926" t="s">
        <v>16</v>
      </c>
      <c r="M926">
        <f>IF(Table3[[#This Row],[Treatment_Success]]="Yes",1,0)</f>
        <v>1</v>
      </c>
      <c r="N926">
        <v>70531</v>
      </c>
    </row>
    <row r="927" spans="1:14" x14ac:dyDescent="0.35">
      <c r="A927" t="s">
        <v>974</v>
      </c>
      <c r="B927">
        <v>43</v>
      </c>
      <c r="C927" t="str">
        <f>_xlfn.IFS(Table3[[#This Row],[Age]]&lt;=10, "Child",Table3[[#This Row],[Age]]&lt;18, "Teenger", Table3[[#This Row],[Age]]&lt;30, "Middle Age", Table3[[#This Row],[Age]]&lt; 60,"Adult",Table3[[#This Row],[Age]],"Senior Citizen")</f>
        <v>Adult</v>
      </c>
      <c r="D927" t="s">
        <v>12</v>
      </c>
      <c r="E927" t="s">
        <v>24</v>
      </c>
      <c r="F927" t="s">
        <v>68</v>
      </c>
      <c r="G927" s="1">
        <v>45392</v>
      </c>
      <c r="H927" s="1">
        <v>45395</v>
      </c>
      <c r="I927" s="2">
        <f>Table3[[#This Row],[Discharge_Date]]-Table3[[#This Row],[Admission_Date]]</f>
        <v>3</v>
      </c>
      <c r="J927">
        <v>50</v>
      </c>
      <c r="K927" t="s">
        <v>15</v>
      </c>
      <c r="L927" t="s">
        <v>26</v>
      </c>
      <c r="M927">
        <f>IF(Table3[[#This Row],[Treatment_Success]]="Yes",1,0)</f>
        <v>0</v>
      </c>
      <c r="N927">
        <v>118232</v>
      </c>
    </row>
    <row r="928" spans="1:14" x14ac:dyDescent="0.35">
      <c r="A928" t="s">
        <v>975</v>
      </c>
      <c r="B928">
        <v>81</v>
      </c>
      <c r="C928" t="str">
        <f>_xlfn.IFS(Table3[[#This Row],[Age]]&lt;=10, "Child",Table3[[#This Row],[Age]]&lt;18, "Teenger", Table3[[#This Row],[Age]]&lt;30, "Middle Age", Table3[[#This Row],[Age]]&lt; 60,"Adult",Table3[[#This Row],[Age]],"Senior Citizen")</f>
        <v>Senior Citizen</v>
      </c>
      <c r="D928" t="s">
        <v>12</v>
      </c>
      <c r="E928" t="s">
        <v>38</v>
      </c>
      <c r="F928" t="s">
        <v>14</v>
      </c>
      <c r="G928" s="1">
        <v>45304</v>
      </c>
      <c r="H928" s="1">
        <v>45314</v>
      </c>
      <c r="I928" s="2">
        <f>Table3[[#This Row],[Discharge_Date]]-Table3[[#This Row],[Admission_Date]]</f>
        <v>10</v>
      </c>
      <c r="J928">
        <v>56</v>
      </c>
      <c r="K928" t="s">
        <v>46</v>
      </c>
      <c r="L928" t="s">
        <v>16</v>
      </c>
      <c r="M928">
        <f>IF(Table3[[#This Row],[Treatment_Success]]="Yes",1,0)</f>
        <v>1</v>
      </c>
      <c r="N928">
        <v>94339</v>
      </c>
    </row>
    <row r="929" spans="1:14" x14ac:dyDescent="0.35">
      <c r="A929" t="s">
        <v>976</v>
      </c>
      <c r="B929">
        <v>43</v>
      </c>
      <c r="C929" t="str">
        <f>_xlfn.IFS(Table3[[#This Row],[Age]]&lt;=10, "Child",Table3[[#This Row],[Age]]&lt;18, "Teenger", Table3[[#This Row],[Age]]&lt;30, "Middle Age", Table3[[#This Row],[Age]]&lt; 60,"Adult",Table3[[#This Row],[Age]],"Senior Citizen")</f>
        <v>Adult</v>
      </c>
      <c r="D929" t="s">
        <v>18</v>
      </c>
      <c r="E929" t="s">
        <v>24</v>
      </c>
      <c r="F929" t="s">
        <v>22</v>
      </c>
      <c r="G929" s="1">
        <v>45319</v>
      </c>
      <c r="H929" s="1">
        <v>45333</v>
      </c>
      <c r="I929" s="2">
        <f>Table3[[#This Row],[Discharge_Date]]-Table3[[#This Row],[Admission_Date]]</f>
        <v>14</v>
      </c>
      <c r="J929">
        <v>225</v>
      </c>
      <c r="K929" t="s">
        <v>15</v>
      </c>
      <c r="L929" t="s">
        <v>26</v>
      </c>
      <c r="M929">
        <f>IF(Table3[[#This Row],[Treatment_Success]]="Yes",1,0)</f>
        <v>0</v>
      </c>
      <c r="N929">
        <v>156764</v>
      </c>
    </row>
    <row r="930" spans="1:14" x14ac:dyDescent="0.35">
      <c r="A930" t="s">
        <v>977</v>
      </c>
      <c r="B930">
        <v>8</v>
      </c>
      <c r="C930" t="str">
        <f>_xlfn.IFS(Table3[[#This Row],[Age]]&lt;=10, "Child",Table3[[#This Row],[Age]]&lt;18, "Teenger", Table3[[#This Row],[Age]]&lt;30, "Middle Age", Table3[[#This Row],[Age]]&lt; 60,"Adult",Table3[[#This Row],[Age]],"Senior Citizen")</f>
        <v>Child</v>
      </c>
      <c r="D930" t="s">
        <v>18</v>
      </c>
      <c r="E930" t="s">
        <v>31</v>
      </c>
      <c r="F930" t="s">
        <v>95</v>
      </c>
      <c r="G930" s="1">
        <v>45355</v>
      </c>
      <c r="H930" s="1">
        <v>45357</v>
      </c>
      <c r="I930" s="2">
        <f>Table3[[#This Row],[Discharge_Date]]-Table3[[#This Row],[Admission_Date]]</f>
        <v>2</v>
      </c>
      <c r="J930">
        <v>34</v>
      </c>
      <c r="K930" t="s">
        <v>36</v>
      </c>
      <c r="L930" t="s">
        <v>16</v>
      </c>
      <c r="M930">
        <f>IF(Table3[[#This Row],[Treatment_Success]]="Yes",1,0)</f>
        <v>1</v>
      </c>
      <c r="N930">
        <v>120846</v>
      </c>
    </row>
    <row r="931" spans="1:14" x14ac:dyDescent="0.35">
      <c r="A931" t="s">
        <v>978</v>
      </c>
      <c r="B931">
        <v>79</v>
      </c>
      <c r="C931" t="str">
        <f>_xlfn.IFS(Table3[[#This Row],[Age]]&lt;=10, "Child",Table3[[#This Row],[Age]]&lt;18, "Teenger", Table3[[#This Row],[Age]]&lt;30, "Middle Age", Table3[[#This Row],[Age]]&lt; 60,"Adult",Table3[[#This Row],[Age]],"Senior Citizen")</f>
        <v>Senior Citizen</v>
      </c>
      <c r="D931" t="s">
        <v>12</v>
      </c>
      <c r="E931" t="s">
        <v>24</v>
      </c>
      <c r="F931" t="s">
        <v>90</v>
      </c>
      <c r="G931" s="1">
        <v>45320</v>
      </c>
      <c r="H931" s="1">
        <v>45325</v>
      </c>
      <c r="I931" s="2">
        <f>Table3[[#This Row],[Discharge_Date]]-Table3[[#This Row],[Admission_Date]]</f>
        <v>5</v>
      </c>
      <c r="J931">
        <v>29</v>
      </c>
      <c r="K931" t="s">
        <v>15</v>
      </c>
      <c r="L931" t="s">
        <v>16</v>
      </c>
      <c r="M931">
        <f>IF(Table3[[#This Row],[Treatment_Success]]="Yes",1,0)</f>
        <v>1</v>
      </c>
      <c r="N931">
        <v>104996</v>
      </c>
    </row>
    <row r="932" spans="1:14" x14ac:dyDescent="0.35">
      <c r="A932" t="s">
        <v>979</v>
      </c>
      <c r="B932">
        <v>80</v>
      </c>
      <c r="C932" t="str">
        <f>_xlfn.IFS(Table3[[#This Row],[Age]]&lt;=10, "Child",Table3[[#This Row],[Age]]&lt;18, "Teenger", Table3[[#This Row],[Age]]&lt;30, "Middle Age", Table3[[#This Row],[Age]]&lt; 60,"Adult",Table3[[#This Row],[Age]],"Senior Citizen")</f>
        <v>Senior Citizen</v>
      </c>
      <c r="D932" t="s">
        <v>12</v>
      </c>
      <c r="E932" t="s">
        <v>13</v>
      </c>
      <c r="F932" t="s">
        <v>35</v>
      </c>
      <c r="G932" s="1">
        <v>45497</v>
      </c>
      <c r="H932" s="1">
        <v>45499</v>
      </c>
      <c r="I932" s="2">
        <f>Table3[[#This Row],[Discharge_Date]]-Table3[[#This Row],[Admission_Date]]</f>
        <v>2</v>
      </c>
      <c r="J932">
        <v>6</v>
      </c>
      <c r="K932" t="s">
        <v>46</v>
      </c>
      <c r="L932" t="s">
        <v>26</v>
      </c>
      <c r="M932">
        <f>IF(Table3[[#This Row],[Treatment_Success]]="Yes",1,0)</f>
        <v>0</v>
      </c>
      <c r="N932">
        <v>126689</v>
      </c>
    </row>
    <row r="933" spans="1:14" x14ac:dyDescent="0.35">
      <c r="A933" t="s">
        <v>980</v>
      </c>
      <c r="B933">
        <v>80</v>
      </c>
      <c r="C933" t="str">
        <f>_xlfn.IFS(Table3[[#This Row],[Age]]&lt;=10, "Child",Table3[[#This Row],[Age]]&lt;18, "Teenger", Table3[[#This Row],[Age]]&lt;30, "Middle Age", Table3[[#This Row],[Age]]&lt; 60,"Adult",Table3[[#This Row],[Age]],"Senior Citizen")</f>
        <v>Senior Citizen</v>
      </c>
      <c r="D933" t="s">
        <v>18</v>
      </c>
      <c r="E933" t="s">
        <v>38</v>
      </c>
      <c r="F933" t="s">
        <v>68</v>
      </c>
      <c r="G933" s="1">
        <v>45511</v>
      </c>
      <c r="H933" s="1">
        <v>45526</v>
      </c>
      <c r="I933" s="2">
        <f>Table3[[#This Row],[Discharge_Date]]-Table3[[#This Row],[Admission_Date]]</f>
        <v>15</v>
      </c>
      <c r="J933">
        <v>14</v>
      </c>
      <c r="K933" t="s">
        <v>46</v>
      </c>
      <c r="L933" t="s">
        <v>16</v>
      </c>
      <c r="M933">
        <f>IF(Table3[[#This Row],[Treatment_Success]]="Yes",1,0)</f>
        <v>1</v>
      </c>
      <c r="N933">
        <v>159091</v>
      </c>
    </row>
    <row r="934" spans="1:14" x14ac:dyDescent="0.35">
      <c r="A934" t="s">
        <v>981</v>
      </c>
      <c r="B934">
        <v>14</v>
      </c>
      <c r="C934" t="str">
        <f>_xlfn.IFS(Table3[[#This Row],[Age]]&lt;=10, "Child",Table3[[#This Row],[Age]]&lt;18, "Teenger", Table3[[#This Row],[Age]]&lt;30, "Middle Age", Table3[[#This Row],[Age]]&lt; 60,"Adult",Table3[[#This Row],[Age]],"Senior Citizen")</f>
        <v>Teenger</v>
      </c>
      <c r="D934" t="s">
        <v>18</v>
      </c>
      <c r="E934" t="s">
        <v>28</v>
      </c>
      <c r="F934" t="s">
        <v>40</v>
      </c>
      <c r="G934" s="1">
        <v>45390</v>
      </c>
      <c r="H934" s="1">
        <v>45392</v>
      </c>
      <c r="I934" s="2">
        <f>Table3[[#This Row],[Discharge_Date]]-Table3[[#This Row],[Admission_Date]]</f>
        <v>2</v>
      </c>
      <c r="J934">
        <v>35</v>
      </c>
      <c r="K934" t="s">
        <v>36</v>
      </c>
      <c r="L934" t="s">
        <v>16</v>
      </c>
      <c r="M934">
        <f>IF(Table3[[#This Row],[Treatment_Success]]="Yes",1,0)</f>
        <v>1</v>
      </c>
      <c r="N934">
        <v>172081</v>
      </c>
    </row>
    <row r="935" spans="1:14" x14ac:dyDescent="0.35">
      <c r="A935" t="s">
        <v>982</v>
      </c>
      <c r="B935">
        <v>46</v>
      </c>
      <c r="C935" t="str">
        <f>_xlfn.IFS(Table3[[#This Row],[Age]]&lt;=10, "Child",Table3[[#This Row],[Age]]&lt;18, "Teenger", Table3[[#This Row],[Age]]&lt;30, "Middle Age", Table3[[#This Row],[Age]]&lt; 60,"Adult",Table3[[#This Row],[Age]],"Senior Citizen")</f>
        <v>Adult</v>
      </c>
      <c r="D935" t="s">
        <v>12</v>
      </c>
      <c r="E935" t="s">
        <v>31</v>
      </c>
      <c r="F935" t="s">
        <v>25</v>
      </c>
      <c r="G935" s="1">
        <v>45552</v>
      </c>
      <c r="H935" s="1">
        <v>45557</v>
      </c>
      <c r="I935" s="2">
        <f>Table3[[#This Row],[Discharge_Date]]-Table3[[#This Row],[Admission_Date]]</f>
        <v>5</v>
      </c>
      <c r="J935">
        <v>228</v>
      </c>
      <c r="K935" t="s">
        <v>36</v>
      </c>
      <c r="L935" t="s">
        <v>16</v>
      </c>
      <c r="M935">
        <f>IF(Table3[[#This Row],[Treatment_Success]]="Yes",1,0)</f>
        <v>1</v>
      </c>
      <c r="N935">
        <v>41090</v>
      </c>
    </row>
    <row r="936" spans="1:14" x14ac:dyDescent="0.35">
      <c r="A936" t="s">
        <v>983</v>
      </c>
      <c r="B936">
        <v>17</v>
      </c>
      <c r="C936" t="str">
        <f>_xlfn.IFS(Table3[[#This Row],[Age]]&lt;=10, "Child",Table3[[#This Row],[Age]]&lt;18, "Teenger", Table3[[#This Row],[Age]]&lt;30, "Middle Age", Table3[[#This Row],[Age]]&lt; 60,"Adult",Table3[[#This Row],[Age]],"Senior Citizen")</f>
        <v>Teenger</v>
      </c>
      <c r="D936" t="s">
        <v>12</v>
      </c>
      <c r="E936" t="s">
        <v>28</v>
      </c>
      <c r="F936" t="s">
        <v>93</v>
      </c>
      <c r="G936" s="1">
        <v>45314</v>
      </c>
      <c r="H936" s="1">
        <v>45315</v>
      </c>
      <c r="I936" s="2">
        <f>Table3[[#This Row],[Discharge_Date]]-Table3[[#This Row],[Admission_Date]]</f>
        <v>1</v>
      </c>
      <c r="J936">
        <v>263</v>
      </c>
      <c r="K936" t="s">
        <v>33</v>
      </c>
      <c r="L936" t="s">
        <v>16</v>
      </c>
      <c r="M936">
        <f>IF(Table3[[#This Row],[Treatment_Success]]="Yes",1,0)</f>
        <v>1</v>
      </c>
      <c r="N936">
        <v>158004</v>
      </c>
    </row>
    <row r="937" spans="1:14" x14ac:dyDescent="0.35">
      <c r="A937" t="s">
        <v>984</v>
      </c>
      <c r="B937">
        <v>19</v>
      </c>
      <c r="C937" t="str">
        <f>_xlfn.IFS(Table3[[#This Row],[Age]]&lt;=10, "Child",Table3[[#This Row],[Age]]&lt;18, "Teenger", Table3[[#This Row],[Age]]&lt;30, "Middle Age", Table3[[#This Row],[Age]]&lt; 60,"Adult",Table3[[#This Row],[Age]],"Senior Citizen")</f>
        <v>Middle Age</v>
      </c>
      <c r="D937" t="s">
        <v>18</v>
      </c>
      <c r="E937" t="s">
        <v>31</v>
      </c>
      <c r="F937" t="s">
        <v>83</v>
      </c>
      <c r="G937" s="1">
        <v>45569</v>
      </c>
      <c r="H937" s="1">
        <v>45582</v>
      </c>
      <c r="I937" s="2">
        <f>Table3[[#This Row],[Discharge_Date]]-Table3[[#This Row],[Admission_Date]]</f>
        <v>13</v>
      </c>
      <c r="J937">
        <v>176</v>
      </c>
      <c r="K937" t="s">
        <v>33</v>
      </c>
      <c r="L937" t="s">
        <v>16</v>
      </c>
      <c r="M937">
        <f>IF(Table3[[#This Row],[Treatment_Success]]="Yes",1,0)</f>
        <v>1</v>
      </c>
      <c r="N937">
        <v>7118</v>
      </c>
    </row>
    <row r="938" spans="1:14" x14ac:dyDescent="0.35">
      <c r="A938" t="s">
        <v>985</v>
      </c>
      <c r="B938">
        <v>85</v>
      </c>
      <c r="C938" t="str">
        <f>_xlfn.IFS(Table3[[#This Row],[Age]]&lt;=10, "Child",Table3[[#This Row],[Age]]&lt;18, "Teenger", Table3[[#This Row],[Age]]&lt;30, "Middle Age", Table3[[#This Row],[Age]]&lt; 60,"Adult",Table3[[#This Row],[Age]],"Senior Citizen")</f>
        <v>Senior Citizen</v>
      </c>
      <c r="D938" t="s">
        <v>18</v>
      </c>
      <c r="E938" t="s">
        <v>24</v>
      </c>
      <c r="F938" t="s">
        <v>14</v>
      </c>
      <c r="G938" s="1">
        <v>45557</v>
      </c>
      <c r="H938" s="1">
        <v>45567</v>
      </c>
      <c r="I938" s="2">
        <f>Table3[[#This Row],[Discharge_Date]]-Table3[[#This Row],[Admission_Date]]</f>
        <v>10</v>
      </c>
      <c r="J938">
        <v>260</v>
      </c>
      <c r="K938" t="s">
        <v>15</v>
      </c>
      <c r="L938" t="s">
        <v>26</v>
      </c>
      <c r="M938">
        <f>IF(Table3[[#This Row],[Treatment_Success]]="Yes",1,0)</f>
        <v>0</v>
      </c>
      <c r="N938">
        <v>95129</v>
      </c>
    </row>
    <row r="939" spans="1:14" x14ac:dyDescent="0.35">
      <c r="A939" t="s">
        <v>986</v>
      </c>
      <c r="B939">
        <v>82</v>
      </c>
      <c r="C939" t="str">
        <f>_xlfn.IFS(Table3[[#This Row],[Age]]&lt;=10, "Child",Table3[[#This Row],[Age]]&lt;18, "Teenger", Table3[[#This Row],[Age]]&lt;30, "Middle Age", Table3[[#This Row],[Age]]&lt; 60,"Adult",Table3[[#This Row],[Age]],"Senior Citizen")</f>
        <v>Senior Citizen</v>
      </c>
      <c r="D939" t="s">
        <v>18</v>
      </c>
      <c r="E939" t="s">
        <v>24</v>
      </c>
      <c r="F939" t="s">
        <v>95</v>
      </c>
      <c r="G939" s="1">
        <v>45392</v>
      </c>
      <c r="H939" s="1">
        <v>45396</v>
      </c>
      <c r="I939" s="2">
        <f>Table3[[#This Row],[Discharge_Date]]-Table3[[#This Row],[Admission_Date]]</f>
        <v>4</v>
      </c>
      <c r="J939">
        <v>97</v>
      </c>
      <c r="K939" t="s">
        <v>46</v>
      </c>
      <c r="L939" t="s">
        <v>26</v>
      </c>
      <c r="M939">
        <f>IF(Table3[[#This Row],[Treatment_Success]]="Yes",1,0)</f>
        <v>0</v>
      </c>
      <c r="N939">
        <v>162224</v>
      </c>
    </row>
    <row r="940" spans="1:14" x14ac:dyDescent="0.35">
      <c r="A940" t="s">
        <v>987</v>
      </c>
      <c r="B940">
        <v>75</v>
      </c>
      <c r="C940" t="str">
        <f>_xlfn.IFS(Table3[[#This Row],[Age]]&lt;=10, "Child",Table3[[#This Row],[Age]]&lt;18, "Teenger", Table3[[#This Row],[Age]]&lt;30, "Middle Age", Table3[[#This Row],[Age]]&lt; 60,"Adult",Table3[[#This Row],[Age]],"Senior Citizen")</f>
        <v>Senior Citizen</v>
      </c>
      <c r="D940" t="s">
        <v>12</v>
      </c>
      <c r="E940" t="s">
        <v>28</v>
      </c>
      <c r="F940" t="s">
        <v>83</v>
      </c>
      <c r="G940" s="1">
        <v>45646</v>
      </c>
      <c r="H940" s="1">
        <v>45652</v>
      </c>
      <c r="I940" s="2">
        <f>Table3[[#This Row],[Discharge_Date]]-Table3[[#This Row],[Admission_Date]]</f>
        <v>6</v>
      </c>
      <c r="J940">
        <v>215</v>
      </c>
      <c r="K940" t="s">
        <v>33</v>
      </c>
      <c r="L940" t="s">
        <v>16</v>
      </c>
      <c r="M940">
        <f>IF(Table3[[#This Row],[Treatment_Success]]="Yes",1,0)</f>
        <v>1</v>
      </c>
      <c r="N940">
        <v>32485</v>
      </c>
    </row>
    <row r="941" spans="1:14" x14ac:dyDescent="0.35">
      <c r="A941" t="s">
        <v>988</v>
      </c>
      <c r="B941">
        <v>6</v>
      </c>
      <c r="C941" t="str">
        <f>_xlfn.IFS(Table3[[#This Row],[Age]]&lt;=10, "Child",Table3[[#This Row],[Age]]&lt;18, "Teenger", Table3[[#This Row],[Age]]&lt;30, "Middle Age", Table3[[#This Row],[Age]]&lt; 60,"Adult",Table3[[#This Row],[Age]],"Senior Citizen")</f>
        <v>Child</v>
      </c>
      <c r="D941" t="s">
        <v>12</v>
      </c>
      <c r="E941" t="s">
        <v>13</v>
      </c>
      <c r="F941" t="s">
        <v>80</v>
      </c>
      <c r="G941" s="1">
        <v>45524</v>
      </c>
      <c r="H941" s="1">
        <v>45539</v>
      </c>
      <c r="I941" s="2">
        <f>Table3[[#This Row],[Discharge_Date]]-Table3[[#This Row],[Admission_Date]]</f>
        <v>15</v>
      </c>
      <c r="J941">
        <v>115</v>
      </c>
      <c r="K941" t="s">
        <v>36</v>
      </c>
      <c r="L941" t="s">
        <v>26</v>
      </c>
      <c r="M941">
        <f>IF(Table3[[#This Row],[Treatment_Success]]="Yes",1,0)</f>
        <v>0</v>
      </c>
      <c r="N941">
        <v>168556</v>
      </c>
    </row>
    <row r="942" spans="1:14" x14ac:dyDescent="0.35">
      <c r="A942" t="s">
        <v>989</v>
      </c>
      <c r="B942">
        <v>62</v>
      </c>
      <c r="C942" t="str">
        <f>_xlfn.IFS(Table3[[#This Row],[Age]]&lt;=10, "Child",Table3[[#This Row],[Age]]&lt;18, "Teenger", Table3[[#This Row],[Age]]&lt;30, "Middle Age", Table3[[#This Row],[Age]]&lt; 60,"Adult",Table3[[#This Row],[Age]],"Senior Citizen")</f>
        <v>Senior Citizen</v>
      </c>
      <c r="D942" t="s">
        <v>12</v>
      </c>
      <c r="E942" t="s">
        <v>31</v>
      </c>
      <c r="F942" t="s">
        <v>29</v>
      </c>
      <c r="G942" s="1">
        <v>45401</v>
      </c>
      <c r="H942" s="1">
        <v>45405</v>
      </c>
      <c r="I942" s="2">
        <f>Table3[[#This Row],[Discharge_Date]]-Table3[[#This Row],[Admission_Date]]</f>
        <v>4</v>
      </c>
      <c r="J942">
        <v>205</v>
      </c>
      <c r="K942" t="s">
        <v>36</v>
      </c>
      <c r="L942" t="s">
        <v>16</v>
      </c>
      <c r="M942">
        <f>IF(Table3[[#This Row],[Treatment_Success]]="Yes",1,0)</f>
        <v>1</v>
      </c>
      <c r="N942">
        <v>100110</v>
      </c>
    </row>
    <row r="943" spans="1:14" x14ac:dyDescent="0.35">
      <c r="A943" t="s">
        <v>990</v>
      </c>
      <c r="B943">
        <v>46</v>
      </c>
      <c r="C943" t="str">
        <f>_xlfn.IFS(Table3[[#This Row],[Age]]&lt;=10, "Child",Table3[[#This Row],[Age]]&lt;18, "Teenger", Table3[[#This Row],[Age]]&lt;30, "Middle Age", Table3[[#This Row],[Age]]&lt; 60,"Adult",Table3[[#This Row],[Age]],"Senior Citizen")</f>
        <v>Adult</v>
      </c>
      <c r="D943" t="s">
        <v>18</v>
      </c>
      <c r="E943" t="s">
        <v>28</v>
      </c>
      <c r="F943" t="s">
        <v>90</v>
      </c>
      <c r="G943" s="1">
        <v>45297</v>
      </c>
      <c r="H943" s="1">
        <v>45299</v>
      </c>
      <c r="I943" s="2">
        <f>Table3[[#This Row],[Discharge_Date]]-Table3[[#This Row],[Admission_Date]]</f>
        <v>2</v>
      </c>
      <c r="J943">
        <v>73</v>
      </c>
      <c r="K943" t="s">
        <v>33</v>
      </c>
      <c r="L943" t="s">
        <v>26</v>
      </c>
      <c r="M943">
        <f>IF(Table3[[#This Row],[Treatment_Success]]="Yes",1,0)</f>
        <v>0</v>
      </c>
      <c r="N943">
        <v>55961</v>
      </c>
    </row>
    <row r="944" spans="1:14" x14ac:dyDescent="0.35">
      <c r="A944" t="s">
        <v>991</v>
      </c>
      <c r="B944">
        <v>47</v>
      </c>
      <c r="C944" t="str">
        <f>_xlfn.IFS(Table3[[#This Row],[Age]]&lt;=10, "Child",Table3[[#This Row],[Age]]&lt;18, "Teenger", Table3[[#This Row],[Age]]&lt;30, "Middle Age", Table3[[#This Row],[Age]]&lt; 60,"Adult",Table3[[#This Row],[Age]],"Senior Citizen")</f>
        <v>Adult</v>
      </c>
      <c r="D944" t="s">
        <v>18</v>
      </c>
      <c r="E944" t="s">
        <v>24</v>
      </c>
      <c r="F944" t="s">
        <v>29</v>
      </c>
      <c r="G944" s="1">
        <v>45615</v>
      </c>
      <c r="H944" s="1">
        <v>45625</v>
      </c>
      <c r="I944" s="2">
        <f>Table3[[#This Row],[Discharge_Date]]-Table3[[#This Row],[Admission_Date]]</f>
        <v>10</v>
      </c>
      <c r="J944">
        <v>102</v>
      </c>
      <c r="K944" t="s">
        <v>33</v>
      </c>
      <c r="L944" t="s">
        <v>16</v>
      </c>
      <c r="M944">
        <f>IF(Table3[[#This Row],[Treatment_Success]]="Yes",1,0)</f>
        <v>1</v>
      </c>
      <c r="N944">
        <v>62395</v>
      </c>
    </row>
    <row r="945" spans="1:14" x14ac:dyDescent="0.35">
      <c r="A945" t="s">
        <v>992</v>
      </c>
      <c r="B945">
        <v>23</v>
      </c>
      <c r="C945" t="str">
        <f>_xlfn.IFS(Table3[[#This Row],[Age]]&lt;=10, "Child",Table3[[#This Row],[Age]]&lt;18, "Teenger", Table3[[#This Row],[Age]]&lt;30, "Middle Age", Table3[[#This Row],[Age]]&lt; 60,"Adult",Table3[[#This Row],[Age]],"Senior Citizen")</f>
        <v>Middle Age</v>
      </c>
      <c r="D945" t="s">
        <v>12</v>
      </c>
      <c r="E945" t="s">
        <v>28</v>
      </c>
      <c r="F945" t="s">
        <v>14</v>
      </c>
      <c r="G945" s="1">
        <v>45426</v>
      </c>
      <c r="H945" s="1">
        <v>45438</v>
      </c>
      <c r="I945" s="2">
        <f>Table3[[#This Row],[Discharge_Date]]-Table3[[#This Row],[Admission_Date]]</f>
        <v>12</v>
      </c>
      <c r="J945">
        <v>92</v>
      </c>
      <c r="K945" t="s">
        <v>36</v>
      </c>
      <c r="L945" t="s">
        <v>16</v>
      </c>
      <c r="M945">
        <f>IF(Table3[[#This Row],[Treatment_Success]]="Yes",1,0)</f>
        <v>1</v>
      </c>
      <c r="N945">
        <v>51157</v>
      </c>
    </row>
    <row r="946" spans="1:14" x14ac:dyDescent="0.35">
      <c r="A946" t="s">
        <v>993</v>
      </c>
      <c r="B946">
        <v>13</v>
      </c>
      <c r="C946" t="str">
        <f>_xlfn.IFS(Table3[[#This Row],[Age]]&lt;=10, "Child",Table3[[#This Row],[Age]]&lt;18, "Teenger", Table3[[#This Row],[Age]]&lt;30, "Middle Age", Table3[[#This Row],[Age]]&lt; 60,"Adult",Table3[[#This Row],[Age]],"Senior Citizen")</f>
        <v>Teenger</v>
      </c>
      <c r="D946" t="s">
        <v>18</v>
      </c>
      <c r="E946" t="s">
        <v>13</v>
      </c>
      <c r="F946" t="s">
        <v>56</v>
      </c>
      <c r="G946" s="1">
        <v>45426</v>
      </c>
      <c r="H946" s="1">
        <v>45441</v>
      </c>
      <c r="I946" s="2">
        <f>Table3[[#This Row],[Discharge_Date]]-Table3[[#This Row],[Admission_Date]]</f>
        <v>15</v>
      </c>
      <c r="J946">
        <v>57</v>
      </c>
      <c r="K946" t="s">
        <v>33</v>
      </c>
      <c r="L946" t="s">
        <v>16</v>
      </c>
      <c r="M946">
        <f>IF(Table3[[#This Row],[Treatment_Success]]="Yes",1,0)</f>
        <v>1</v>
      </c>
      <c r="N946">
        <v>84972</v>
      </c>
    </row>
    <row r="947" spans="1:14" x14ac:dyDescent="0.35">
      <c r="A947" t="s">
        <v>994</v>
      </c>
      <c r="B947">
        <v>48</v>
      </c>
      <c r="C947" t="str">
        <f>_xlfn.IFS(Table3[[#This Row],[Age]]&lt;=10, "Child",Table3[[#This Row],[Age]]&lt;18, "Teenger", Table3[[#This Row],[Age]]&lt;30, "Middle Age", Table3[[#This Row],[Age]]&lt; 60,"Adult",Table3[[#This Row],[Age]],"Senior Citizen")</f>
        <v>Adult</v>
      </c>
      <c r="D947" t="s">
        <v>12</v>
      </c>
      <c r="E947" t="s">
        <v>13</v>
      </c>
      <c r="F947" t="s">
        <v>49</v>
      </c>
      <c r="G947" s="1">
        <v>45525</v>
      </c>
      <c r="H947" s="1">
        <v>45529</v>
      </c>
      <c r="I947" s="2">
        <f>Table3[[#This Row],[Discharge_Date]]-Table3[[#This Row],[Admission_Date]]</f>
        <v>4</v>
      </c>
      <c r="J947">
        <v>223</v>
      </c>
      <c r="K947" t="s">
        <v>15</v>
      </c>
      <c r="L947" t="s">
        <v>16</v>
      </c>
      <c r="M947">
        <f>IF(Table3[[#This Row],[Treatment_Success]]="Yes",1,0)</f>
        <v>1</v>
      </c>
      <c r="N947">
        <v>42862</v>
      </c>
    </row>
    <row r="948" spans="1:14" x14ac:dyDescent="0.35">
      <c r="A948" t="s">
        <v>995</v>
      </c>
      <c r="B948">
        <v>25</v>
      </c>
      <c r="C948" t="str">
        <f>_xlfn.IFS(Table3[[#This Row],[Age]]&lt;=10, "Child",Table3[[#This Row],[Age]]&lt;18, "Teenger", Table3[[#This Row],[Age]]&lt;30, "Middle Age", Table3[[#This Row],[Age]]&lt; 60,"Adult",Table3[[#This Row],[Age]],"Senior Citizen")</f>
        <v>Middle Age</v>
      </c>
      <c r="D948" t="s">
        <v>18</v>
      </c>
      <c r="E948" t="s">
        <v>28</v>
      </c>
      <c r="F948" t="s">
        <v>56</v>
      </c>
      <c r="G948" s="1">
        <v>45358</v>
      </c>
      <c r="H948" s="1">
        <v>45371</v>
      </c>
      <c r="I948" s="2">
        <f>Table3[[#This Row],[Discharge_Date]]-Table3[[#This Row],[Admission_Date]]</f>
        <v>13</v>
      </c>
      <c r="J948">
        <v>192</v>
      </c>
      <c r="K948" t="s">
        <v>33</v>
      </c>
      <c r="L948" t="s">
        <v>26</v>
      </c>
      <c r="M948">
        <f>IF(Table3[[#This Row],[Treatment_Success]]="Yes",1,0)</f>
        <v>0</v>
      </c>
      <c r="N948">
        <v>171761</v>
      </c>
    </row>
    <row r="949" spans="1:14" x14ac:dyDescent="0.35">
      <c r="A949" t="s">
        <v>996</v>
      </c>
      <c r="B949">
        <v>6</v>
      </c>
      <c r="C949" t="str">
        <f>_xlfn.IFS(Table3[[#This Row],[Age]]&lt;=10, "Child",Table3[[#This Row],[Age]]&lt;18, "Teenger", Table3[[#This Row],[Age]]&lt;30, "Middle Age", Table3[[#This Row],[Age]]&lt; 60,"Adult",Table3[[#This Row],[Age]],"Senior Citizen")</f>
        <v>Child</v>
      </c>
      <c r="D949" t="s">
        <v>18</v>
      </c>
      <c r="E949" t="s">
        <v>28</v>
      </c>
      <c r="F949" t="s">
        <v>83</v>
      </c>
      <c r="G949" s="1">
        <v>45417</v>
      </c>
      <c r="H949" s="1">
        <v>45432</v>
      </c>
      <c r="I949" s="2">
        <f>Table3[[#This Row],[Discharge_Date]]-Table3[[#This Row],[Admission_Date]]</f>
        <v>15</v>
      </c>
      <c r="J949">
        <v>77</v>
      </c>
      <c r="K949" t="s">
        <v>33</v>
      </c>
      <c r="L949" t="s">
        <v>16</v>
      </c>
      <c r="M949">
        <f>IF(Table3[[#This Row],[Treatment_Success]]="Yes",1,0)</f>
        <v>1</v>
      </c>
      <c r="N949">
        <v>18961</v>
      </c>
    </row>
    <row r="950" spans="1:14" x14ac:dyDescent="0.35">
      <c r="A950" t="s">
        <v>997</v>
      </c>
      <c r="B950">
        <v>36</v>
      </c>
      <c r="C950" t="str">
        <f>_xlfn.IFS(Table3[[#This Row],[Age]]&lt;=10, "Child",Table3[[#This Row],[Age]]&lt;18, "Teenger", Table3[[#This Row],[Age]]&lt;30, "Middle Age", Table3[[#This Row],[Age]]&lt; 60,"Adult",Table3[[#This Row],[Age]],"Senior Citizen")</f>
        <v>Adult</v>
      </c>
      <c r="D950" t="s">
        <v>18</v>
      </c>
      <c r="E950" t="s">
        <v>28</v>
      </c>
      <c r="F950" t="s">
        <v>58</v>
      </c>
      <c r="G950" s="1">
        <v>45614</v>
      </c>
      <c r="H950" s="1">
        <v>45627</v>
      </c>
      <c r="I950" s="2">
        <f>Table3[[#This Row],[Discharge_Date]]-Table3[[#This Row],[Admission_Date]]</f>
        <v>13</v>
      </c>
      <c r="J950">
        <v>251</v>
      </c>
      <c r="K950" t="s">
        <v>36</v>
      </c>
      <c r="L950" t="s">
        <v>16</v>
      </c>
      <c r="M950">
        <f>IF(Table3[[#This Row],[Treatment_Success]]="Yes",1,0)</f>
        <v>1</v>
      </c>
      <c r="N950">
        <v>128382</v>
      </c>
    </row>
    <row r="951" spans="1:14" x14ac:dyDescent="0.35">
      <c r="A951" t="s">
        <v>998</v>
      </c>
      <c r="B951">
        <v>9</v>
      </c>
      <c r="C951" t="str">
        <f>_xlfn.IFS(Table3[[#This Row],[Age]]&lt;=10, "Child",Table3[[#This Row],[Age]]&lt;18, "Teenger", Table3[[#This Row],[Age]]&lt;30, "Middle Age", Table3[[#This Row],[Age]]&lt; 60,"Adult",Table3[[#This Row],[Age]],"Senior Citizen")</f>
        <v>Child</v>
      </c>
      <c r="D951" t="s">
        <v>18</v>
      </c>
      <c r="E951" t="s">
        <v>28</v>
      </c>
      <c r="F951" t="s">
        <v>56</v>
      </c>
      <c r="G951" s="1">
        <v>45631</v>
      </c>
      <c r="H951" s="1">
        <v>45641</v>
      </c>
      <c r="I951" s="2">
        <f>Table3[[#This Row],[Discharge_Date]]-Table3[[#This Row],[Admission_Date]]</f>
        <v>10</v>
      </c>
      <c r="J951">
        <v>261</v>
      </c>
      <c r="K951" t="s">
        <v>33</v>
      </c>
      <c r="L951" t="s">
        <v>26</v>
      </c>
      <c r="M951">
        <f>IF(Table3[[#This Row],[Treatment_Success]]="Yes",1,0)</f>
        <v>0</v>
      </c>
      <c r="N951">
        <v>141024</v>
      </c>
    </row>
    <row r="952" spans="1:14" x14ac:dyDescent="0.35">
      <c r="A952" t="s">
        <v>999</v>
      </c>
      <c r="B952">
        <v>42</v>
      </c>
      <c r="C952" t="str">
        <f>_xlfn.IFS(Table3[[#This Row],[Age]]&lt;=10, "Child",Table3[[#This Row],[Age]]&lt;18, "Teenger", Table3[[#This Row],[Age]]&lt;30, "Middle Age", Table3[[#This Row],[Age]]&lt; 60,"Adult",Table3[[#This Row],[Age]],"Senior Citizen")</f>
        <v>Adult</v>
      </c>
      <c r="D952" t="s">
        <v>12</v>
      </c>
      <c r="E952" t="s">
        <v>28</v>
      </c>
      <c r="F952" t="s">
        <v>40</v>
      </c>
      <c r="G952" s="1">
        <v>45529</v>
      </c>
      <c r="H952" s="1">
        <v>45532</v>
      </c>
      <c r="I952" s="2">
        <f>Table3[[#This Row],[Discharge_Date]]-Table3[[#This Row],[Admission_Date]]</f>
        <v>3</v>
      </c>
      <c r="J952">
        <v>248</v>
      </c>
      <c r="K952" t="s">
        <v>46</v>
      </c>
      <c r="L952" t="s">
        <v>26</v>
      </c>
      <c r="M952">
        <f>IF(Table3[[#This Row],[Treatment_Success]]="Yes",1,0)</f>
        <v>0</v>
      </c>
      <c r="N952">
        <v>75342</v>
      </c>
    </row>
    <row r="953" spans="1:14" x14ac:dyDescent="0.35">
      <c r="A953" t="s">
        <v>1000</v>
      </c>
      <c r="B953">
        <v>82</v>
      </c>
      <c r="C953" t="str">
        <f>_xlfn.IFS(Table3[[#This Row],[Age]]&lt;=10, "Child",Table3[[#This Row],[Age]]&lt;18, "Teenger", Table3[[#This Row],[Age]]&lt;30, "Middle Age", Table3[[#This Row],[Age]]&lt; 60,"Adult",Table3[[#This Row],[Age]],"Senior Citizen")</f>
        <v>Senior Citizen</v>
      </c>
      <c r="D953" t="s">
        <v>18</v>
      </c>
      <c r="E953" t="s">
        <v>13</v>
      </c>
      <c r="F953" t="s">
        <v>14</v>
      </c>
      <c r="G953" s="1">
        <v>45589</v>
      </c>
      <c r="H953" s="1">
        <v>45596</v>
      </c>
      <c r="I953" s="2">
        <f>Table3[[#This Row],[Discharge_Date]]-Table3[[#This Row],[Admission_Date]]</f>
        <v>7</v>
      </c>
      <c r="J953">
        <v>104</v>
      </c>
      <c r="K953" t="s">
        <v>46</v>
      </c>
      <c r="L953" t="s">
        <v>16</v>
      </c>
      <c r="M953">
        <f>IF(Table3[[#This Row],[Treatment_Success]]="Yes",1,0)</f>
        <v>1</v>
      </c>
      <c r="N953">
        <v>108782</v>
      </c>
    </row>
    <row r="954" spans="1:14" x14ac:dyDescent="0.35">
      <c r="A954" t="s">
        <v>1001</v>
      </c>
      <c r="B954">
        <v>55</v>
      </c>
      <c r="C954" t="str">
        <f>_xlfn.IFS(Table3[[#This Row],[Age]]&lt;=10, "Child",Table3[[#This Row],[Age]]&lt;18, "Teenger", Table3[[#This Row],[Age]]&lt;30, "Middle Age", Table3[[#This Row],[Age]]&lt; 60,"Adult",Table3[[#This Row],[Age]],"Senior Citizen")</f>
        <v>Adult</v>
      </c>
      <c r="D954" t="s">
        <v>12</v>
      </c>
      <c r="E954" t="s">
        <v>28</v>
      </c>
      <c r="F954" t="s">
        <v>66</v>
      </c>
      <c r="G954" s="1">
        <v>45403</v>
      </c>
      <c r="H954" s="1">
        <v>45408</v>
      </c>
      <c r="I954" s="2">
        <f>Table3[[#This Row],[Discharge_Date]]-Table3[[#This Row],[Admission_Date]]</f>
        <v>5</v>
      </c>
      <c r="J954">
        <v>192</v>
      </c>
      <c r="K954" t="s">
        <v>33</v>
      </c>
      <c r="L954" t="s">
        <v>16</v>
      </c>
      <c r="M954">
        <f>IF(Table3[[#This Row],[Treatment_Success]]="Yes",1,0)</f>
        <v>1</v>
      </c>
      <c r="N954">
        <v>40213</v>
      </c>
    </row>
    <row r="955" spans="1:14" x14ac:dyDescent="0.35">
      <c r="A955" t="s">
        <v>1002</v>
      </c>
      <c r="B955">
        <v>57</v>
      </c>
      <c r="C955" t="str">
        <f>_xlfn.IFS(Table3[[#This Row],[Age]]&lt;=10, "Child",Table3[[#This Row],[Age]]&lt;18, "Teenger", Table3[[#This Row],[Age]]&lt;30, "Middle Age", Table3[[#This Row],[Age]]&lt; 60,"Adult",Table3[[#This Row],[Age]],"Senior Citizen")</f>
        <v>Adult</v>
      </c>
      <c r="D955" t="s">
        <v>12</v>
      </c>
      <c r="E955" t="s">
        <v>13</v>
      </c>
      <c r="F955" t="s">
        <v>58</v>
      </c>
      <c r="G955" s="1">
        <v>45335</v>
      </c>
      <c r="H955" s="1">
        <v>45340</v>
      </c>
      <c r="I955" s="2">
        <f>Table3[[#This Row],[Discharge_Date]]-Table3[[#This Row],[Admission_Date]]</f>
        <v>5</v>
      </c>
      <c r="J955">
        <v>22</v>
      </c>
      <c r="K955" t="s">
        <v>46</v>
      </c>
      <c r="L955" t="s">
        <v>16</v>
      </c>
      <c r="M955">
        <f>IF(Table3[[#This Row],[Treatment_Success]]="Yes",1,0)</f>
        <v>1</v>
      </c>
      <c r="N955">
        <v>116700</v>
      </c>
    </row>
    <row r="956" spans="1:14" x14ac:dyDescent="0.35">
      <c r="A956" t="s">
        <v>1003</v>
      </c>
      <c r="B956">
        <v>56</v>
      </c>
      <c r="C956" t="str">
        <f>_xlfn.IFS(Table3[[#This Row],[Age]]&lt;=10, "Child",Table3[[#This Row],[Age]]&lt;18, "Teenger", Table3[[#This Row],[Age]]&lt;30, "Middle Age", Table3[[#This Row],[Age]]&lt; 60,"Adult",Table3[[#This Row],[Age]],"Senior Citizen")</f>
        <v>Adult</v>
      </c>
      <c r="D956" t="s">
        <v>12</v>
      </c>
      <c r="E956" t="s">
        <v>38</v>
      </c>
      <c r="F956" t="s">
        <v>43</v>
      </c>
      <c r="G956" s="1">
        <v>45522</v>
      </c>
      <c r="H956" s="1">
        <v>45530</v>
      </c>
      <c r="I956" s="2">
        <f>Table3[[#This Row],[Discharge_Date]]-Table3[[#This Row],[Admission_Date]]</f>
        <v>8</v>
      </c>
      <c r="J956">
        <v>163</v>
      </c>
      <c r="K956" t="s">
        <v>33</v>
      </c>
      <c r="L956" t="s">
        <v>26</v>
      </c>
      <c r="M956">
        <f>IF(Table3[[#This Row],[Treatment_Success]]="Yes",1,0)</f>
        <v>0</v>
      </c>
      <c r="N956">
        <v>11479</v>
      </c>
    </row>
    <row r="957" spans="1:14" x14ac:dyDescent="0.35">
      <c r="A957" t="s">
        <v>1004</v>
      </c>
      <c r="B957">
        <v>30</v>
      </c>
      <c r="C957" t="str">
        <f>_xlfn.IFS(Table3[[#This Row],[Age]]&lt;=10, "Child",Table3[[#This Row],[Age]]&lt;18, "Teenger", Table3[[#This Row],[Age]]&lt;30, "Middle Age", Table3[[#This Row],[Age]]&lt; 60,"Adult",Table3[[#This Row],[Age]],"Senior Citizen")</f>
        <v>Adult</v>
      </c>
      <c r="D957" t="s">
        <v>12</v>
      </c>
      <c r="E957" t="s">
        <v>24</v>
      </c>
      <c r="F957" t="s">
        <v>63</v>
      </c>
      <c r="G957" s="1">
        <v>45383</v>
      </c>
      <c r="H957" s="1">
        <v>45391</v>
      </c>
      <c r="I957" s="2">
        <f>Table3[[#This Row],[Discharge_Date]]-Table3[[#This Row],[Admission_Date]]</f>
        <v>8</v>
      </c>
      <c r="J957">
        <v>43</v>
      </c>
      <c r="K957" t="s">
        <v>33</v>
      </c>
      <c r="L957" t="s">
        <v>16</v>
      </c>
      <c r="M957">
        <f>IF(Table3[[#This Row],[Treatment_Success]]="Yes",1,0)</f>
        <v>1</v>
      </c>
      <c r="N957">
        <v>77463</v>
      </c>
    </row>
    <row r="958" spans="1:14" x14ac:dyDescent="0.35">
      <c r="A958" t="s">
        <v>1005</v>
      </c>
      <c r="B958">
        <v>16</v>
      </c>
      <c r="C958" t="str">
        <f>_xlfn.IFS(Table3[[#This Row],[Age]]&lt;=10, "Child",Table3[[#This Row],[Age]]&lt;18, "Teenger", Table3[[#This Row],[Age]]&lt;30, "Middle Age", Table3[[#This Row],[Age]]&lt; 60,"Adult",Table3[[#This Row],[Age]],"Senior Citizen")</f>
        <v>Teenger</v>
      </c>
      <c r="D958" t="s">
        <v>18</v>
      </c>
      <c r="E958" t="s">
        <v>38</v>
      </c>
      <c r="F958" t="s">
        <v>52</v>
      </c>
      <c r="G958" s="1">
        <v>45408</v>
      </c>
      <c r="H958" s="1">
        <v>45410</v>
      </c>
      <c r="I958" s="2">
        <f>Table3[[#This Row],[Discharge_Date]]-Table3[[#This Row],[Admission_Date]]</f>
        <v>2</v>
      </c>
      <c r="J958">
        <v>280</v>
      </c>
      <c r="K958" t="s">
        <v>36</v>
      </c>
      <c r="L958" t="s">
        <v>16</v>
      </c>
      <c r="M958">
        <f>IF(Table3[[#This Row],[Treatment_Success]]="Yes",1,0)</f>
        <v>1</v>
      </c>
      <c r="N958">
        <v>56549</v>
      </c>
    </row>
    <row r="959" spans="1:14" x14ac:dyDescent="0.35">
      <c r="A959" t="s">
        <v>1006</v>
      </c>
      <c r="B959">
        <v>33</v>
      </c>
      <c r="C959" t="str">
        <f>_xlfn.IFS(Table3[[#This Row],[Age]]&lt;=10, "Child",Table3[[#This Row],[Age]]&lt;18, "Teenger", Table3[[#This Row],[Age]]&lt;30, "Middle Age", Table3[[#This Row],[Age]]&lt; 60,"Adult",Table3[[#This Row],[Age]],"Senior Citizen")</f>
        <v>Adult</v>
      </c>
      <c r="D959" t="s">
        <v>12</v>
      </c>
      <c r="E959" t="s">
        <v>38</v>
      </c>
      <c r="F959" t="s">
        <v>29</v>
      </c>
      <c r="G959" s="1">
        <v>45637</v>
      </c>
      <c r="H959" s="1">
        <v>45643</v>
      </c>
      <c r="I959" s="2">
        <f>Table3[[#This Row],[Discharge_Date]]-Table3[[#This Row],[Admission_Date]]</f>
        <v>6</v>
      </c>
      <c r="J959">
        <v>71</v>
      </c>
      <c r="K959" t="s">
        <v>33</v>
      </c>
      <c r="L959" t="s">
        <v>16</v>
      </c>
      <c r="M959">
        <f>IF(Table3[[#This Row],[Treatment_Success]]="Yes",1,0)</f>
        <v>1</v>
      </c>
      <c r="N959">
        <v>83505</v>
      </c>
    </row>
    <row r="960" spans="1:14" x14ac:dyDescent="0.35">
      <c r="A960" t="s">
        <v>1007</v>
      </c>
      <c r="B960">
        <v>45</v>
      </c>
      <c r="C960" t="str">
        <f>_xlfn.IFS(Table3[[#This Row],[Age]]&lt;=10, "Child",Table3[[#This Row],[Age]]&lt;18, "Teenger", Table3[[#This Row],[Age]]&lt;30, "Middle Age", Table3[[#This Row],[Age]]&lt; 60,"Adult",Table3[[#This Row],[Age]],"Senior Citizen")</f>
        <v>Adult</v>
      </c>
      <c r="D960" t="s">
        <v>12</v>
      </c>
      <c r="E960" t="s">
        <v>31</v>
      </c>
      <c r="F960" t="s">
        <v>58</v>
      </c>
      <c r="G960" s="1">
        <v>45436</v>
      </c>
      <c r="H960" s="1">
        <v>45450</v>
      </c>
      <c r="I960" s="2">
        <f>Table3[[#This Row],[Discharge_Date]]-Table3[[#This Row],[Admission_Date]]</f>
        <v>14</v>
      </c>
      <c r="J960">
        <v>7</v>
      </c>
      <c r="K960" t="s">
        <v>46</v>
      </c>
      <c r="L960" t="s">
        <v>16</v>
      </c>
      <c r="M960">
        <f>IF(Table3[[#This Row],[Treatment_Success]]="Yes",1,0)</f>
        <v>1</v>
      </c>
      <c r="N960">
        <v>109203</v>
      </c>
    </row>
    <row r="961" spans="1:14" x14ac:dyDescent="0.35">
      <c r="A961" t="s">
        <v>1008</v>
      </c>
      <c r="B961">
        <v>27</v>
      </c>
      <c r="C961" t="str">
        <f>_xlfn.IFS(Table3[[#This Row],[Age]]&lt;=10, "Child",Table3[[#This Row],[Age]]&lt;18, "Teenger", Table3[[#This Row],[Age]]&lt;30, "Middle Age", Table3[[#This Row],[Age]]&lt; 60,"Adult",Table3[[#This Row],[Age]],"Senior Citizen")</f>
        <v>Middle Age</v>
      </c>
      <c r="D961" t="s">
        <v>12</v>
      </c>
      <c r="E961" t="s">
        <v>13</v>
      </c>
      <c r="F961" t="s">
        <v>49</v>
      </c>
      <c r="G961" s="1">
        <v>45408</v>
      </c>
      <c r="H961" s="1">
        <v>45412</v>
      </c>
      <c r="I961" s="2">
        <f>Table3[[#This Row],[Discharge_Date]]-Table3[[#This Row],[Admission_Date]]</f>
        <v>4</v>
      </c>
      <c r="J961">
        <v>283</v>
      </c>
      <c r="K961" t="s">
        <v>46</v>
      </c>
      <c r="L961" t="s">
        <v>26</v>
      </c>
      <c r="M961">
        <f>IF(Table3[[#This Row],[Treatment_Success]]="Yes",1,0)</f>
        <v>0</v>
      </c>
      <c r="N961">
        <v>94301</v>
      </c>
    </row>
    <row r="962" spans="1:14" x14ac:dyDescent="0.35">
      <c r="A962" t="s">
        <v>1009</v>
      </c>
      <c r="B962">
        <v>25</v>
      </c>
      <c r="C962" t="str">
        <f>_xlfn.IFS(Table3[[#This Row],[Age]]&lt;=10, "Child",Table3[[#This Row],[Age]]&lt;18, "Teenger", Table3[[#This Row],[Age]]&lt;30, "Middle Age", Table3[[#This Row],[Age]]&lt; 60,"Adult",Table3[[#This Row],[Age]],"Senior Citizen")</f>
        <v>Middle Age</v>
      </c>
      <c r="D962" t="s">
        <v>12</v>
      </c>
      <c r="E962" t="s">
        <v>31</v>
      </c>
      <c r="F962" t="s">
        <v>29</v>
      </c>
      <c r="G962" s="1">
        <v>45335</v>
      </c>
      <c r="H962" s="1">
        <v>45341</v>
      </c>
      <c r="I962" s="2">
        <f>Table3[[#This Row],[Discharge_Date]]-Table3[[#This Row],[Admission_Date]]</f>
        <v>6</v>
      </c>
      <c r="J962">
        <v>225</v>
      </c>
      <c r="K962" t="s">
        <v>46</v>
      </c>
      <c r="L962" t="s">
        <v>16</v>
      </c>
      <c r="M962">
        <f>IF(Table3[[#This Row],[Treatment_Success]]="Yes",1,0)</f>
        <v>1</v>
      </c>
      <c r="N962">
        <v>103225</v>
      </c>
    </row>
    <row r="963" spans="1:14" x14ac:dyDescent="0.35">
      <c r="A963" t="s">
        <v>1010</v>
      </c>
      <c r="B963">
        <v>17</v>
      </c>
      <c r="C963" t="str">
        <f>_xlfn.IFS(Table3[[#This Row],[Age]]&lt;=10, "Child",Table3[[#This Row],[Age]]&lt;18, "Teenger", Table3[[#This Row],[Age]]&lt;30, "Middle Age", Table3[[#This Row],[Age]]&lt; 60,"Adult",Table3[[#This Row],[Age]],"Senior Citizen")</f>
        <v>Teenger</v>
      </c>
      <c r="D963" t="s">
        <v>12</v>
      </c>
      <c r="E963" t="s">
        <v>24</v>
      </c>
      <c r="F963" t="s">
        <v>43</v>
      </c>
      <c r="G963" s="1">
        <v>45363</v>
      </c>
      <c r="H963" s="1">
        <v>45373</v>
      </c>
      <c r="I963" s="2">
        <f>Table3[[#This Row],[Discharge_Date]]-Table3[[#This Row],[Admission_Date]]</f>
        <v>10</v>
      </c>
      <c r="J963">
        <v>182</v>
      </c>
      <c r="K963" t="s">
        <v>33</v>
      </c>
      <c r="L963" t="s">
        <v>16</v>
      </c>
      <c r="M963">
        <f>IF(Table3[[#This Row],[Treatment_Success]]="Yes",1,0)</f>
        <v>1</v>
      </c>
      <c r="N963">
        <v>114876</v>
      </c>
    </row>
    <row r="964" spans="1:14" x14ac:dyDescent="0.35">
      <c r="A964" t="s">
        <v>1011</v>
      </c>
      <c r="B964">
        <v>52</v>
      </c>
      <c r="C964" t="str">
        <f>_xlfn.IFS(Table3[[#This Row],[Age]]&lt;=10, "Child",Table3[[#This Row],[Age]]&lt;18, "Teenger", Table3[[#This Row],[Age]]&lt;30, "Middle Age", Table3[[#This Row],[Age]]&lt; 60,"Adult",Table3[[#This Row],[Age]],"Senior Citizen")</f>
        <v>Adult</v>
      </c>
      <c r="D964" t="s">
        <v>12</v>
      </c>
      <c r="E964" t="s">
        <v>38</v>
      </c>
      <c r="F964" t="s">
        <v>58</v>
      </c>
      <c r="G964" s="1">
        <v>45509</v>
      </c>
      <c r="H964" s="1">
        <v>45520</v>
      </c>
      <c r="I964" s="2">
        <f>Table3[[#This Row],[Discharge_Date]]-Table3[[#This Row],[Admission_Date]]</f>
        <v>11</v>
      </c>
      <c r="J964">
        <v>12</v>
      </c>
      <c r="K964" t="s">
        <v>15</v>
      </c>
      <c r="L964" t="s">
        <v>16</v>
      </c>
      <c r="M964">
        <f>IF(Table3[[#This Row],[Treatment_Success]]="Yes",1,0)</f>
        <v>1</v>
      </c>
      <c r="N964">
        <v>45289</v>
      </c>
    </row>
    <row r="965" spans="1:14" x14ac:dyDescent="0.35">
      <c r="A965" t="s">
        <v>1012</v>
      </c>
      <c r="B965">
        <v>81</v>
      </c>
      <c r="C965" t="str">
        <f>_xlfn.IFS(Table3[[#This Row],[Age]]&lt;=10, "Child",Table3[[#This Row],[Age]]&lt;18, "Teenger", Table3[[#This Row],[Age]]&lt;30, "Middle Age", Table3[[#This Row],[Age]]&lt; 60,"Adult",Table3[[#This Row],[Age]],"Senior Citizen")</f>
        <v>Senior Citizen</v>
      </c>
      <c r="D965" t="s">
        <v>12</v>
      </c>
      <c r="E965" t="s">
        <v>31</v>
      </c>
      <c r="F965" t="s">
        <v>29</v>
      </c>
      <c r="G965" s="1">
        <v>45461</v>
      </c>
      <c r="H965" s="1">
        <v>45471</v>
      </c>
      <c r="I965" s="2">
        <f>Table3[[#This Row],[Discharge_Date]]-Table3[[#This Row],[Admission_Date]]</f>
        <v>10</v>
      </c>
      <c r="J965">
        <v>201</v>
      </c>
      <c r="K965" t="s">
        <v>15</v>
      </c>
      <c r="L965" t="s">
        <v>26</v>
      </c>
      <c r="M965">
        <f>IF(Table3[[#This Row],[Treatment_Success]]="Yes",1,0)</f>
        <v>0</v>
      </c>
      <c r="N965">
        <v>54371</v>
      </c>
    </row>
    <row r="966" spans="1:14" x14ac:dyDescent="0.35">
      <c r="A966" t="s">
        <v>1013</v>
      </c>
      <c r="B966">
        <v>43</v>
      </c>
      <c r="C966" t="str">
        <f>_xlfn.IFS(Table3[[#This Row],[Age]]&lt;=10, "Child",Table3[[#This Row],[Age]]&lt;18, "Teenger", Table3[[#This Row],[Age]]&lt;30, "Middle Age", Table3[[#This Row],[Age]]&lt; 60,"Adult",Table3[[#This Row],[Age]],"Senior Citizen")</f>
        <v>Adult</v>
      </c>
      <c r="D966" t="s">
        <v>12</v>
      </c>
      <c r="E966" t="s">
        <v>38</v>
      </c>
      <c r="F966" t="s">
        <v>45</v>
      </c>
      <c r="G966" s="1">
        <v>45535</v>
      </c>
      <c r="H966" s="1">
        <v>45537</v>
      </c>
      <c r="I966" s="2">
        <f>Table3[[#This Row],[Discharge_Date]]-Table3[[#This Row],[Admission_Date]]</f>
        <v>2</v>
      </c>
      <c r="J966">
        <v>88</v>
      </c>
      <c r="K966" t="s">
        <v>15</v>
      </c>
      <c r="L966" t="s">
        <v>16</v>
      </c>
      <c r="M966">
        <f>IF(Table3[[#This Row],[Treatment_Success]]="Yes",1,0)</f>
        <v>1</v>
      </c>
      <c r="N966">
        <v>13404</v>
      </c>
    </row>
    <row r="967" spans="1:14" x14ac:dyDescent="0.35">
      <c r="A967" t="s">
        <v>1014</v>
      </c>
      <c r="B967">
        <v>63</v>
      </c>
      <c r="C967" t="str">
        <f>_xlfn.IFS(Table3[[#This Row],[Age]]&lt;=10, "Child",Table3[[#This Row],[Age]]&lt;18, "Teenger", Table3[[#This Row],[Age]]&lt;30, "Middle Age", Table3[[#This Row],[Age]]&lt; 60,"Adult",Table3[[#This Row],[Age]],"Senior Citizen")</f>
        <v>Senior Citizen</v>
      </c>
      <c r="D967" t="s">
        <v>18</v>
      </c>
      <c r="E967" t="s">
        <v>13</v>
      </c>
      <c r="F967" t="s">
        <v>29</v>
      </c>
      <c r="G967" s="1">
        <v>45644</v>
      </c>
      <c r="H967" s="1">
        <v>45654</v>
      </c>
      <c r="I967" s="2">
        <f>Table3[[#This Row],[Discharge_Date]]-Table3[[#This Row],[Admission_Date]]</f>
        <v>10</v>
      </c>
      <c r="J967">
        <v>36</v>
      </c>
      <c r="K967" t="s">
        <v>46</v>
      </c>
      <c r="L967" t="s">
        <v>16</v>
      </c>
      <c r="M967">
        <f>IF(Table3[[#This Row],[Treatment_Success]]="Yes",1,0)</f>
        <v>1</v>
      </c>
      <c r="N967">
        <v>58973</v>
      </c>
    </row>
    <row r="968" spans="1:14" x14ac:dyDescent="0.35">
      <c r="A968" t="s">
        <v>1015</v>
      </c>
      <c r="B968">
        <v>85</v>
      </c>
      <c r="C968" t="str">
        <f>_xlfn.IFS(Table3[[#This Row],[Age]]&lt;=10, "Child",Table3[[#This Row],[Age]]&lt;18, "Teenger", Table3[[#This Row],[Age]]&lt;30, "Middle Age", Table3[[#This Row],[Age]]&lt; 60,"Adult",Table3[[#This Row],[Age]],"Senior Citizen")</f>
        <v>Senior Citizen</v>
      </c>
      <c r="D968" t="s">
        <v>18</v>
      </c>
      <c r="E968" t="s">
        <v>31</v>
      </c>
      <c r="F968" t="s">
        <v>52</v>
      </c>
      <c r="G968" s="1">
        <v>45411</v>
      </c>
      <c r="H968" s="1">
        <v>45416</v>
      </c>
      <c r="I968" s="2">
        <f>Table3[[#This Row],[Discharge_Date]]-Table3[[#This Row],[Admission_Date]]</f>
        <v>5</v>
      </c>
      <c r="J968">
        <v>189</v>
      </c>
      <c r="K968" t="s">
        <v>15</v>
      </c>
      <c r="L968" t="s">
        <v>16</v>
      </c>
      <c r="M968">
        <f>IF(Table3[[#This Row],[Treatment_Success]]="Yes",1,0)</f>
        <v>1</v>
      </c>
      <c r="N968">
        <v>90661</v>
      </c>
    </row>
    <row r="969" spans="1:14" x14ac:dyDescent="0.35">
      <c r="A969" t="s">
        <v>1016</v>
      </c>
      <c r="B969">
        <v>21</v>
      </c>
      <c r="C969" t="str">
        <f>_xlfn.IFS(Table3[[#This Row],[Age]]&lt;=10, "Child",Table3[[#This Row],[Age]]&lt;18, "Teenger", Table3[[#This Row],[Age]]&lt;30, "Middle Age", Table3[[#This Row],[Age]]&lt; 60,"Adult",Table3[[#This Row],[Age]],"Senior Citizen")</f>
        <v>Middle Age</v>
      </c>
      <c r="D969" t="s">
        <v>18</v>
      </c>
      <c r="E969" t="s">
        <v>13</v>
      </c>
      <c r="F969" t="s">
        <v>61</v>
      </c>
      <c r="G969" s="1">
        <v>45502</v>
      </c>
      <c r="H969" s="1">
        <v>45509</v>
      </c>
      <c r="I969" s="2">
        <f>Table3[[#This Row],[Discharge_Date]]-Table3[[#This Row],[Admission_Date]]</f>
        <v>7</v>
      </c>
      <c r="J969">
        <v>215</v>
      </c>
      <c r="K969" t="s">
        <v>46</v>
      </c>
      <c r="L969" t="s">
        <v>16</v>
      </c>
      <c r="M969">
        <f>IF(Table3[[#This Row],[Treatment_Success]]="Yes",1,0)</f>
        <v>1</v>
      </c>
      <c r="N969">
        <v>106972</v>
      </c>
    </row>
    <row r="970" spans="1:14" x14ac:dyDescent="0.35">
      <c r="A970" t="s">
        <v>1017</v>
      </c>
      <c r="B970">
        <v>27</v>
      </c>
      <c r="C970" t="str">
        <f>_xlfn.IFS(Table3[[#This Row],[Age]]&lt;=10, "Child",Table3[[#This Row],[Age]]&lt;18, "Teenger", Table3[[#This Row],[Age]]&lt;30, "Middle Age", Table3[[#This Row],[Age]]&lt; 60,"Adult",Table3[[#This Row],[Age]],"Senior Citizen")</f>
        <v>Middle Age</v>
      </c>
      <c r="D970" t="s">
        <v>12</v>
      </c>
      <c r="E970" t="s">
        <v>31</v>
      </c>
      <c r="F970" t="s">
        <v>40</v>
      </c>
      <c r="G970" s="1">
        <v>45397</v>
      </c>
      <c r="H970" s="1">
        <v>45400</v>
      </c>
      <c r="I970" s="2">
        <f>Table3[[#This Row],[Discharge_Date]]-Table3[[#This Row],[Admission_Date]]</f>
        <v>3</v>
      </c>
      <c r="J970">
        <v>244</v>
      </c>
      <c r="K970" t="s">
        <v>36</v>
      </c>
      <c r="L970" t="s">
        <v>16</v>
      </c>
      <c r="M970">
        <f>IF(Table3[[#This Row],[Treatment_Success]]="Yes",1,0)</f>
        <v>1</v>
      </c>
      <c r="N970">
        <v>159007</v>
      </c>
    </row>
    <row r="971" spans="1:14" x14ac:dyDescent="0.35">
      <c r="A971" t="s">
        <v>1018</v>
      </c>
      <c r="B971">
        <v>88</v>
      </c>
      <c r="C971" t="str">
        <f>_xlfn.IFS(Table3[[#This Row],[Age]]&lt;=10, "Child",Table3[[#This Row],[Age]]&lt;18, "Teenger", Table3[[#This Row],[Age]]&lt;30, "Middle Age", Table3[[#This Row],[Age]]&lt; 60,"Adult",Table3[[#This Row],[Age]],"Senior Citizen")</f>
        <v>Senior Citizen</v>
      </c>
      <c r="D971" t="s">
        <v>12</v>
      </c>
      <c r="E971" t="s">
        <v>38</v>
      </c>
      <c r="F971" t="s">
        <v>29</v>
      </c>
      <c r="G971" s="1">
        <v>45395</v>
      </c>
      <c r="H971" s="1">
        <v>45404</v>
      </c>
      <c r="I971" s="2">
        <f>Table3[[#This Row],[Discharge_Date]]-Table3[[#This Row],[Admission_Date]]</f>
        <v>9</v>
      </c>
      <c r="J971">
        <v>4</v>
      </c>
      <c r="K971" t="s">
        <v>36</v>
      </c>
      <c r="L971" t="s">
        <v>26</v>
      </c>
      <c r="M971">
        <f>IF(Table3[[#This Row],[Treatment_Success]]="Yes",1,0)</f>
        <v>0</v>
      </c>
      <c r="N971">
        <v>21769</v>
      </c>
    </row>
    <row r="972" spans="1:14" x14ac:dyDescent="0.35">
      <c r="A972" t="s">
        <v>1019</v>
      </c>
      <c r="B972">
        <v>32</v>
      </c>
      <c r="C972" t="str">
        <f>_xlfn.IFS(Table3[[#This Row],[Age]]&lt;=10, "Child",Table3[[#This Row],[Age]]&lt;18, "Teenger", Table3[[#This Row],[Age]]&lt;30, "Middle Age", Table3[[#This Row],[Age]]&lt; 60,"Adult",Table3[[#This Row],[Age]],"Senior Citizen")</f>
        <v>Adult</v>
      </c>
      <c r="D972" t="s">
        <v>12</v>
      </c>
      <c r="E972" t="s">
        <v>28</v>
      </c>
      <c r="F972" t="s">
        <v>43</v>
      </c>
      <c r="G972" s="1">
        <v>45496</v>
      </c>
      <c r="H972" s="1">
        <v>45506</v>
      </c>
      <c r="I972" s="2">
        <f>Table3[[#This Row],[Discharge_Date]]-Table3[[#This Row],[Admission_Date]]</f>
        <v>10</v>
      </c>
      <c r="J972">
        <v>236</v>
      </c>
      <c r="K972" t="s">
        <v>46</v>
      </c>
      <c r="L972" t="s">
        <v>16</v>
      </c>
      <c r="M972">
        <f>IF(Table3[[#This Row],[Treatment_Success]]="Yes",1,0)</f>
        <v>1</v>
      </c>
      <c r="N972">
        <v>198276</v>
      </c>
    </row>
    <row r="973" spans="1:14" x14ac:dyDescent="0.35">
      <c r="A973" t="s">
        <v>1020</v>
      </c>
      <c r="B973">
        <v>83</v>
      </c>
      <c r="C973" t="str">
        <f>_xlfn.IFS(Table3[[#This Row],[Age]]&lt;=10, "Child",Table3[[#This Row],[Age]]&lt;18, "Teenger", Table3[[#This Row],[Age]]&lt;30, "Middle Age", Table3[[#This Row],[Age]]&lt; 60,"Adult",Table3[[#This Row],[Age]],"Senior Citizen")</f>
        <v>Senior Citizen</v>
      </c>
      <c r="D973" t="s">
        <v>12</v>
      </c>
      <c r="E973" t="s">
        <v>38</v>
      </c>
      <c r="F973" t="s">
        <v>40</v>
      </c>
      <c r="G973" s="1">
        <v>45338</v>
      </c>
      <c r="H973" s="1">
        <v>45343</v>
      </c>
      <c r="I973" s="2">
        <f>Table3[[#This Row],[Discharge_Date]]-Table3[[#This Row],[Admission_Date]]</f>
        <v>5</v>
      </c>
      <c r="J973">
        <v>153</v>
      </c>
      <c r="K973" t="s">
        <v>46</v>
      </c>
      <c r="L973" t="s">
        <v>16</v>
      </c>
      <c r="M973">
        <f>IF(Table3[[#This Row],[Treatment_Success]]="Yes",1,0)</f>
        <v>1</v>
      </c>
      <c r="N973">
        <v>113803</v>
      </c>
    </row>
    <row r="974" spans="1:14" x14ac:dyDescent="0.35">
      <c r="A974" t="s">
        <v>1021</v>
      </c>
      <c r="B974">
        <v>80</v>
      </c>
      <c r="C974" t="str">
        <f>_xlfn.IFS(Table3[[#This Row],[Age]]&lt;=10, "Child",Table3[[#This Row],[Age]]&lt;18, "Teenger", Table3[[#This Row],[Age]]&lt;30, "Middle Age", Table3[[#This Row],[Age]]&lt; 60,"Adult",Table3[[#This Row],[Age]],"Senior Citizen")</f>
        <v>Senior Citizen</v>
      </c>
      <c r="D974" t="s">
        <v>12</v>
      </c>
      <c r="E974" t="s">
        <v>31</v>
      </c>
      <c r="F974" t="s">
        <v>56</v>
      </c>
      <c r="G974" s="1">
        <v>45419</v>
      </c>
      <c r="H974" s="1">
        <v>45422</v>
      </c>
      <c r="I974" s="2">
        <f>Table3[[#This Row],[Discharge_Date]]-Table3[[#This Row],[Admission_Date]]</f>
        <v>3</v>
      </c>
      <c r="J974">
        <v>94</v>
      </c>
      <c r="K974" t="s">
        <v>15</v>
      </c>
      <c r="L974" t="s">
        <v>26</v>
      </c>
      <c r="M974">
        <f>IF(Table3[[#This Row],[Treatment_Success]]="Yes",1,0)</f>
        <v>0</v>
      </c>
      <c r="N974">
        <v>188145</v>
      </c>
    </row>
    <row r="975" spans="1:14" x14ac:dyDescent="0.35">
      <c r="A975" t="s">
        <v>1022</v>
      </c>
      <c r="B975">
        <v>21</v>
      </c>
      <c r="C975" t="str">
        <f>_xlfn.IFS(Table3[[#This Row],[Age]]&lt;=10, "Child",Table3[[#This Row],[Age]]&lt;18, "Teenger", Table3[[#This Row],[Age]]&lt;30, "Middle Age", Table3[[#This Row],[Age]]&lt; 60,"Adult",Table3[[#This Row],[Age]],"Senior Citizen")</f>
        <v>Middle Age</v>
      </c>
      <c r="D975" t="s">
        <v>12</v>
      </c>
      <c r="E975" t="s">
        <v>28</v>
      </c>
      <c r="F975" t="s">
        <v>83</v>
      </c>
      <c r="G975" s="1">
        <v>45314</v>
      </c>
      <c r="H975" s="1">
        <v>45318</v>
      </c>
      <c r="I975" s="2">
        <f>Table3[[#This Row],[Discharge_Date]]-Table3[[#This Row],[Admission_Date]]</f>
        <v>4</v>
      </c>
      <c r="J975">
        <v>35</v>
      </c>
      <c r="K975" t="s">
        <v>36</v>
      </c>
      <c r="L975" t="s">
        <v>26</v>
      </c>
      <c r="M975">
        <f>IF(Table3[[#This Row],[Treatment_Success]]="Yes",1,0)</f>
        <v>0</v>
      </c>
      <c r="N975">
        <v>112814</v>
      </c>
    </row>
    <row r="976" spans="1:14" x14ac:dyDescent="0.35">
      <c r="A976" t="s">
        <v>1023</v>
      </c>
      <c r="B976">
        <v>48</v>
      </c>
      <c r="C976" t="str">
        <f>_xlfn.IFS(Table3[[#This Row],[Age]]&lt;=10, "Child",Table3[[#This Row],[Age]]&lt;18, "Teenger", Table3[[#This Row],[Age]]&lt;30, "Middle Age", Table3[[#This Row],[Age]]&lt; 60,"Adult",Table3[[#This Row],[Age]],"Senior Citizen")</f>
        <v>Adult</v>
      </c>
      <c r="D976" t="s">
        <v>18</v>
      </c>
      <c r="E976" t="s">
        <v>24</v>
      </c>
      <c r="F976" t="s">
        <v>49</v>
      </c>
      <c r="G976" s="1">
        <v>45575</v>
      </c>
      <c r="H976" s="1">
        <v>45577</v>
      </c>
      <c r="I976" s="2">
        <f>Table3[[#This Row],[Discharge_Date]]-Table3[[#This Row],[Admission_Date]]</f>
        <v>2</v>
      </c>
      <c r="J976">
        <v>167</v>
      </c>
      <c r="K976" t="s">
        <v>46</v>
      </c>
      <c r="L976" t="s">
        <v>26</v>
      </c>
      <c r="M976">
        <f>IF(Table3[[#This Row],[Treatment_Success]]="Yes",1,0)</f>
        <v>0</v>
      </c>
      <c r="N976">
        <v>48211</v>
      </c>
    </row>
    <row r="977" spans="1:14" x14ac:dyDescent="0.35">
      <c r="A977" t="s">
        <v>1024</v>
      </c>
      <c r="B977">
        <v>65</v>
      </c>
      <c r="C977" t="str">
        <f>_xlfn.IFS(Table3[[#This Row],[Age]]&lt;=10, "Child",Table3[[#This Row],[Age]]&lt;18, "Teenger", Table3[[#This Row],[Age]]&lt;30, "Middle Age", Table3[[#This Row],[Age]]&lt; 60,"Adult",Table3[[#This Row],[Age]],"Senior Citizen")</f>
        <v>Senior Citizen</v>
      </c>
      <c r="D977" t="s">
        <v>18</v>
      </c>
      <c r="E977" t="s">
        <v>31</v>
      </c>
      <c r="F977" t="s">
        <v>80</v>
      </c>
      <c r="G977" s="1">
        <v>45421</v>
      </c>
      <c r="H977" s="1">
        <v>45425</v>
      </c>
      <c r="I977" s="2">
        <f>Table3[[#This Row],[Discharge_Date]]-Table3[[#This Row],[Admission_Date]]</f>
        <v>4</v>
      </c>
      <c r="J977">
        <v>38</v>
      </c>
      <c r="K977" t="s">
        <v>46</v>
      </c>
      <c r="L977" t="s">
        <v>26</v>
      </c>
      <c r="M977">
        <f>IF(Table3[[#This Row],[Treatment_Success]]="Yes",1,0)</f>
        <v>0</v>
      </c>
      <c r="N977">
        <v>95087</v>
      </c>
    </row>
    <row r="978" spans="1:14" x14ac:dyDescent="0.35">
      <c r="A978" t="s">
        <v>1025</v>
      </c>
      <c r="B978">
        <v>25</v>
      </c>
      <c r="C978" t="str">
        <f>_xlfn.IFS(Table3[[#This Row],[Age]]&lt;=10, "Child",Table3[[#This Row],[Age]]&lt;18, "Teenger", Table3[[#This Row],[Age]]&lt;30, "Middle Age", Table3[[#This Row],[Age]]&lt; 60,"Adult",Table3[[#This Row],[Age]],"Senior Citizen")</f>
        <v>Middle Age</v>
      </c>
      <c r="D978" t="s">
        <v>12</v>
      </c>
      <c r="E978" t="s">
        <v>24</v>
      </c>
      <c r="F978" t="s">
        <v>80</v>
      </c>
      <c r="G978" s="1">
        <v>45496</v>
      </c>
      <c r="H978" s="1">
        <v>45510</v>
      </c>
      <c r="I978" s="2">
        <f>Table3[[#This Row],[Discharge_Date]]-Table3[[#This Row],[Admission_Date]]</f>
        <v>14</v>
      </c>
      <c r="J978">
        <v>129</v>
      </c>
      <c r="K978" t="s">
        <v>15</v>
      </c>
      <c r="L978" t="s">
        <v>16</v>
      </c>
      <c r="M978">
        <f>IF(Table3[[#This Row],[Treatment_Success]]="Yes",1,0)</f>
        <v>1</v>
      </c>
      <c r="N978">
        <v>90750</v>
      </c>
    </row>
    <row r="979" spans="1:14" x14ac:dyDescent="0.35">
      <c r="A979" t="s">
        <v>1026</v>
      </c>
      <c r="B979">
        <v>60</v>
      </c>
      <c r="C979" t="str">
        <f>_xlfn.IFS(Table3[[#This Row],[Age]]&lt;=10, "Child",Table3[[#This Row],[Age]]&lt;18, "Teenger", Table3[[#This Row],[Age]]&lt;30, "Middle Age", Table3[[#This Row],[Age]]&lt; 60,"Adult",Table3[[#This Row],[Age]],"Senior Citizen")</f>
        <v>Senior Citizen</v>
      </c>
      <c r="D979" t="s">
        <v>12</v>
      </c>
      <c r="E979" t="s">
        <v>31</v>
      </c>
      <c r="F979" t="s">
        <v>45</v>
      </c>
      <c r="G979" s="1">
        <v>45635</v>
      </c>
      <c r="H979" s="1">
        <v>45647</v>
      </c>
      <c r="I979" s="2">
        <f>Table3[[#This Row],[Discharge_Date]]-Table3[[#This Row],[Admission_Date]]</f>
        <v>12</v>
      </c>
      <c r="J979">
        <v>43</v>
      </c>
      <c r="K979" t="s">
        <v>36</v>
      </c>
      <c r="L979" t="s">
        <v>26</v>
      </c>
      <c r="M979">
        <f>IF(Table3[[#This Row],[Treatment_Success]]="Yes",1,0)</f>
        <v>0</v>
      </c>
      <c r="N979">
        <v>41767</v>
      </c>
    </row>
    <row r="980" spans="1:14" x14ac:dyDescent="0.35">
      <c r="A980" t="s">
        <v>1027</v>
      </c>
      <c r="B980">
        <v>36</v>
      </c>
      <c r="C980" t="str">
        <f>_xlfn.IFS(Table3[[#This Row],[Age]]&lt;=10, "Child",Table3[[#This Row],[Age]]&lt;18, "Teenger", Table3[[#This Row],[Age]]&lt;30, "Middle Age", Table3[[#This Row],[Age]]&lt; 60,"Adult",Table3[[#This Row],[Age]],"Senior Citizen")</f>
        <v>Adult</v>
      </c>
      <c r="D980" t="s">
        <v>18</v>
      </c>
      <c r="E980" t="s">
        <v>13</v>
      </c>
      <c r="F980" t="s">
        <v>80</v>
      </c>
      <c r="G980" s="1">
        <v>45533</v>
      </c>
      <c r="H980" s="1">
        <v>45547</v>
      </c>
      <c r="I980" s="2">
        <f>Table3[[#This Row],[Discharge_Date]]-Table3[[#This Row],[Admission_Date]]</f>
        <v>14</v>
      </c>
      <c r="J980">
        <v>52</v>
      </c>
      <c r="K980" t="s">
        <v>36</v>
      </c>
      <c r="L980" t="s">
        <v>16</v>
      </c>
      <c r="M980">
        <f>IF(Table3[[#This Row],[Treatment_Success]]="Yes",1,0)</f>
        <v>1</v>
      </c>
      <c r="N980">
        <v>37545</v>
      </c>
    </row>
    <row r="981" spans="1:14" x14ac:dyDescent="0.35">
      <c r="A981" t="s">
        <v>1028</v>
      </c>
      <c r="B981">
        <v>51</v>
      </c>
      <c r="C981" t="str">
        <f>_xlfn.IFS(Table3[[#This Row],[Age]]&lt;=10, "Child",Table3[[#This Row],[Age]]&lt;18, "Teenger", Table3[[#This Row],[Age]]&lt;30, "Middle Age", Table3[[#This Row],[Age]]&lt; 60,"Adult",Table3[[#This Row],[Age]],"Senior Citizen")</f>
        <v>Adult</v>
      </c>
      <c r="D981" t="s">
        <v>18</v>
      </c>
      <c r="E981" t="s">
        <v>24</v>
      </c>
      <c r="F981" t="s">
        <v>54</v>
      </c>
      <c r="G981" s="1">
        <v>45565</v>
      </c>
      <c r="H981" s="1">
        <v>45577</v>
      </c>
      <c r="I981" s="2">
        <f>Table3[[#This Row],[Discharge_Date]]-Table3[[#This Row],[Admission_Date]]</f>
        <v>12</v>
      </c>
      <c r="J981">
        <v>6</v>
      </c>
      <c r="K981" t="s">
        <v>33</v>
      </c>
      <c r="L981" t="s">
        <v>16</v>
      </c>
      <c r="M981">
        <f>IF(Table3[[#This Row],[Treatment_Success]]="Yes",1,0)</f>
        <v>1</v>
      </c>
      <c r="N981">
        <v>120515</v>
      </c>
    </row>
    <row r="982" spans="1:14" x14ac:dyDescent="0.35">
      <c r="A982" t="s">
        <v>1029</v>
      </c>
      <c r="B982">
        <v>28</v>
      </c>
      <c r="C982" t="str">
        <f>_xlfn.IFS(Table3[[#This Row],[Age]]&lt;=10, "Child",Table3[[#This Row],[Age]]&lt;18, "Teenger", Table3[[#This Row],[Age]]&lt;30, "Middle Age", Table3[[#This Row],[Age]]&lt; 60,"Adult",Table3[[#This Row],[Age]],"Senior Citizen")</f>
        <v>Middle Age</v>
      </c>
      <c r="D982" t="s">
        <v>18</v>
      </c>
      <c r="E982" t="s">
        <v>28</v>
      </c>
      <c r="F982" t="s">
        <v>29</v>
      </c>
      <c r="G982" s="1">
        <v>45475</v>
      </c>
      <c r="H982" s="1">
        <v>45478</v>
      </c>
      <c r="I982" s="2">
        <f>Table3[[#This Row],[Discharge_Date]]-Table3[[#This Row],[Admission_Date]]</f>
        <v>3</v>
      </c>
      <c r="J982">
        <v>227</v>
      </c>
      <c r="K982" t="s">
        <v>15</v>
      </c>
      <c r="L982" t="s">
        <v>16</v>
      </c>
      <c r="M982">
        <f>IF(Table3[[#This Row],[Treatment_Success]]="Yes",1,0)</f>
        <v>1</v>
      </c>
      <c r="N982">
        <v>107398</v>
      </c>
    </row>
    <row r="983" spans="1:14" x14ac:dyDescent="0.35">
      <c r="A983" t="s">
        <v>1030</v>
      </c>
      <c r="B983">
        <v>57</v>
      </c>
      <c r="C983" t="str">
        <f>_xlfn.IFS(Table3[[#This Row],[Age]]&lt;=10, "Child",Table3[[#This Row],[Age]]&lt;18, "Teenger", Table3[[#This Row],[Age]]&lt;30, "Middle Age", Table3[[#This Row],[Age]]&lt; 60,"Adult",Table3[[#This Row],[Age]],"Senior Citizen")</f>
        <v>Adult</v>
      </c>
      <c r="D983" t="s">
        <v>18</v>
      </c>
      <c r="E983" t="s">
        <v>28</v>
      </c>
      <c r="F983" t="s">
        <v>80</v>
      </c>
      <c r="G983" s="1">
        <v>45645</v>
      </c>
      <c r="H983" s="1">
        <v>45650</v>
      </c>
      <c r="I983" s="2">
        <f>Table3[[#This Row],[Discharge_Date]]-Table3[[#This Row],[Admission_Date]]</f>
        <v>5</v>
      </c>
      <c r="J983">
        <v>25</v>
      </c>
      <c r="K983" t="s">
        <v>46</v>
      </c>
      <c r="L983" t="s">
        <v>16</v>
      </c>
      <c r="M983">
        <f>IF(Table3[[#This Row],[Treatment_Success]]="Yes",1,0)</f>
        <v>1</v>
      </c>
      <c r="N983">
        <v>70457</v>
      </c>
    </row>
    <row r="984" spans="1:14" x14ac:dyDescent="0.35">
      <c r="A984" t="s">
        <v>1031</v>
      </c>
      <c r="B984">
        <v>31</v>
      </c>
      <c r="C984" t="str">
        <f>_xlfn.IFS(Table3[[#This Row],[Age]]&lt;=10, "Child",Table3[[#This Row],[Age]]&lt;18, "Teenger", Table3[[#This Row],[Age]]&lt;30, "Middle Age", Table3[[#This Row],[Age]]&lt; 60,"Adult",Table3[[#This Row],[Age]],"Senior Citizen")</f>
        <v>Adult</v>
      </c>
      <c r="D984" t="s">
        <v>18</v>
      </c>
      <c r="E984" t="s">
        <v>24</v>
      </c>
      <c r="F984" t="s">
        <v>80</v>
      </c>
      <c r="G984" s="1">
        <v>45483</v>
      </c>
      <c r="H984" s="1">
        <v>45498</v>
      </c>
      <c r="I984" s="2">
        <f>Table3[[#This Row],[Discharge_Date]]-Table3[[#This Row],[Admission_Date]]</f>
        <v>15</v>
      </c>
      <c r="J984">
        <v>216</v>
      </c>
      <c r="K984" t="s">
        <v>15</v>
      </c>
      <c r="L984" t="s">
        <v>16</v>
      </c>
      <c r="M984">
        <f>IF(Table3[[#This Row],[Treatment_Success]]="Yes",1,0)</f>
        <v>1</v>
      </c>
      <c r="N984">
        <v>93373</v>
      </c>
    </row>
    <row r="985" spans="1:14" x14ac:dyDescent="0.35">
      <c r="A985" t="s">
        <v>1032</v>
      </c>
      <c r="B985">
        <v>86</v>
      </c>
      <c r="C985" t="str">
        <f>_xlfn.IFS(Table3[[#This Row],[Age]]&lt;=10, "Child",Table3[[#This Row],[Age]]&lt;18, "Teenger", Table3[[#This Row],[Age]]&lt;30, "Middle Age", Table3[[#This Row],[Age]]&lt; 60,"Adult",Table3[[#This Row],[Age]],"Senior Citizen")</f>
        <v>Senior Citizen</v>
      </c>
      <c r="D985" t="s">
        <v>18</v>
      </c>
      <c r="E985" t="s">
        <v>13</v>
      </c>
      <c r="F985" t="s">
        <v>90</v>
      </c>
      <c r="G985" s="1">
        <v>45390</v>
      </c>
      <c r="H985" s="1">
        <v>45401</v>
      </c>
      <c r="I985" s="2">
        <f>Table3[[#This Row],[Discharge_Date]]-Table3[[#This Row],[Admission_Date]]</f>
        <v>11</v>
      </c>
      <c r="J985">
        <v>86</v>
      </c>
      <c r="K985" t="s">
        <v>36</v>
      </c>
      <c r="L985" t="s">
        <v>16</v>
      </c>
      <c r="M985">
        <f>IF(Table3[[#This Row],[Treatment_Success]]="Yes",1,0)</f>
        <v>1</v>
      </c>
      <c r="N985">
        <v>113968</v>
      </c>
    </row>
    <row r="986" spans="1:14" x14ac:dyDescent="0.35">
      <c r="A986" t="s">
        <v>1033</v>
      </c>
      <c r="B986">
        <v>42</v>
      </c>
      <c r="C986" t="str">
        <f>_xlfn.IFS(Table3[[#This Row],[Age]]&lt;=10, "Child",Table3[[#This Row],[Age]]&lt;18, "Teenger", Table3[[#This Row],[Age]]&lt;30, "Middle Age", Table3[[#This Row],[Age]]&lt; 60,"Adult",Table3[[#This Row],[Age]],"Senior Citizen")</f>
        <v>Adult</v>
      </c>
      <c r="D986" t="s">
        <v>12</v>
      </c>
      <c r="E986" t="s">
        <v>28</v>
      </c>
      <c r="F986" t="s">
        <v>68</v>
      </c>
      <c r="G986" s="1">
        <v>45554</v>
      </c>
      <c r="H986" s="1">
        <v>45556</v>
      </c>
      <c r="I986" s="2">
        <f>Table3[[#This Row],[Discharge_Date]]-Table3[[#This Row],[Admission_Date]]</f>
        <v>2</v>
      </c>
      <c r="J986">
        <v>98</v>
      </c>
      <c r="K986" t="s">
        <v>36</v>
      </c>
      <c r="L986" t="s">
        <v>26</v>
      </c>
      <c r="M986">
        <f>IF(Table3[[#This Row],[Treatment_Success]]="Yes",1,0)</f>
        <v>0</v>
      </c>
      <c r="N986">
        <v>117166</v>
      </c>
    </row>
    <row r="987" spans="1:14" x14ac:dyDescent="0.35">
      <c r="A987" t="s">
        <v>1034</v>
      </c>
      <c r="B987">
        <v>28</v>
      </c>
      <c r="C987" t="str">
        <f>_xlfn.IFS(Table3[[#This Row],[Age]]&lt;=10, "Child",Table3[[#This Row],[Age]]&lt;18, "Teenger", Table3[[#This Row],[Age]]&lt;30, "Middle Age", Table3[[#This Row],[Age]]&lt; 60,"Adult",Table3[[#This Row],[Age]],"Senior Citizen")</f>
        <v>Middle Age</v>
      </c>
      <c r="D987" t="s">
        <v>18</v>
      </c>
      <c r="E987" t="s">
        <v>38</v>
      </c>
      <c r="F987" t="s">
        <v>95</v>
      </c>
      <c r="G987" s="1">
        <v>45353</v>
      </c>
      <c r="H987" s="1">
        <v>45357</v>
      </c>
      <c r="I987" s="2">
        <f>Table3[[#This Row],[Discharge_Date]]-Table3[[#This Row],[Admission_Date]]</f>
        <v>4</v>
      </c>
      <c r="J987">
        <v>89</v>
      </c>
      <c r="K987" t="s">
        <v>15</v>
      </c>
      <c r="L987" t="s">
        <v>26</v>
      </c>
      <c r="M987">
        <f>IF(Table3[[#This Row],[Treatment_Success]]="Yes",1,0)</f>
        <v>0</v>
      </c>
      <c r="N987">
        <v>176440</v>
      </c>
    </row>
    <row r="988" spans="1:14" x14ac:dyDescent="0.35">
      <c r="A988" t="s">
        <v>1035</v>
      </c>
      <c r="B988">
        <v>50</v>
      </c>
      <c r="C988" t="str">
        <f>_xlfn.IFS(Table3[[#This Row],[Age]]&lt;=10, "Child",Table3[[#This Row],[Age]]&lt;18, "Teenger", Table3[[#This Row],[Age]]&lt;30, "Middle Age", Table3[[#This Row],[Age]]&lt; 60,"Adult",Table3[[#This Row],[Age]],"Senior Citizen")</f>
        <v>Adult</v>
      </c>
      <c r="D988" t="s">
        <v>18</v>
      </c>
      <c r="E988" t="s">
        <v>31</v>
      </c>
      <c r="F988" t="s">
        <v>14</v>
      </c>
      <c r="G988" s="1">
        <v>45453</v>
      </c>
      <c r="H988" s="1">
        <v>45454</v>
      </c>
      <c r="I988" s="2">
        <f>Table3[[#This Row],[Discharge_Date]]-Table3[[#This Row],[Admission_Date]]</f>
        <v>1</v>
      </c>
      <c r="J988">
        <v>34</v>
      </c>
      <c r="K988" t="s">
        <v>33</v>
      </c>
      <c r="L988" t="s">
        <v>16</v>
      </c>
      <c r="M988">
        <f>IF(Table3[[#This Row],[Treatment_Success]]="Yes",1,0)</f>
        <v>1</v>
      </c>
      <c r="N988">
        <v>16518</v>
      </c>
    </row>
    <row r="989" spans="1:14" x14ac:dyDescent="0.35">
      <c r="A989" t="s">
        <v>1036</v>
      </c>
      <c r="B989">
        <v>28</v>
      </c>
      <c r="C989" t="str">
        <f>_xlfn.IFS(Table3[[#This Row],[Age]]&lt;=10, "Child",Table3[[#This Row],[Age]]&lt;18, "Teenger", Table3[[#This Row],[Age]]&lt;30, "Middle Age", Table3[[#This Row],[Age]]&lt; 60,"Adult",Table3[[#This Row],[Age]],"Senior Citizen")</f>
        <v>Middle Age</v>
      </c>
      <c r="D989" t="s">
        <v>12</v>
      </c>
      <c r="E989" t="s">
        <v>38</v>
      </c>
      <c r="F989" t="s">
        <v>22</v>
      </c>
      <c r="G989" s="1">
        <v>45326</v>
      </c>
      <c r="H989" s="1">
        <v>45341</v>
      </c>
      <c r="I989" s="2">
        <f>Table3[[#This Row],[Discharge_Date]]-Table3[[#This Row],[Admission_Date]]</f>
        <v>15</v>
      </c>
      <c r="J989">
        <v>256</v>
      </c>
      <c r="K989" t="s">
        <v>15</v>
      </c>
      <c r="L989" t="s">
        <v>16</v>
      </c>
      <c r="M989">
        <f>IF(Table3[[#This Row],[Treatment_Success]]="Yes",1,0)</f>
        <v>1</v>
      </c>
      <c r="N989">
        <v>71044</v>
      </c>
    </row>
    <row r="990" spans="1:14" x14ac:dyDescent="0.35">
      <c r="A990" t="s">
        <v>1037</v>
      </c>
      <c r="B990">
        <v>42</v>
      </c>
      <c r="C990" t="str">
        <f>_xlfn.IFS(Table3[[#This Row],[Age]]&lt;=10, "Child",Table3[[#This Row],[Age]]&lt;18, "Teenger", Table3[[#This Row],[Age]]&lt;30, "Middle Age", Table3[[#This Row],[Age]]&lt; 60,"Adult",Table3[[#This Row],[Age]],"Senior Citizen")</f>
        <v>Adult</v>
      </c>
      <c r="D990" t="s">
        <v>12</v>
      </c>
      <c r="E990" t="s">
        <v>13</v>
      </c>
      <c r="F990" t="s">
        <v>95</v>
      </c>
      <c r="G990" s="1">
        <v>45340</v>
      </c>
      <c r="H990" s="1">
        <v>45350</v>
      </c>
      <c r="I990" s="2">
        <f>Table3[[#This Row],[Discharge_Date]]-Table3[[#This Row],[Admission_Date]]</f>
        <v>10</v>
      </c>
      <c r="J990">
        <v>90</v>
      </c>
      <c r="K990" t="s">
        <v>33</v>
      </c>
      <c r="L990" t="s">
        <v>26</v>
      </c>
      <c r="M990">
        <f>IF(Table3[[#This Row],[Treatment_Success]]="Yes",1,0)</f>
        <v>0</v>
      </c>
      <c r="N990">
        <v>22698</v>
      </c>
    </row>
    <row r="991" spans="1:14" x14ac:dyDescent="0.35">
      <c r="A991" t="s">
        <v>1038</v>
      </c>
      <c r="B991">
        <v>78</v>
      </c>
      <c r="C991" t="str">
        <f>_xlfn.IFS(Table3[[#This Row],[Age]]&lt;=10, "Child",Table3[[#This Row],[Age]]&lt;18, "Teenger", Table3[[#This Row],[Age]]&lt;30, "Middle Age", Table3[[#This Row],[Age]]&lt; 60,"Adult",Table3[[#This Row],[Age]],"Senior Citizen")</f>
        <v>Senior Citizen</v>
      </c>
      <c r="D991" t="s">
        <v>12</v>
      </c>
      <c r="E991" t="s">
        <v>31</v>
      </c>
      <c r="F991" t="s">
        <v>49</v>
      </c>
      <c r="G991" s="1">
        <v>45463</v>
      </c>
      <c r="H991" s="1">
        <v>45464</v>
      </c>
      <c r="I991" s="2">
        <f>Table3[[#This Row],[Discharge_Date]]-Table3[[#This Row],[Admission_Date]]</f>
        <v>1</v>
      </c>
      <c r="J991">
        <v>120</v>
      </c>
      <c r="K991" t="s">
        <v>15</v>
      </c>
      <c r="L991" t="s">
        <v>16</v>
      </c>
      <c r="M991">
        <f>IF(Table3[[#This Row],[Treatment_Success]]="Yes",1,0)</f>
        <v>1</v>
      </c>
      <c r="N991">
        <v>10560</v>
      </c>
    </row>
    <row r="992" spans="1:14" x14ac:dyDescent="0.35">
      <c r="A992" t="s">
        <v>1039</v>
      </c>
      <c r="B992">
        <v>16</v>
      </c>
      <c r="C992" t="str">
        <f>_xlfn.IFS(Table3[[#This Row],[Age]]&lt;=10, "Child",Table3[[#This Row],[Age]]&lt;18, "Teenger", Table3[[#This Row],[Age]]&lt;30, "Middle Age", Table3[[#This Row],[Age]]&lt; 60,"Adult",Table3[[#This Row],[Age]],"Senior Citizen")</f>
        <v>Teenger</v>
      </c>
      <c r="D992" t="s">
        <v>12</v>
      </c>
      <c r="E992" t="s">
        <v>13</v>
      </c>
      <c r="F992" t="s">
        <v>25</v>
      </c>
      <c r="G992" s="1">
        <v>45607</v>
      </c>
      <c r="H992" s="1">
        <v>45620</v>
      </c>
      <c r="I992" s="2">
        <f>Table3[[#This Row],[Discharge_Date]]-Table3[[#This Row],[Admission_Date]]</f>
        <v>13</v>
      </c>
      <c r="J992">
        <v>220</v>
      </c>
      <c r="K992" t="s">
        <v>36</v>
      </c>
      <c r="L992" t="s">
        <v>16</v>
      </c>
      <c r="M992">
        <f>IF(Table3[[#This Row],[Treatment_Success]]="Yes",1,0)</f>
        <v>1</v>
      </c>
      <c r="N992">
        <v>20708</v>
      </c>
    </row>
    <row r="993" spans="1:14" x14ac:dyDescent="0.35">
      <c r="A993" t="s">
        <v>1040</v>
      </c>
      <c r="B993">
        <v>64</v>
      </c>
      <c r="C993" t="str">
        <f>_xlfn.IFS(Table3[[#This Row],[Age]]&lt;=10, "Child",Table3[[#This Row],[Age]]&lt;18, "Teenger", Table3[[#This Row],[Age]]&lt;30, "Middle Age", Table3[[#This Row],[Age]]&lt; 60,"Adult",Table3[[#This Row],[Age]],"Senior Citizen")</f>
        <v>Senior Citizen</v>
      </c>
      <c r="D993" t="s">
        <v>12</v>
      </c>
      <c r="E993" t="s">
        <v>13</v>
      </c>
      <c r="F993" t="s">
        <v>106</v>
      </c>
      <c r="G993" s="1">
        <v>45362</v>
      </c>
      <c r="H993" s="1">
        <v>45368</v>
      </c>
      <c r="I993" s="2">
        <f>Table3[[#This Row],[Discharge_Date]]-Table3[[#This Row],[Admission_Date]]</f>
        <v>6</v>
      </c>
      <c r="J993">
        <v>193</v>
      </c>
      <c r="K993" t="s">
        <v>36</v>
      </c>
      <c r="L993" t="s">
        <v>16</v>
      </c>
      <c r="M993">
        <f>IF(Table3[[#This Row],[Treatment_Success]]="Yes",1,0)</f>
        <v>1</v>
      </c>
      <c r="N993">
        <v>67407</v>
      </c>
    </row>
    <row r="994" spans="1:14" x14ac:dyDescent="0.35">
      <c r="A994" t="s">
        <v>1041</v>
      </c>
      <c r="B994">
        <v>43</v>
      </c>
      <c r="C994" t="str">
        <f>_xlfn.IFS(Table3[[#This Row],[Age]]&lt;=10, "Child",Table3[[#This Row],[Age]]&lt;18, "Teenger", Table3[[#This Row],[Age]]&lt;30, "Middle Age", Table3[[#This Row],[Age]]&lt; 60,"Adult",Table3[[#This Row],[Age]],"Senior Citizen")</f>
        <v>Adult</v>
      </c>
      <c r="D994" t="s">
        <v>18</v>
      </c>
      <c r="E994" t="s">
        <v>38</v>
      </c>
      <c r="F994" t="s">
        <v>95</v>
      </c>
      <c r="G994" s="1">
        <v>45598</v>
      </c>
      <c r="H994" s="1">
        <v>45606</v>
      </c>
      <c r="I994" s="2">
        <f>Table3[[#This Row],[Discharge_Date]]-Table3[[#This Row],[Admission_Date]]</f>
        <v>8</v>
      </c>
      <c r="J994">
        <v>21</v>
      </c>
      <c r="K994" t="s">
        <v>46</v>
      </c>
      <c r="L994" t="s">
        <v>16</v>
      </c>
      <c r="M994">
        <f>IF(Table3[[#This Row],[Treatment_Success]]="Yes",1,0)</f>
        <v>1</v>
      </c>
      <c r="N994">
        <v>11211</v>
      </c>
    </row>
    <row r="995" spans="1:14" x14ac:dyDescent="0.35">
      <c r="A995" t="s">
        <v>1042</v>
      </c>
      <c r="B995">
        <v>43</v>
      </c>
      <c r="C995" t="str">
        <f>_xlfn.IFS(Table3[[#This Row],[Age]]&lt;=10, "Child",Table3[[#This Row],[Age]]&lt;18, "Teenger", Table3[[#This Row],[Age]]&lt;30, "Middle Age", Table3[[#This Row],[Age]]&lt; 60,"Adult",Table3[[#This Row],[Age]],"Senior Citizen")</f>
        <v>Adult</v>
      </c>
      <c r="D995" t="s">
        <v>12</v>
      </c>
      <c r="E995" t="s">
        <v>13</v>
      </c>
      <c r="F995" t="s">
        <v>29</v>
      </c>
      <c r="G995" s="1">
        <v>45409</v>
      </c>
      <c r="H995" s="1">
        <v>45423</v>
      </c>
      <c r="I995" s="2">
        <f>Table3[[#This Row],[Discharge_Date]]-Table3[[#This Row],[Admission_Date]]</f>
        <v>14</v>
      </c>
      <c r="J995">
        <v>277</v>
      </c>
      <c r="K995" t="s">
        <v>15</v>
      </c>
      <c r="L995" t="s">
        <v>16</v>
      </c>
      <c r="M995">
        <f>IF(Table3[[#This Row],[Treatment_Success]]="Yes",1,0)</f>
        <v>1</v>
      </c>
      <c r="N995">
        <v>185184</v>
      </c>
    </row>
    <row r="996" spans="1:14" x14ac:dyDescent="0.35">
      <c r="A996" t="s">
        <v>1043</v>
      </c>
      <c r="B996">
        <v>29</v>
      </c>
      <c r="C996" t="str">
        <f>_xlfn.IFS(Table3[[#This Row],[Age]]&lt;=10, "Child",Table3[[#This Row],[Age]]&lt;18, "Teenger", Table3[[#This Row],[Age]]&lt;30, "Middle Age", Table3[[#This Row],[Age]]&lt; 60,"Adult",Table3[[#This Row],[Age]],"Senior Citizen")</f>
        <v>Middle Age</v>
      </c>
      <c r="D996" t="s">
        <v>12</v>
      </c>
      <c r="E996" t="s">
        <v>28</v>
      </c>
      <c r="F996" t="s">
        <v>95</v>
      </c>
      <c r="G996" s="1">
        <v>45648</v>
      </c>
      <c r="H996" s="1">
        <v>45660</v>
      </c>
      <c r="I996" s="2">
        <f>Table3[[#This Row],[Discharge_Date]]-Table3[[#This Row],[Admission_Date]]</f>
        <v>12</v>
      </c>
      <c r="J996">
        <v>94</v>
      </c>
      <c r="K996" t="s">
        <v>46</v>
      </c>
      <c r="L996" t="s">
        <v>16</v>
      </c>
      <c r="M996">
        <f>IF(Table3[[#This Row],[Treatment_Success]]="Yes",1,0)</f>
        <v>1</v>
      </c>
      <c r="N996">
        <v>21938</v>
      </c>
    </row>
    <row r="997" spans="1:14" x14ac:dyDescent="0.35">
      <c r="A997" t="s">
        <v>1044</v>
      </c>
      <c r="B997">
        <v>25</v>
      </c>
      <c r="C997" t="str">
        <f>_xlfn.IFS(Table3[[#This Row],[Age]]&lt;=10, "Child",Table3[[#This Row],[Age]]&lt;18, "Teenger", Table3[[#This Row],[Age]]&lt;30, "Middle Age", Table3[[#This Row],[Age]]&lt; 60,"Adult",Table3[[#This Row],[Age]],"Senior Citizen")</f>
        <v>Middle Age</v>
      </c>
      <c r="D997" t="s">
        <v>18</v>
      </c>
      <c r="E997" t="s">
        <v>13</v>
      </c>
      <c r="F997" t="s">
        <v>29</v>
      </c>
      <c r="G997" s="1">
        <v>45543</v>
      </c>
      <c r="H997" s="1">
        <v>45545</v>
      </c>
      <c r="I997" s="2">
        <f>Table3[[#This Row],[Discharge_Date]]-Table3[[#This Row],[Admission_Date]]</f>
        <v>2</v>
      </c>
      <c r="J997">
        <v>65</v>
      </c>
      <c r="K997" t="s">
        <v>15</v>
      </c>
      <c r="L997" t="s">
        <v>16</v>
      </c>
      <c r="M997">
        <f>IF(Table3[[#This Row],[Treatment_Success]]="Yes",1,0)</f>
        <v>1</v>
      </c>
      <c r="N997">
        <v>160354</v>
      </c>
    </row>
    <row r="998" spans="1:14" x14ac:dyDescent="0.35">
      <c r="A998" t="s">
        <v>1045</v>
      </c>
      <c r="B998">
        <v>27</v>
      </c>
      <c r="C998" t="str">
        <f>_xlfn.IFS(Table3[[#This Row],[Age]]&lt;=10, "Child",Table3[[#This Row],[Age]]&lt;18, "Teenger", Table3[[#This Row],[Age]]&lt;30, "Middle Age", Table3[[#This Row],[Age]]&lt; 60,"Adult",Table3[[#This Row],[Age]],"Senior Citizen")</f>
        <v>Middle Age</v>
      </c>
      <c r="D998" t="s">
        <v>18</v>
      </c>
      <c r="E998" t="s">
        <v>28</v>
      </c>
      <c r="F998" t="s">
        <v>45</v>
      </c>
      <c r="G998" s="1">
        <v>45573</v>
      </c>
      <c r="H998" s="1">
        <v>45587</v>
      </c>
      <c r="I998" s="2">
        <f>Table3[[#This Row],[Discharge_Date]]-Table3[[#This Row],[Admission_Date]]</f>
        <v>14</v>
      </c>
      <c r="J998">
        <v>219</v>
      </c>
      <c r="K998" t="s">
        <v>46</v>
      </c>
      <c r="L998" t="s">
        <v>16</v>
      </c>
      <c r="M998">
        <f>IF(Table3[[#This Row],[Treatment_Success]]="Yes",1,0)</f>
        <v>1</v>
      </c>
      <c r="N998">
        <v>48033</v>
      </c>
    </row>
    <row r="999" spans="1:14" x14ac:dyDescent="0.35">
      <c r="A999" t="s">
        <v>1046</v>
      </c>
      <c r="B999">
        <v>55</v>
      </c>
      <c r="C999" t="str">
        <f>_xlfn.IFS(Table3[[#This Row],[Age]]&lt;=10, "Child",Table3[[#This Row],[Age]]&lt;18, "Teenger", Table3[[#This Row],[Age]]&lt;30, "Middle Age", Table3[[#This Row],[Age]]&lt; 60,"Adult",Table3[[#This Row],[Age]],"Senior Citizen")</f>
        <v>Adult</v>
      </c>
      <c r="D999" t="s">
        <v>18</v>
      </c>
      <c r="E999" t="s">
        <v>28</v>
      </c>
      <c r="F999" t="s">
        <v>14</v>
      </c>
      <c r="G999" s="1">
        <v>45393</v>
      </c>
      <c r="H999" s="1">
        <v>45397</v>
      </c>
      <c r="I999" s="2">
        <f>Table3[[#This Row],[Discharge_Date]]-Table3[[#This Row],[Admission_Date]]</f>
        <v>4</v>
      </c>
      <c r="J999">
        <v>156</v>
      </c>
      <c r="K999" t="s">
        <v>33</v>
      </c>
      <c r="L999" t="s">
        <v>26</v>
      </c>
      <c r="M999">
        <f>IF(Table3[[#This Row],[Treatment_Success]]="Yes",1,0)</f>
        <v>0</v>
      </c>
      <c r="N999">
        <v>171619</v>
      </c>
    </row>
    <row r="1000" spans="1:14" x14ac:dyDescent="0.35">
      <c r="A1000" t="s">
        <v>1047</v>
      </c>
      <c r="B1000">
        <v>62</v>
      </c>
      <c r="C1000" t="str">
        <f>_xlfn.IFS(Table3[[#This Row],[Age]]&lt;=10, "Child",Table3[[#This Row],[Age]]&lt;18, "Teenger", Table3[[#This Row],[Age]]&lt;30, "Middle Age", Table3[[#This Row],[Age]]&lt; 60,"Adult",Table3[[#This Row],[Age]],"Senior Citizen")</f>
        <v>Senior Citizen</v>
      </c>
      <c r="D1000" t="s">
        <v>18</v>
      </c>
      <c r="E1000" t="s">
        <v>38</v>
      </c>
      <c r="F1000" t="s">
        <v>56</v>
      </c>
      <c r="G1000" s="1">
        <v>45395</v>
      </c>
      <c r="H1000" s="1">
        <v>45400</v>
      </c>
      <c r="I1000" s="2">
        <f>Table3[[#This Row],[Discharge_Date]]-Table3[[#This Row],[Admission_Date]]</f>
        <v>5</v>
      </c>
      <c r="J1000">
        <v>194</v>
      </c>
      <c r="K1000" t="s">
        <v>36</v>
      </c>
      <c r="L1000" t="s">
        <v>26</v>
      </c>
      <c r="M1000">
        <f>IF(Table3[[#This Row],[Treatment_Success]]="Yes",1,0)</f>
        <v>0</v>
      </c>
      <c r="N1000">
        <v>120704</v>
      </c>
    </row>
    <row r="1001" spans="1:14" x14ac:dyDescent="0.35">
      <c r="A1001" t="s">
        <v>1048</v>
      </c>
      <c r="B1001">
        <v>79</v>
      </c>
      <c r="C1001" t="str">
        <f>_xlfn.IFS(Table3[[#This Row],[Age]]&lt;=10, "Child",Table3[[#This Row],[Age]]&lt;18, "Teenger", Table3[[#This Row],[Age]]&lt;30, "Middle Age", Table3[[#This Row],[Age]]&lt; 60,"Adult",Table3[[#This Row],[Age]],"Senior Citizen")</f>
        <v>Senior Citizen</v>
      </c>
      <c r="D1001" t="s">
        <v>12</v>
      </c>
      <c r="E1001" t="s">
        <v>13</v>
      </c>
      <c r="F1001" t="s">
        <v>43</v>
      </c>
      <c r="G1001" s="1">
        <v>45508</v>
      </c>
      <c r="H1001" s="1">
        <v>45517</v>
      </c>
      <c r="I1001" s="2">
        <f>Table3[[#This Row],[Discharge_Date]]-Table3[[#This Row],[Admission_Date]]</f>
        <v>9</v>
      </c>
      <c r="J1001">
        <v>11</v>
      </c>
      <c r="K1001" t="s">
        <v>46</v>
      </c>
      <c r="L1001" t="s">
        <v>26</v>
      </c>
      <c r="M1001">
        <f>IF(Table3[[#This Row],[Treatment_Success]]="Yes",1,0)</f>
        <v>0</v>
      </c>
      <c r="N1001">
        <v>26818</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9B44-CEE6-41A2-935E-209B85F032CD}">
  <dimension ref="A1:R17"/>
  <sheetViews>
    <sheetView showGridLines="0" zoomScaleNormal="100" workbookViewId="0">
      <selection activeCell="B20" sqref="B20"/>
    </sheetView>
  </sheetViews>
  <sheetFormatPr defaultRowHeight="14.5" x14ac:dyDescent="0.35"/>
  <cols>
    <col min="1" max="1" width="12.90625" bestFit="1" customWidth="1"/>
    <col min="2" max="2" width="18.26953125" bestFit="1" customWidth="1"/>
  </cols>
  <sheetData>
    <row r="1" spans="1:18" ht="36" customHeight="1" x14ac:dyDescent="0.35">
      <c r="A1" s="68" t="s">
        <v>1053</v>
      </c>
      <c r="B1" s="69"/>
      <c r="C1" s="69"/>
      <c r="D1" s="69"/>
      <c r="E1" s="69"/>
      <c r="F1" s="69"/>
      <c r="G1" s="69"/>
      <c r="H1" s="69"/>
      <c r="I1" s="69"/>
      <c r="J1" s="69"/>
      <c r="K1" s="69"/>
      <c r="L1" s="69"/>
      <c r="M1" s="69"/>
      <c r="N1" s="69"/>
      <c r="O1" s="69"/>
      <c r="P1" s="69"/>
      <c r="Q1" s="69"/>
      <c r="R1" s="70"/>
    </row>
    <row r="2" spans="1:18" ht="15" thickBot="1" x14ac:dyDescent="0.4">
      <c r="A2" s="6"/>
      <c r="B2" s="4"/>
      <c r="C2" s="4"/>
      <c r="D2" s="4"/>
      <c r="E2" s="4"/>
      <c r="F2" s="4"/>
      <c r="G2" s="4"/>
      <c r="H2" s="4"/>
      <c r="I2" s="4"/>
      <c r="J2" s="4"/>
      <c r="K2" s="4"/>
      <c r="L2" s="4"/>
      <c r="M2" s="4"/>
      <c r="N2" s="4"/>
      <c r="O2" s="4"/>
      <c r="P2" s="4"/>
      <c r="Q2" s="4"/>
      <c r="R2" s="5"/>
    </row>
    <row r="3" spans="1:18" ht="15" thickBot="1" x14ac:dyDescent="0.4">
      <c r="A3" s="21" t="s">
        <v>1051</v>
      </c>
      <c r="B3" s="24" t="s">
        <v>1052</v>
      </c>
      <c r="C3" s="4"/>
      <c r="D3" s="4"/>
      <c r="E3" s="4"/>
      <c r="F3" s="4"/>
      <c r="G3" s="4"/>
      <c r="H3" s="4"/>
      <c r="I3" s="4"/>
      <c r="J3" s="4"/>
      <c r="K3" s="4"/>
      <c r="L3" s="4"/>
      <c r="M3" s="4"/>
      <c r="N3" s="4"/>
      <c r="O3" s="4"/>
      <c r="P3" s="4"/>
      <c r="Q3" s="4"/>
      <c r="R3" s="5"/>
    </row>
    <row r="4" spans="1:18" x14ac:dyDescent="0.35">
      <c r="A4" s="22" t="s">
        <v>12</v>
      </c>
      <c r="B4" s="19">
        <v>0.46666666666666667</v>
      </c>
      <c r="C4" s="4"/>
      <c r="D4" s="4"/>
      <c r="E4" s="4"/>
      <c r="F4" s="4"/>
      <c r="G4" s="4"/>
      <c r="H4" s="4"/>
      <c r="I4" s="4"/>
      <c r="J4" s="4"/>
      <c r="K4" s="4"/>
      <c r="L4" s="4"/>
      <c r="M4" s="4"/>
      <c r="N4" s="4"/>
      <c r="O4" s="4"/>
      <c r="P4" s="4"/>
      <c r="Q4" s="4"/>
      <c r="R4" s="5"/>
    </row>
    <row r="5" spans="1:18" ht="15" thickBot="1" x14ac:dyDescent="0.4">
      <c r="A5" s="23" t="s">
        <v>18</v>
      </c>
      <c r="B5" s="20">
        <v>0.53333333333333333</v>
      </c>
      <c r="C5" s="46"/>
      <c r="D5" s="4"/>
      <c r="E5" s="4"/>
      <c r="F5" s="4"/>
      <c r="G5" s="4"/>
      <c r="H5" s="4"/>
      <c r="I5" s="4"/>
      <c r="J5" s="4"/>
      <c r="K5" s="4"/>
      <c r="L5" s="4"/>
      <c r="M5" s="4"/>
      <c r="N5" s="4"/>
      <c r="O5" s="4"/>
      <c r="P5" s="4"/>
      <c r="Q5" s="4"/>
      <c r="R5" s="5"/>
    </row>
    <row r="6" spans="1:18" x14ac:dyDescent="0.35">
      <c r="A6" s="6"/>
      <c r="B6" s="4"/>
      <c r="C6" s="4"/>
      <c r="D6" s="4"/>
      <c r="E6" s="4"/>
      <c r="F6" s="4"/>
      <c r="G6" s="4"/>
      <c r="H6" s="4"/>
      <c r="I6" s="4"/>
      <c r="J6" s="4"/>
      <c r="K6" s="4"/>
      <c r="L6" s="4"/>
      <c r="M6" s="4"/>
      <c r="N6" s="4"/>
      <c r="O6" s="4"/>
      <c r="P6" s="4"/>
      <c r="Q6" s="4"/>
      <c r="R6" s="5"/>
    </row>
    <row r="7" spans="1:18" x14ac:dyDescent="0.35">
      <c r="A7" s="6"/>
      <c r="B7" s="4"/>
      <c r="C7" s="4"/>
      <c r="D7" s="4"/>
      <c r="E7" s="4"/>
      <c r="F7" s="4"/>
      <c r="G7" s="4"/>
      <c r="H7" s="4"/>
      <c r="I7" s="4"/>
      <c r="J7" s="4"/>
      <c r="K7" s="4"/>
      <c r="L7" s="4"/>
      <c r="M7" s="4"/>
      <c r="N7" s="4"/>
      <c r="O7" s="4"/>
      <c r="P7" s="4"/>
      <c r="Q7" s="4"/>
      <c r="R7" s="5"/>
    </row>
    <row r="8" spans="1:18" x14ac:dyDescent="0.35">
      <c r="A8" s="6"/>
      <c r="B8" s="4"/>
      <c r="C8" s="4"/>
      <c r="D8" s="4"/>
      <c r="E8" s="4"/>
      <c r="F8" s="4"/>
      <c r="G8" s="4"/>
      <c r="H8" s="4"/>
      <c r="I8" s="4"/>
      <c r="J8" s="4"/>
      <c r="K8" s="4"/>
      <c r="L8" s="4"/>
      <c r="M8" s="4"/>
      <c r="N8" s="4"/>
      <c r="O8" s="4"/>
      <c r="P8" s="4"/>
      <c r="Q8" s="4"/>
      <c r="R8" s="5"/>
    </row>
    <row r="9" spans="1:18" x14ac:dyDescent="0.35">
      <c r="A9" s="6"/>
      <c r="B9" s="4"/>
      <c r="C9" s="4"/>
      <c r="D9" s="4"/>
      <c r="E9" s="4"/>
      <c r="F9" s="4"/>
      <c r="G9" s="4"/>
      <c r="H9" s="4"/>
      <c r="I9" s="4"/>
      <c r="J9" s="4"/>
      <c r="K9" s="4"/>
      <c r="L9" s="4"/>
      <c r="M9" s="4"/>
      <c r="N9" s="4"/>
      <c r="O9" s="4"/>
      <c r="P9" s="4"/>
      <c r="Q9" s="4"/>
      <c r="R9" s="5"/>
    </row>
    <row r="10" spans="1:18" x14ac:dyDescent="0.35">
      <c r="A10" s="6"/>
      <c r="B10" s="4"/>
      <c r="C10" s="4"/>
      <c r="D10" s="4"/>
      <c r="E10" s="4"/>
      <c r="F10" s="4"/>
      <c r="G10" s="4"/>
      <c r="H10" s="4"/>
      <c r="I10" s="4"/>
      <c r="J10" s="4"/>
      <c r="K10" s="4"/>
      <c r="L10" s="4"/>
      <c r="M10" s="4"/>
      <c r="N10" s="4"/>
      <c r="O10" s="4"/>
      <c r="P10" s="4"/>
      <c r="Q10" s="4"/>
      <c r="R10" s="5"/>
    </row>
    <row r="11" spans="1:18" x14ac:dyDescent="0.35">
      <c r="A11" s="6"/>
      <c r="B11" s="4"/>
      <c r="C11" s="4"/>
      <c r="D11" s="4"/>
      <c r="E11" s="4"/>
      <c r="F11" s="4"/>
      <c r="G11" s="4"/>
      <c r="H11" s="4"/>
      <c r="I11" s="4"/>
      <c r="J11" s="4"/>
      <c r="K11" s="4"/>
      <c r="L11" s="4"/>
      <c r="M11" s="4"/>
      <c r="N11" s="4"/>
      <c r="O11" s="4"/>
      <c r="P11" s="4"/>
      <c r="Q11" s="4"/>
      <c r="R11" s="5"/>
    </row>
    <row r="12" spans="1:18" x14ac:dyDescent="0.35">
      <c r="A12" s="6"/>
      <c r="B12" s="4"/>
      <c r="C12" s="4"/>
      <c r="D12" s="4"/>
      <c r="E12" s="4"/>
      <c r="F12" s="4"/>
      <c r="G12" s="4"/>
      <c r="H12" s="4"/>
      <c r="I12" s="4"/>
      <c r="J12" s="4"/>
      <c r="K12" s="4"/>
      <c r="L12" s="4"/>
      <c r="M12" s="4"/>
      <c r="N12" s="4"/>
      <c r="O12" s="4"/>
      <c r="P12" s="4"/>
      <c r="Q12" s="4"/>
      <c r="R12" s="5"/>
    </row>
    <row r="13" spans="1:18" x14ac:dyDescent="0.35">
      <c r="A13" s="6"/>
      <c r="B13" s="4"/>
      <c r="C13" s="4"/>
      <c r="D13" s="4"/>
      <c r="E13" s="4"/>
      <c r="F13" s="4"/>
      <c r="G13" s="4"/>
      <c r="H13" s="4"/>
      <c r="I13" s="4"/>
      <c r="J13" s="4"/>
      <c r="K13" s="4"/>
      <c r="L13" s="4"/>
      <c r="M13" s="4"/>
      <c r="N13" s="4"/>
      <c r="O13" s="4"/>
      <c r="P13" s="4"/>
      <c r="Q13" s="4"/>
      <c r="R13" s="5"/>
    </row>
    <row r="14" spans="1:18" x14ac:dyDescent="0.35">
      <c r="A14" s="6"/>
      <c r="B14" s="4"/>
      <c r="C14" s="4"/>
      <c r="D14" s="4"/>
      <c r="E14" s="4"/>
      <c r="F14" s="4"/>
      <c r="G14" s="4"/>
      <c r="H14" s="4"/>
      <c r="I14" s="4"/>
      <c r="J14" s="4"/>
      <c r="K14" s="4"/>
      <c r="L14" s="4"/>
      <c r="M14" s="4"/>
      <c r="N14" s="4"/>
      <c r="O14" s="4"/>
      <c r="P14" s="4"/>
      <c r="Q14" s="4"/>
      <c r="R14" s="5"/>
    </row>
    <row r="15" spans="1:18" x14ac:dyDescent="0.35">
      <c r="A15" s="6"/>
      <c r="B15" s="4"/>
      <c r="C15" s="4"/>
      <c r="D15" s="4"/>
      <c r="E15" s="4"/>
      <c r="F15" s="4"/>
      <c r="G15" s="4"/>
      <c r="H15" s="4"/>
      <c r="I15" s="4"/>
      <c r="J15" s="4"/>
      <c r="K15" s="4"/>
      <c r="L15" s="4"/>
      <c r="M15" s="4"/>
      <c r="N15" s="4"/>
      <c r="O15" s="4"/>
      <c r="P15" s="4"/>
      <c r="Q15" s="4"/>
      <c r="R15" s="5"/>
    </row>
    <row r="16" spans="1:18" x14ac:dyDescent="0.35">
      <c r="A16" s="6"/>
      <c r="B16" s="4"/>
      <c r="C16" s="4"/>
      <c r="D16" s="4"/>
      <c r="E16" s="4"/>
      <c r="F16" s="4"/>
      <c r="G16" s="4"/>
      <c r="H16" s="4"/>
      <c r="I16" s="4"/>
      <c r="J16" s="4"/>
      <c r="K16" s="4"/>
      <c r="L16" s="4"/>
      <c r="M16" s="4"/>
      <c r="N16" s="4"/>
      <c r="O16" s="4"/>
      <c r="P16" s="4"/>
      <c r="Q16" s="4"/>
      <c r="R16" s="5"/>
    </row>
    <row r="17" spans="1:18" ht="15" thickBot="1" x14ac:dyDescent="0.4">
      <c r="A17" s="7"/>
      <c r="B17" s="8"/>
      <c r="C17" s="8"/>
      <c r="D17" s="8"/>
      <c r="E17" s="8"/>
      <c r="F17" s="8"/>
      <c r="G17" s="8"/>
      <c r="H17" s="8"/>
      <c r="I17" s="8"/>
      <c r="J17" s="8"/>
      <c r="K17" s="8"/>
      <c r="L17" s="8"/>
      <c r="M17" s="8"/>
      <c r="N17" s="8"/>
      <c r="O17" s="8"/>
      <c r="P17" s="8"/>
      <c r="Q17" s="8"/>
      <c r="R17" s="9"/>
    </row>
  </sheetData>
  <mergeCells count="1">
    <mergeCell ref="A1:R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ED7E2-D8A7-499E-9BDF-FC5AE74B5CD3}">
  <dimension ref="A1:R17"/>
  <sheetViews>
    <sheetView showGridLines="0" workbookViewId="0">
      <selection activeCell="A18" sqref="A18"/>
    </sheetView>
  </sheetViews>
  <sheetFormatPr defaultRowHeight="14.5" x14ac:dyDescent="0.35"/>
  <cols>
    <col min="1" max="1" width="12.90625" bestFit="1" customWidth="1"/>
    <col min="2" max="2" width="18.26953125" bestFit="1" customWidth="1"/>
  </cols>
  <sheetData>
    <row r="1" spans="1:18" ht="28.5" customHeight="1" x14ac:dyDescent="0.35">
      <c r="A1" s="68" t="s">
        <v>1054</v>
      </c>
      <c r="B1" s="69"/>
      <c r="C1" s="69"/>
      <c r="D1" s="69"/>
      <c r="E1" s="69"/>
      <c r="F1" s="69"/>
      <c r="G1" s="69"/>
      <c r="H1" s="69"/>
      <c r="I1" s="69"/>
      <c r="J1" s="69"/>
      <c r="K1" s="69"/>
      <c r="L1" s="69"/>
      <c r="M1" s="69"/>
      <c r="N1" s="69"/>
      <c r="O1" s="69"/>
      <c r="P1" s="69"/>
      <c r="Q1" s="69"/>
      <c r="R1" s="70"/>
    </row>
    <row r="2" spans="1:18" ht="15" thickBot="1" x14ac:dyDescent="0.4">
      <c r="A2" s="6"/>
      <c r="B2" s="4"/>
      <c r="C2" s="4"/>
      <c r="D2" s="4"/>
      <c r="E2" s="4"/>
      <c r="F2" s="4"/>
      <c r="G2" s="4"/>
      <c r="H2" s="4"/>
      <c r="I2" s="4"/>
      <c r="J2" s="4"/>
      <c r="K2" s="4"/>
      <c r="L2" s="4"/>
      <c r="M2" s="4"/>
      <c r="N2" s="4"/>
      <c r="O2" s="4"/>
      <c r="P2" s="4"/>
      <c r="Q2" s="4"/>
      <c r="R2" s="5"/>
    </row>
    <row r="3" spans="1:18" ht="15" thickBot="1" x14ac:dyDescent="0.4">
      <c r="A3" s="21" t="s">
        <v>1051</v>
      </c>
      <c r="B3" s="24" t="s">
        <v>1052</v>
      </c>
      <c r="C3" s="4"/>
      <c r="D3" s="4"/>
      <c r="E3" s="4"/>
      <c r="F3" s="4"/>
      <c r="G3" s="4"/>
      <c r="H3" s="4"/>
      <c r="I3" s="4"/>
      <c r="J3" s="4"/>
      <c r="K3" s="4"/>
      <c r="L3" s="4"/>
      <c r="M3" s="4"/>
      <c r="N3" s="4"/>
      <c r="O3" s="4"/>
      <c r="P3" s="4"/>
      <c r="Q3" s="4"/>
      <c r="R3" s="5"/>
    </row>
    <row r="4" spans="1:18" x14ac:dyDescent="0.35">
      <c r="A4" s="22" t="s">
        <v>24</v>
      </c>
      <c r="B4" s="19">
        <v>0.18099999999999999</v>
      </c>
      <c r="C4" s="4"/>
      <c r="D4" s="4"/>
      <c r="E4" s="4"/>
      <c r="F4" s="4"/>
      <c r="G4" s="4"/>
      <c r="H4" s="4"/>
      <c r="I4" s="4"/>
      <c r="J4" s="4"/>
      <c r="K4" s="4"/>
      <c r="L4" s="4"/>
      <c r="M4" s="4"/>
      <c r="N4" s="4"/>
      <c r="O4" s="4"/>
      <c r="P4" s="4"/>
      <c r="Q4" s="4"/>
      <c r="R4" s="5"/>
    </row>
    <row r="5" spans="1:18" x14ac:dyDescent="0.35">
      <c r="A5" s="26" t="s">
        <v>31</v>
      </c>
      <c r="B5" s="25">
        <v>0.20699999999999999</v>
      </c>
      <c r="C5" s="4"/>
      <c r="D5" s="4"/>
      <c r="E5" s="4"/>
      <c r="F5" s="4"/>
      <c r="G5" s="4"/>
      <c r="H5" s="4"/>
      <c r="I5" s="4"/>
      <c r="J5" s="4"/>
      <c r="K5" s="4"/>
      <c r="L5" s="4"/>
      <c r="M5" s="4"/>
      <c r="N5" s="4"/>
      <c r="O5" s="4"/>
      <c r="P5" s="4"/>
      <c r="Q5" s="4"/>
      <c r="R5" s="5"/>
    </row>
    <row r="6" spans="1:18" x14ac:dyDescent="0.35">
      <c r="A6" s="26" t="s">
        <v>38</v>
      </c>
      <c r="B6" s="25">
        <v>0.19800000000000001</v>
      </c>
      <c r="C6" s="4"/>
      <c r="D6" s="4"/>
      <c r="E6" s="4"/>
      <c r="F6" s="4"/>
      <c r="G6" s="4"/>
      <c r="H6" s="4"/>
      <c r="I6" s="4"/>
      <c r="J6" s="4"/>
      <c r="K6" s="4"/>
      <c r="L6" s="4"/>
      <c r="M6" s="4"/>
      <c r="N6" s="4"/>
      <c r="O6" s="4"/>
      <c r="P6" s="4"/>
      <c r="Q6" s="4"/>
      <c r="R6" s="5"/>
    </row>
    <row r="7" spans="1:18" x14ac:dyDescent="0.35">
      <c r="A7" s="26" t="s">
        <v>13</v>
      </c>
      <c r="B7" s="25">
        <v>0.188</v>
      </c>
      <c r="C7" s="4"/>
      <c r="D7" s="4"/>
      <c r="E7" s="4"/>
      <c r="F7" s="4"/>
      <c r="G7" s="4"/>
      <c r="H7" s="4"/>
      <c r="I7" s="4"/>
      <c r="J7" s="4"/>
      <c r="K7" s="4"/>
      <c r="L7" s="4"/>
      <c r="M7" s="4"/>
      <c r="N7" s="4"/>
      <c r="O7" s="4"/>
      <c r="P7" s="4"/>
      <c r="Q7" s="4"/>
      <c r="R7" s="5"/>
    </row>
    <row r="8" spans="1:18" ht="15" thickBot="1" x14ac:dyDescent="0.4">
      <c r="A8" s="23" t="s">
        <v>28</v>
      </c>
      <c r="B8" s="20">
        <v>0.22600000000000001</v>
      </c>
      <c r="C8" s="4"/>
      <c r="D8" s="4"/>
      <c r="E8" s="4"/>
      <c r="F8" s="4"/>
      <c r="G8" s="4"/>
      <c r="H8" s="4"/>
      <c r="I8" s="4"/>
      <c r="J8" s="4"/>
      <c r="K8" s="4"/>
      <c r="L8" s="4"/>
      <c r="M8" s="4"/>
      <c r="N8" s="4"/>
      <c r="O8" s="4"/>
      <c r="P8" s="4"/>
      <c r="Q8" s="4"/>
      <c r="R8" s="5"/>
    </row>
    <row r="9" spans="1:18" x14ac:dyDescent="0.35">
      <c r="A9" s="6"/>
      <c r="B9" s="4"/>
      <c r="C9" s="4"/>
      <c r="D9" s="4"/>
      <c r="E9" s="4"/>
      <c r="F9" s="4"/>
      <c r="G9" s="4"/>
      <c r="H9" s="4"/>
      <c r="I9" s="4"/>
      <c r="J9" s="4"/>
      <c r="K9" s="4"/>
      <c r="L9" s="4"/>
      <c r="M9" s="4"/>
      <c r="N9" s="4"/>
      <c r="O9" s="4"/>
      <c r="P9" s="4"/>
      <c r="Q9" s="4"/>
      <c r="R9" s="5"/>
    </row>
    <row r="10" spans="1:18" x14ac:dyDescent="0.35">
      <c r="A10" s="6"/>
      <c r="B10" s="4"/>
      <c r="C10" s="4"/>
      <c r="D10" s="4"/>
      <c r="E10" s="4"/>
      <c r="F10" s="4"/>
      <c r="G10" s="4"/>
      <c r="H10" s="4"/>
      <c r="I10" s="4"/>
      <c r="J10" s="4"/>
      <c r="K10" s="4"/>
      <c r="L10" s="4"/>
      <c r="M10" s="4"/>
      <c r="N10" s="4"/>
      <c r="O10" s="4"/>
      <c r="P10" s="4"/>
      <c r="Q10" s="4"/>
      <c r="R10" s="5"/>
    </row>
    <row r="11" spans="1:18" x14ac:dyDescent="0.35">
      <c r="A11" s="6"/>
      <c r="B11" s="4"/>
      <c r="C11" s="4"/>
      <c r="D11" s="4"/>
      <c r="E11" s="4"/>
      <c r="F11" s="4"/>
      <c r="G11" s="4"/>
      <c r="H11" s="4"/>
      <c r="I11" s="4"/>
      <c r="J11" s="4"/>
      <c r="K11" s="4"/>
      <c r="L11" s="4"/>
      <c r="M11" s="4"/>
      <c r="N11" s="4"/>
      <c r="O11" s="4"/>
      <c r="P11" s="4"/>
      <c r="Q11" s="4"/>
      <c r="R11" s="5"/>
    </row>
    <row r="12" spans="1:18" x14ac:dyDescent="0.35">
      <c r="A12" s="6"/>
      <c r="B12" s="4"/>
      <c r="C12" s="4"/>
      <c r="D12" s="4"/>
      <c r="E12" s="4"/>
      <c r="F12" s="4"/>
      <c r="G12" s="4"/>
      <c r="H12" s="4"/>
      <c r="I12" s="4"/>
      <c r="J12" s="4"/>
      <c r="K12" s="4"/>
      <c r="L12" s="4"/>
      <c r="M12" s="4"/>
      <c r="N12" s="4"/>
      <c r="O12" s="4"/>
      <c r="P12" s="4"/>
      <c r="Q12" s="4"/>
      <c r="R12" s="5"/>
    </row>
    <row r="13" spans="1:18" x14ac:dyDescent="0.35">
      <c r="A13" s="6"/>
      <c r="B13" s="4"/>
      <c r="C13" s="4"/>
      <c r="D13" s="4"/>
      <c r="E13" s="4"/>
      <c r="F13" s="4"/>
      <c r="G13" s="4"/>
      <c r="H13" s="4"/>
      <c r="I13" s="4"/>
      <c r="J13" s="4"/>
      <c r="K13" s="4"/>
      <c r="L13" s="4"/>
      <c r="M13" s="4"/>
      <c r="N13" s="4"/>
      <c r="O13" s="4"/>
      <c r="P13" s="4"/>
      <c r="Q13" s="4"/>
      <c r="R13" s="5"/>
    </row>
    <row r="14" spans="1:18" x14ac:dyDescent="0.35">
      <c r="A14" s="6"/>
      <c r="B14" s="4"/>
      <c r="C14" s="4"/>
      <c r="D14" s="4"/>
      <c r="E14" s="4"/>
      <c r="F14" s="4"/>
      <c r="G14" s="4"/>
      <c r="H14" s="4"/>
      <c r="I14" s="4"/>
      <c r="J14" s="4"/>
      <c r="K14" s="4"/>
      <c r="L14" s="4"/>
      <c r="M14" s="4"/>
      <c r="N14" s="4"/>
      <c r="O14" s="4"/>
      <c r="P14" s="4"/>
      <c r="Q14" s="4"/>
      <c r="R14" s="5"/>
    </row>
    <row r="15" spans="1:18" x14ac:dyDescent="0.35">
      <c r="A15" s="6"/>
      <c r="B15" s="4"/>
      <c r="C15" s="4"/>
      <c r="D15" s="4"/>
      <c r="E15" s="4"/>
      <c r="F15" s="4"/>
      <c r="G15" s="4"/>
      <c r="H15" s="4"/>
      <c r="I15" s="4"/>
      <c r="J15" s="4"/>
      <c r="K15" s="4"/>
      <c r="L15" s="4"/>
      <c r="M15" s="4"/>
      <c r="N15" s="4"/>
      <c r="O15" s="4"/>
      <c r="P15" s="4"/>
      <c r="Q15" s="4"/>
      <c r="R15" s="5"/>
    </row>
    <row r="16" spans="1:18" x14ac:dyDescent="0.35">
      <c r="A16" s="6"/>
      <c r="B16" s="4"/>
      <c r="C16" s="4"/>
      <c r="D16" s="4"/>
      <c r="E16" s="4"/>
      <c r="F16" s="4"/>
      <c r="G16" s="4"/>
      <c r="H16" s="4"/>
      <c r="I16" s="4"/>
      <c r="J16" s="4"/>
      <c r="K16" s="4"/>
      <c r="L16" s="4"/>
      <c r="M16" s="4"/>
      <c r="N16" s="4"/>
      <c r="O16" s="4"/>
      <c r="P16" s="4"/>
      <c r="Q16" s="4"/>
      <c r="R16" s="5"/>
    </row>
    <row r="17" spans="1:18" ht="15" thickBot="1" x14ac:dyDescent="0.4">
      <c r="A17" s="7"/>
      <c r="B17" s="8"/>
      <c r="C17" s="8"/>
      <c r="D17" s="8"/>
      <c r="E17" s="8"/>
      <c r="F17" s="8"/>
      <c r="G17" s="8"/>
      <c r="H17" s="8"/>
      <c r="I17" s="8"/>
      <c r="J17" s="8"/>
      <c r="K17" s="8"/>
      <c r="L17" s="8"/>
      <c r="M17" s="8"/>
      <c r="N17" s="8"/>
      <c r="O17" s="8"/>
      <c r="P17" s="8"/>
      <c r="Q17" s="8"/>
      <c r="R17" s="9"/>
    </row>
  </sheetData>
  <mergeCells count="1">
    <mergeCell ref="A1:R1"/>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697E5-B78E-4315-8CE3-2FFB8F686DFA}">
  <dimension ref="A1:R17"/>
  <sheetViews>
    <sheetView showGridLines="0" workbookViewId="0">
      <selection activeCell="A18" sqref="A18"/>
    </sheetView>
  </sheetViews>
  <sheetFormatPr defaultRowHeight="14.5" x14ac:dyDescent="0.35"/>
  <cols>
    <col min="1" max="1" width="12.90625" bestFit="1" customWidth="1"/>
    <col min="2" max="2" width="23.7265625" bestFit="1" customWidth="1"/>
  </cols>
  <sheetData>
    <row r="1" spans="1:18" ht="28.5" customHeight="1" x14ac:dyDescent="0.35">
      <c r="A1" s="68" t="s">
        <v>1055</v>
      </c>
      <c r="B1" s="69"/>
      <c r="C1" s="69"/>
      <c r="D1" s="69"/>
      <c r="E1" s="69"/>
      <c r="F1" s="69"/>
      <c r="G1" s="69"/>
      <c r="H1" s="69"/>
      <c r="I1" s="69"/>
      <c r="J1" s="69"/>
      <c r="K1" s="69"/>
      <c r="L1" s="69"/>
      <c r="M1" s="69"/>
      <c r="N1" s="69"/>
      <c r="O1" s="69"/>
      <c r="P1" s="69"/>
      <c r="Q1" s="69"/>
      <c r="R1" s="70"/>
    </row>
    <row r="2" spans="1:18" ht="15" thickBot="1" x14ac:dyDescent="0.4">
      <c r="A2" s="6"/>
      <c r="B2" s="4"/>
      <c r="C2" s="4"/>
      <c r="D2" s="4"/>
      <c r="E2" s="4"/>
      <c r="F2" s="4"/>
      <c r="G2" s="4"/>
      <c r="H2" s="4"/>
      <c r="I2" s="4"/>
      <c r="J2" s="4"/>
      <c r="K2" s="4"/>
      <c r="L2" s="4"/>
      <c r="M2" s="4"/>
      <c r="N2" s="4"/>
      <c r="O2" s="4"/>
      <c r="P2" s="4"/>
      <c r="Q2" s="4"/>
      <c r="R2" s="5"/>
    </row>
    <row r="3" spans="1:18" ht="15" thickBot="1" x14ac:dyDescent="0.4">
      <c r="A3" s="21" t="s">
        <v>1051</v>
      </c>
      <c r="B3" s="24" t="s">
        <v>1056</v>
      </c>
      <c r="C3" s="4"/>
      <c r="D3" s="4"/>
      <c r="E3" s="4"/>
      <c r="F3" s="4"/>
      <c r="G3" s="4"/>
      <c r="H3" s="4"/>
      <c r="I3" s="4"/>
      <c r="J3" s="4"/>
      <c r="K3" s="4"/>
      <c r="L3" s="4"/>
      <c r="M3" s="4"/>
      <c r="N3" s="4"/>
      <c r="O3" s="4"/>
      <c r="P3" s="4"/>
      <c r="Q3" s="4"/>
      <c r="R3" s="5"/>
    </row>
    <row r="4" spans="1:18" x14ac:dyDescent="0.35">
      <c r="A4" s="22" t="s">
        <v>24</v>
      </c>
      <c r="B4" s="19">
        <v>1.0693953503885332</v>
      </c>
      <c r="C4" s="4"/>
      <c r="D4" s="4"/>
      <c r="E4" s="4"/>
      <c r="F4" s="4"/>
      <c r="G4" s="4"/>
      <c r="H4" s="4"/>
      <c r="I4" s="4"/>
      <c r="J4" s="4"/>
      <c r="K4" s="4"/>
      <c r="L4" s="4"/>
      <c r="M4" s="4"/>
      <c r="N4" s="4"/>
      <c r="O4" s="4"/>
      <c r="P4" s="4"/>
      <c r="Q4" s="4"/>
      <c r="R4" s="5"/>
    </row>
    <row r="5" spans="1:18" x14ac:dyDescent="0.35">
      <c r="A5" s="26" t="s">
        <v>31</v>
      </c>
      <c r="B5" s="25">
        <v>0.97274550583677688</v>
      </c>
      <c r="C5" s="4"/>
      <c r="D5" s="4"/>
      <c r="E5" s="4"/>
      <c r="F5" s="4"/>
      <c r="G5" s="4"/>
      <c r="H5" s="4"/>
      <c r="I5" s="4"/>
      <c r="J5" s="4"/>
      <c r="K5" s="4"/>
      <c r="L5" s="4"/>
      <c r="M5" s="4"/>
      <c r="N5" s="4"/>
      <c r="O5" s="4"/>
      <c r="P5" s="4"/>
      <c r="Q5" s="4"/>
      <c r="R5" s="5"/>
    </row>
    <row r="6" spans="1:18" x14ac:dyDescent="0.35">
      <c r="A6" s="26" t="s">
        <v>38</v>
      </c>
      <c r="B6" s="25">
        <v>0.96423929903995309</v>
      </c>
      <c r="C6" s="4"/>
      <c r="D6" s="4"/>
      <c r="E6" s="4"/>
      <c r="F6" s="4"/>
      <c r="G6" s="4"/>
      <c r="H6" s="4"/>
      <c r="I6" s="4"/>
      <c r="J6" s="4"/>
      <c r="K6" s="4"/>
      <c r="L6" s="4"/>
      <c r="M6" s="4"/>
      <c r="N6" s="4"/>
      <c r="O6" s="4"/>
      <c r="P6" s="4"/>
      <c r="Q6" s="4"/>
      <c r="R6" s="5"/>
    </row>
    <row r="7" spans="1:18" x14ac:dyDescent="0.35">
      <c r="A7" s="26" t="s">
        <v>13</v>
      </c>
      <c r="B7" s="25">
        <v>1.0034867820721067</v>
      </c>
      <c r="C7" s="4"/>
      <c r="D7" s="4"/>
      <c r="E7" s="4"/>
      <c r="F7" s="4"/>
      <c r="G7" s="4"/>
      <c r="H7" s="4"/>
      <c r="I7" s="4"/>
      <c r="J7" s="4"/>
      <c r="K7" s="4"/>
      <c r="L7" s="4"/>
      <c r="M7" s="4"/>
      <c r="N7" s="4"/>
      <c r="O7" s="4"/>
      <c r="P7" s="4"/>
      <c r="Q7" s="4"/>
      <c r="R7" s="5"/>
    </row>
    <row r="8" spans="1:18" ht="15" thickBot="1" x14ac:dyDescent="0.4">
      <c r="A8" s="23" t="s">
        <v>28</v>
      </c>
      <c r="B8" s="20">
        <v>0.9978151576636991</v>
      </c>
      <c r="C8" s="4"/>
      <c r="D8" s="4"/>
      <c r="E8" s="4"/>
      <c r="F8" s="4"/>
      <c r="G8" s="4"/>
      <c r="H8" s="4"/>
      <c r="I8" s="4"/>
      <c r="J8" s="4"/>
      <c r="K8" s="4"/>
      <c r="L8" s="4"/>
      <c r="M8" s="4"/>
      <c r="N8" s="4"/>
      <c r="O8" s="4"/>
      <c r="P8" s="4"/>
      <c r="Q8" s="4"/>
      <c r="R8" s="5"/>
    </row>
    <row r="9" spans="1:18" x14ac:dyDescent="0.35">
      <c r="A9" s="6"/>
      <c r="B9" s="4"/>
      <c r="C9" s="4"/>
      <c r="D9" s="4"/>
      <c r="E9" s="4"/>
      <c r="F9" s="4"/>
      <c r="G9" s="4"/>
      <c r="H9" s="4"/>
      <c r="I9" s="4"/>
      <c r="J9" s="4"/>
      <c r="K9" s="4"/>
      <c r="L9" s="4"/>
      <c r="M9" s="4"/>
      <c r="N9" s="4"/>
      <c r="O9" s="4"/>
      <c r="P9" s="4"/>
      <c r="Q9" s="4"/>
      <c r="R9" s="5"/>
    </row>
    <row r="10" spans="1:18" x14ac:dyDescent="0.35">
      <c r="A10" s="6"/>
      <c r="B10" s="4"/>
      <c r="C10" s="4"/>
      <c r="D10" s="4"/>
      <c r="E10" s="4"/>
      <c r="F10" s="4"/>
      <c r="G10" s="4"/>
      <c r="H10" s="4"/>
      <c r="I10" s="4"/>
      <c r="J10" s="4"/>
      <c r="K10" s="4"/>
      <c r="L10" s="4"/>
      <c r="M10" s="4"/>
      <c r="N10" s="4"/>
      <c r="O10" s="4"/>
      <c r="P10" s="4"/>
      <c r="Q10" s="4"/>
      <c r="R10" s="5"/>
    </row>
    <row r="11" spans="1:18" x14ac:dyDescent="0.35">
      <c r="A11" s="6"/>
      <c r="B11" s="4"/>
      <c r="C11" s="4"/>
      <c r="D11" s="4"/>
      <c r="E11" s="4"/>
      <c r="F11" s="4"/>
      <c r="G11" s="4"/>
      <c r="H11" s="4"/>
      <c r="I11" s="4"/>
      <c r="J11" s="4"/>
      <c r="K11" s="4"/>
      <c r="L11" s="4"/>
      <c r="M11" s="4"/>
      <c r="N11" s="4"/>
      <c r="O11" s="4"/>
      <c r="P11" s="4"/>
      <c r="Q11" s="4"/>
      <c r="R11" s="5"/>
    </row>
    <row r="12" spans="1:18" x14ac:dyDescent="0.35">
      <c r="A12" s="6"/>
      <c r="B12" s="4"/>
      <c r="C12" s="4"/>
      <c r="D12" s="4"/>
      <c r="E12" s="4"/>
      <c r="F12" s="4"/>
      <c r="G12" s="4"/>
      <c r="H12" s="4"/>
      <c r="I12" s="4"/>
      <c r="J12" s="4"/>
      <c r="K12" s="4"/>
      <c r="L12" s="4"/>
      <c r="M12" s="4"/>
      <c r="N12" s="4"/>
      <c r="O12" s="4"/>
      <c r="P12" s="4"/>
      <c r="Q12" s="4"/>
      <c r="R12" s="5"/>
    </row>
    <row r="13" spans="1:18" x14ac:dyDescent="0.35">
      <c r="A13" s="6"/>
      <c r="B13" s="4"/>
      <c r="C13" s="4"/>
      <c r="D13" s="4"/>
      <c r="E13" s="4"/>
      <c r="F13" s="4"/>
      <c r="G13" s="4"/>
      <c r="H13" s="4"/>
      <c r="I13" s="4"/>
      <c r="J13" s="4"/>
      <c r="K13" s="4"/>
      <c r="L13" s="4"/>
      <c r="M13" s="4"/>
      <c r="N13" s="4"/>
      <c r="O13" s="4"/>
      <c r="P13" s="4"/>
      <c r="Q13" s="4"/>
      <c r="R13" s="5"/>
    </row>
    <row r="14" spans="1:18" x14ac:dyDescent="0.35">
      <c r="A14" s="6"/>
      <c r="B14" s="4"/>
      <c r="C14" s="4"/>
      <c r="D14" s="4"/>
      <c r="E14" s="4"/>
      <c r="F14" s="4"/>
      <c r="G14" s="4"/>
      <c r="H14" s="4"/>
      <c r="I14" s="4"/>
      <c r="J14" s="4"/>
      <c r="K14" s="4"/>
      <c r="L14" s="4"/>
      <c r="M14" s="4"/>
      <c r="N14" s="4"/>
      <c r="O14" s="4"/>
      <c r="P14" s="4"/>
      <c r="Q14" s="4"/>
      <c r="R14" s="5"/>
    </row>
    <row r="15" spans="1:18" x14ac:dyDescent="0.35">
      <c r="A15" s="6"/>
      <c r="B15" s="4"/>
      <c r="C15" s="4"/>
      <c r="D15" s="4"/>
      <c r="E15" s="4"/>
      <c r="F15" s="4"/>
      <c r="G15" s="4"/>
      <c r="H15" s="4"/>
      <c r="I15" s="4"/>
      <c r="J15" s="4"/>
      <c r="K15" s="4"/>
      <c r="L15" s="4"/>
      <c r="M15" s="4"/>
      <c r="N15" s="4"/>
      <c r="O15" s="4"/>
      <c r="P15" s="4"/>
      <c r="Q15" s="4"/>
      <c r="R15" s="5"/>
    </row>
    <row r="16" spans="1:18" x14ac:dyDescent="0.35">
      <c r="A16" s="6"/>
      <c r="B16" s="4"/>
      <c r="C16" s="4"/>
      <c r="D16" s="4"/>
      <c r="E16" s="4"/>
      <c r="F16" s="4"/>
      <c r="G16" s="4"/>
      <c r="H16" s="4"/>
      <c r="I16" s="4"/>
      <c r="J16" s="4"/>
      <c r="K16" s="4"/>
      <c r="L16" s="4"/>
      <c r="M16" s="4"/>
      <c r="N16" s="4"/>
      <c r="O16" s="4"/>
      <c r="P16" s="4"/>
      <c r="Q16" s="4"/>
      <c r="R16" s="5"/>
    </row>
    <row r="17" spans="1:18" ht="15" thickBot="1" x14ac:dyDescent="0.4">
      <c r="A17" s="7"/>
      <c r="B17" s="8"/>
      <c r="C17" s="8"/>
      <c r="D17" s="8"/>
      <c r="E17" s="8"/>
      <c r="F17" s="8"/>
      <c r="G17" s="8"/>
      <c r="H17" s="8"/>
      <c r="I17" s="8"/>
      <c r="J17" s="8"/>
      <c r="K17" s="8"/>
      <c r="L17" s="8"/>
      <c r="M17" s="8"/>
      <c r="N17" s="8"/>
      <c r="O17" s="8"/>
      <c r="P17" s="8"/>
      <c r="Q17" s="8"/>
      <c r="R17" s="9"/>
    </row>
  </sheetData>
  <mergeCells count="1">
    <mergeCell ref="A1:R1"/>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E4226-FABB-469A-80A4-24D53ED9E8B1}">
  <dimension ref="A1:R17"/>
  <sheetViews>
    <sheetView showGridLines="0" workbookViewId="0">
      <selection activeCell="A18" sqref="A18"/>
    </sheetView>
  </sheetViews>
  <sheetFormatPr defaultRowHeight="14.5" x14ac:dyDescent="0.35"/>
  <cols>
    <col min="1" max="1" width="12.90625" bestFit="1" customWidth="1"/>
    <col min="2" max="2" width="29.6328125" bestFit="1" customWidth="1"/>
  </cols>
  <sheetData>
    <row r="1" spans="1:18" ht="29" customHeight="1" x14ac:dyDescent="0.35">
      <c r="A1" s="68" t="s">
        <v>1057</v>
      </c>
      <c r="B1" s="69"/>
      <c r="C1" s="69"/>
      <c r="D1" s="69"/>
      <c r="E1" s="69"/>
      <c r="F1" s="69"/>
      <c r="G1" s="69"/>
      <c r="H1" s="69"/>
      <c r="I1" s="69"/>
      <c r="J1" s="69"/>
      <c r="K1" s="69"/>
      <c r="L1" s="69"/>
      <c r="M1" s="69"/>
      <c r="N1" s="69"/>
      <c r="O1" s="69"/>
      <c r="P1" s="69"/>
      <c r="Q1" s="69"/>
      <c r="R1" s="70"/>
    </row>
    <row r="2" spans="1:18" ht="15" thickBot="1" x14ac:dyDescent="0.4">
      <c r="A2" s="6"/>
      <c r="B2" s="4"/>
      <c r="C2" s="4"/>
      <c r="D2" s="4"/>
      <c r="E2" s="4"/>
      <c r="F2" s="4"/>
      <c r="G2" s="4"/>
      <c r="H2" s="4"/>
      <c r="I2" s="4"/>
      <c r="J2" s="4"/>
      <c r="K2" s="4"/>
      <c r="L2" s="4"/>
      <c r="M2" s="4"/>
      <c r="N2" s="4"/>
      <c r="O2" s="4"/>
      <c r="P2" s="4"/>
      <c r="Q2" s="4"/>
      <c r="R2" s="5"/>
    </row>
    <row r="3" spans="1:18" ht="15" thickBot="1" x14ac:dyDescent="0.4">
      <c r="A3" s="21" t="s">
        <v>1051</v>
      </c>
      <c r="B3" s="24" t="s">
        <v>1058</v>
      </c>
      <c r="C3" s="4"/>
      <c r="D3" s="4"/>
      <c r="E3" s="4"/>
      <c r="F3" s="4"/>
      <c r="G3" s="4"/>
      <c r="H3" s="4"/>
      <c r="I3" s="4"/>
      <c r="J3" s="4"/>
      <c r="K3" s="4"/>
      <c r="L3" s="4"/>
      <c r="M3" s="4"/>
      <c r="N3" s="4"/>
      <c r="O3" s="4"/>
      <c r="P3" s="4"/>
      <c r="Q3" s="4"/>
      <c r="R3" s="5"/>
    </row>
    <row r="4" spans="1:18" x14ac:dyDescent="0.35">
      <c r="A4" s="22" t="s">
        <v>24</v>
      </c>
      <c r="B4" s="19">
        <v>0.17313019390581719</v>
      </c>
      <c r="C4" s="4"/>
      <c r="D4" s="4"/>
      <c r="E4" s="4"/>
      <c r="F4" s="4"/>
      <c r="G4" s="4"/>
      <c r="H4" s="4"/>
      <c r="I4" s="4"/>
      <c r="J4" s="4"/>
      <c r="K4" s="4"/>
      <c r="L4" s="4"/>
      <c r="M4" s="4"/>
      <c r="N4" s="4"/>
      <c r="O4" s="4"/>
      <c r="P4" s="4"/>
      <c r="Q4" s="4"/>
      <c r="R4" s="5"/>
    </row>
    <row r="5" spans="1:18" x14ac:dyDescent="0.35">
      <c r="A5" s="26" t="s">
        <v>31</v>
      </c>
      <c r="B5" s="25">
        <v>0.21329639889196675</v>
      </c>
      <c r="C5" s="4"/>
      <c r="D5" s="4"/>
      <c r="E5" s="4"/>
      <c r="F5" s="4"/>
      <c r="G5" s="4"/>
      <c r="H5" s="4"/>
      <c r="I5" s="4"/>
      <c r="J5" s="4"/>
      <c r="K5" s="4"/>
      <c r="L5" s="4"/>
      <c r="M5" s="4"/>
      <c r="N5" s="4"/>
      <c r="O5" s="4"/>
      <c r="P5" s="4"/>
      <c r="Q5" s="4"/>
      <c r="R5" s="5"/>
    </row>
    <row r="6" spans="1:18" x14ac:dyDescent="0.35">
      <c r="A6" s="26" t="s">
        <v>38</v>
      </c>
      <c r="B6" s="25">
        <v>0.19806094182825484</v>
      </c>
      <c r="C6" s="4"/>
      <c r="D6" s="4"/>
      <c r="E6" s="4"/>
      <c r="F6" s="4"/>
      <c r="G6" s="4"/>
      <c r="H6" s="4"/>
      <c r="I6" s="4"/>
      <c r="J6" s="4"/>
      <c r="K6" s="4"/>
      <c r="L6" s="4"/>
      <c r="M6" s="4"/>
      <c r="N6" s="4"/>
      <c r="O6" s="4"/>
      <c r="P6" s="4"/>
      <c r="Q6" s="4"/>
      <c r="R6" s="5"/>
    </row>
    <row r="7" spans="1:18" x14ac:dyDescent="0.35">
      <c r="A7" s="26" t="s">
        <v>13</v>
      </c>
      <c r="B7" s="25">
        <v>0.17867036011080331</v>
      </c>
      <c r="C7" s="4"/>
      <c r="D7" s="4"/>
      <c r="E7" s="4"/>
      <c r="F7" s="4"/>
      <c r="G7" s="4"/>
      <c r="H7" s="4"/>
      <c r="I7" s="4"/>
      <c r="J7" s="4"/>
      <c r="K7" s="4"/>
      <c r="L7" s="4"/>
      <c r="M7" s="4"/>
      <c r="N7" s="4"/>
      <c r="O7" s="4"/>
      <c r="P7" s="4"/>
      <c r="Q7" s="4"/>
      <c r="R7" s="5"/>
    </row>
    <row r="8" spans="1:18" ht="15" thickBot="1" x14ac:dyDescent="0.4">
      <c r="A8" s="23" t="s">
        <v>28</v>
      </c>
      <c r="B8" s="20">
        <v>0.23684210526315788</v>
      </c>
      <c r="C8" s="4"/>
      <c r="D8" s="4"/>
      <c r="E8" s="4"/>
      <c r="F8" s="4"/>
      <c r="G8" s="4"/>
      <c r="H8" s="4"/>
      <c r="I8" s="4"/>
      <c r="J8" s="4"/>
      <c r="K8" s="4"/>
      <c r="L8" s="4"/>
      <c r="M8" s="4"/>
      <c r="N8" s="4"/>
      <c r="O8" s="4"/>
      <c r="P8" s="4"/>
      <c r="Q8" s="4"/>
      <c r="R8" s="5"/>
    </row>
    <row r="9" spans="1:18" x14ac:dyDescent="0.35">
      <c r="A9" s="6"/>
      <c r="B9" s="4"/>
      <c r="C9" s="4"/>
      <c r="D9" s="4"/>
      <c r="E9" s="4"/>
      <c r="F9" s="4"/>
      <c r="G9" s="4"/>
      <c r="H9" s="4"/>
      <c r="I9" s="4"/>
      <c r="J9" s="4"/>
      <c r="K9" s="4"/>
      <c r="L9" s="4"/>
      <c r="M9" s="4"/>
      <c r="N9" s="4"/>
      <c r="O9" s="4"/>
      <c r="P9" s="4"/>
      <c r="Q9" s="4"/>
      <c r="R9" s="5"/>
    </row>
    <row r="10" spans="1:18" x14ac:dyDescent="0.35">
      <c r="A10" s="6"/>
      <c r="B10" s="4"/>
      <c r="C10" s="4"/>
      <c r="D10" s="4"/>
      <c r="E10" s="4"/>
      <c r="F10" s="4"/>
      <c r="G10" s="4"/>
      <c r="H10" s="4"/>
      <c r="I10" s="4"/>
      <c r="J10" s="4"/>
      <c r="K10" s="4"/>
      <c r="L10" s="4"/>
      <c r="M10" s="4"/>
      <c r="N10" s="4"/>
      <c r="O10" s="4"/>
      <c r="P10" s="4"/>
      <c r="Q10" s="4"/>
      <c r="R10" s="5"/>
    </row>
    <row r="11" spans="1:18" x14ac:dyDescent="0.35">
      <c r="A11" s="6"/>
      <c r="B11" s="4"/>
      <c r="C11" s="4"/>
      <c r="D11" s="4"/>
      <c r="E11" s="4"/>
      <c r="F11" s="4"/>
      <c r="G11" s="4"/>
      <c r="H11" s="4"/>
      <c r="I11" s="4"/>
      <c r="J11" s="4"/>
      <c r="K11" s="4"/>
      <c r="L11" s="4"/>
      <c r="M11" s="4"/>
      <c r="N11" s="4"/>
      <c r="O11" s="4"/>
      <c r="P11" s="4"/>
      <c r="Q11" s="4"/>
      <c r="R11" s="5"/>
    </row>
    <row r="12" spans="1:18" x14ac:dyDescent="0.35">
      <c r="A12" s="6"/>
      <c r="B12" s="4"/>
      <c r="C12" s="4"/>
      <c r="D12" s="4"/>
      <c r="E12" s="4"/>
      <c r="F12" s="4"/>
      <c r="G12" s="4"/>
      <c r="H12" s="4"/>
      <c r="I12" s="4"/>
      <c r="J12" s="4"/>
      <c r="K12" s="4"/>
      <c r="L12" s="4"/>
      <c r="M12" s="4"/>
      <c r="N12" s="4"/>
      <c r="O12" s="4"/>
      <c r="P12" s="4"/>
      <c r="Q12" s="4"/>
      <c r="R12" s="5"/>
    </row>
    <row r="13" spans="1:18" x14ac:dyDescent="0.35">
      <c r="A13" s="6"/>
      <c r="B13" s="4"/>
      <c r="C13" s="4"/>
      <c r="D13" s="4"/>
      <c r="E13" s="4"/>
      <c r="F13" s="4"/>
      <c r="G13" s="4"/>
      <c r="H13" s="4"/>
      <c r="I13" s="4"/>
      <c r="J13" s="4"/>
      <c r="K13" s="4"/>
      <c r="L13" s="4"/>
      <c r="M13" s="4"/>
      <c r="N13" s="4"/>
      <c r="O13" s="4"/>
      <c r="P13" s="4"/>
      <c r="Q13" s="4"/>
      <c r="R13" s="5"/>
    </row>
    <row r="14" spans="1:18" x14ac:dyDescent="0.35">
      <c r="A14" s="6"/>
      <c r="B14" s="4"/>
      <c r="C14" s="4"/>
      <c r="D14" s="4"/>
      <c r="E14" s="4"/>
      <c r="F14" s="4"/>
      <c r="G14" s="4"/>
      <c r="H14" s="4"/>
      <c r="I14" s="4"/>
      <c r="J14" s="4"/>
      <c r="K14" s="4"/>
      <c r="L14" s="4"/>
      <c r="M14" s="4"/>
      <c r="N14" s="4"/>
      <c r="O14" s="4"/>
      <c r="P14" s="4"/>
      <c r="Q14" s="4"/>
      <c r="R14" s="5"/>
    </row>
    <row r="15" spans="1:18" x14ac:dyDescent="0.35">
      <c r="A15" s="6"/>
      <c r="B15" s="4"/>
      <c r="C15" s="4"/>
      <c r="D15" s="4"/>
      <c r="E15" s="4"/>
      <c r="F15" s="4"/>
      <c r="G15" s="4"/>
      <c r="H15" s="4"/>
      <c r="I15" s="4"/>
      <c r="J15" s="4"/>
      <c r="K15" s="4"/>
      <c r="L15" s="4"/>
      <c r="M15" s="4"/>
      <c r="N15" s="4"/>
      <c r="O15" s="4"/>
      <c r="P15" s="4"/>
      <c r="Q15" s="4"/>
      <c r="R15" s="5"/>
    </row>
    <row r="16" spans="1:18" x14ac:dyDescent="0.35">
      <c r="A16" s="6"/>
      <c r="B16" s="4"/>
      <c r="C16" s="4"/>
      <c r="D16" s="4"/>
      <c r="E16" s="4"/>
      <c r="F16" s="4"/>
      <c r="G16" s="4"/>
      <c r="H16" s="4"/>
      <c r="I16" s="4"/>
      <c r="J16" s="4"/>
      <c r="K16" s="4"/>
      <c r="L16" s="4"/>
      <c r="M16" s="4"/>
      <c r="N16" s="4"/>
      <c r="O16" s="4"/>
      <c r="P16" s="4"/>
      <c r="Q16" s="4"/>
      <c r="R16" s="5"/>
    </row>
    <row r="17" spans="1:18" ht="15" thickBot="1" x14ac:dyDescent="0.4">
      <c r="A17" s="7"/>
      <c r="B17" s="8"/>
      <c r="C17" s="8"/>
      <c r="D17" s="8"/>
      <c r="E17" s="8"/>
      <c r="F17" s="8"/>
      <c r="G17" s="8"/>
      <c r="H17" s="8"/>
      <c r="I17" s="8"/>
      <c r="J17" s="8"/>
      <c r="K17" s="8"/>
      <c r="L17" s="8"/>
      <c r="M17" s="8"/>
      <c r="N17" s="8"/>
      <c r="O17" s="8"/>
      <c r="P17" s="8"/>
      <c r="Q17" s="8"/>
      <c r="R17" s="9"/>
    </row>
  </sheetData>
  <mergeCells count="1">
    <mergeCell ref="A1:R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E280-3874-4AB0-85BF-4CCD50E448E8}">
  <dimension ref="A1:R17"/>
  <sheetViews>
    <sheetView showGridLines="0" workbookViewId="0">
      <selection activeCell="A18" sqref="A18"/>
    </sheetView>
  </sheetViews>
  <sheetFormatPr defaultRowHeight="14.5" x14ac:dyDescent="0.35"/>
  <cols>
    <col min="1" max="1" width="12.90625" bestFit="1" customWidth="1"/>
    <col min="2" max="2" width="21.08984375" bestFit="1" customWidth="1"/>
  </cols>
  <sheetData>
    <row r="1" spans="1:18" ht="29" customHeight="1" x14ac:dyDescent="0.35">
      <c r="A1" s="68" t="s">
        <v>1059</v>
      </c>
      <c r="B1" s="69"/>
      <c r="C1" s="69"/>
      <c r="D1" s="69"/>
      <c r="E1" s="69"/>
      <c r="F1" s="69"/>
      <c r="G1" s="69"/>
      <c r="H1" s="69"/>
      <c r="I1" s="69"/>
      <c r="J1" s="69"/>
      <c r="K1" s="69"/>
      <c r="L1" s="69"/>
      <c r="M1" s="69"/>
      <c r="N1" s="69"/>
      <c r="O1" s="69"/>
      <c r="P1" s="69"/>
      <c r="Q1" s="69"/>
      <c r="R1" s="70"/>
    </row>
    <row r="2" spans="1:18" ht="15" thickBot="1" x14ac:dyDescent="0.4">
      <c r="A2" s="6"/>
      <c r="B2" s="4"/>
      <c r="C2" s="4"/>
      <c r="D2" s="4"/>
      <c r="E2" s="4"/>
      <c r="F2" s="4"/>
      <c r="G2" s="4"/>
      <c r="H2" s="4"/>
      <c r="I2" s="4"/>
      <c r="J2" s="4"/>
      <c r="K2" s="4"/>
      <c r="L2" s="4"/>
      <c r="M2" s="4"/>
      <c r="N2" s="4"/>
      <c r="O2" s="4"/>
      <c r="P2" s="4"/>
      <c r="Q2" s="4"/>
      <c r="R2" s="5"/>
    </row>
    <row r="3" spans="1:18" ht="15" thickBot="1" x14ac:dyDescent="0.4">
      <c r="A3" s="21" t="s">
        <v>1051</v>
      </c>
      <c r="B3" s="24" t="s">
        <v>1060</v>
      </c>
      <c r="C3" s="4"/>
      <c r="D3" s="4"/>
      <c r="E3" s="4"/>
      <c r="F3" s="4"/>
      <c r="G3" s="4"/>
      <c r="H3" s="4"/>
      <c r="I3" s="4"/>
      <c r="J3" s="4"/>
      <c r="K3" s="4"/>
      <c r="L3" s="4"/>
      <c r="M3" s="4"/>
      <c r="N3" s="4"/>
      <c r="O3" s="4"/>
      <c r="P3" s="4"/>
      <c r="Q3" s="4"/>
      <c r="R3" s="5"/>
    </row>
    <row r="4" spans="1:18" x14ac:dyDescent="0.35">
      <c r="A4" s="22" t="s">
        <v>24</v>
      </c>
      <c r="B4" s="19">
        <v>0.1811510397284895</v>
      </c>
      <c r="C4" s="4"/>
      <c r="D4" s="4"/>
      <c r="E4" s="4"/>
      <c r="F4" s="4"/>
      <c r="G4" s="4"/>
      <c r="H4" s="4"/>
      <c r="I4" s="4"/>
      <c r="J4" s="4"/>
      <c r="K4" s="4"/>
      <c r="L4" s="4"/>
      <c r="M4" s="4"/>
      <c r="N4" s="4"/>
      <c r="O4" s="4"/>
      <c r="P4" s="4"/>
      <c r="Q4" s="4"/>
      <c r="R4" s="5"/>
    </row>
    <row r="5" spans="1:18" x14ac:dyDescent="0.35">
      <c r="A5" s="26" t="s">
        <v>31</v>
      </c>
      <c r="B5" s="25">
        <v>0.19774040680353253</v>
      </c>
      <c r="C5" s="4"/>
      <c r="D5" s="4"/>
      <c r="E5" s="4"/>
      <c r="F5" s="4"/>
      <c r="G5" s="4"/>
      <c r="H5" s="4"/>
      <c r="I5" s="4"/>
      <c r="J5" s="4"/>
      <c r="K5" s="4"/>
      <c r="L5" s="4"/>
      <c r="M5" s="4"/>
      <c r="N5" s="4"/>
      <c r="O5" s="4"/>
      <c r="P5" s="4"/>
      <c r="Q5" s="4"/>
      <c r="R5" s="5"/>
    </row>
    <row r="6" spans="1:18" x14ac:dyDescent="0.35">
      <c r="A6" s="26" t="s">
        <v>38</v>
      </c>
      <c r="B6" s="25">
        <v>0.19696654126749075</v>
      </c>
      <c r="C6" s="4"/>
      <c r="D6" s="4"/>
      <c r="E6" s="4"/>
      <c r="F6" s="4"/>
      <c r="G6" s="4"/>
      <c r="H6" s="4"/>
      <c r="I6" s="4"/>
      <c r="J6" s="4"/>
      <c r="K6" s="4"/>
      <c r="L6" s="4"/>
      <c r="M6" s="4"/>
      <c r="N6" s="4"/>
      <c r="O6" s="4"/>
      <c r="P6" s="4"/>
      <c r="Q6" s="4"/>
      <c r="R6" s="5"/>
    </row>
    <row r="7" spans="1:18" x14ac:dyDescent="0.35">
      <c r="A7" s="26" t="s">
        <v>13</v>
      </c>
      <c r="B7" s="25">
        <v>0.19508386723905521</v>
      </c>
      <c r="C7" s="4"/>
      <c r="D7" s="4"/>
      <c r="E7" s="4"/>
      <c r="F7" s="4"/>
      <c r="G7" s="4"/>
      <c r="H7" s="4"/>
      <c r="I7" s="4"/>
      <c r="J7" s="4"/>
      <c r="K7" s="4"/>
      <c r="L7" s="4"/>
      <c r="M7" s="4"/>
      <c r="N7" s="4"/>
      <c r="O7" s="4"/>
      <c r="P7" s="4"/>
      <c r="Q7" s="4"/>
      <c r="R7" s="5"/>
    </row>
    <row r="8" spans="1:18" ht="15" thickBot="1" x14ac:dyDescent="0.4">
      <c r="A8" s="23" t="s">
        <v>28</v>
      </c>
      <c r="B8" s="20">
        <v>0.22905814496143198</v>
      </c>
      <c r="C8" s="4"/>
      <c r="D8" s="4"/>
      <c r="E8" s="4"/>
      <c r="F8" s="4"/>
      <c r="G8" s="4"/>
      <c r="H8" s="4"/>
      <c r="I8" s="4"/>
      <c r="J8" s="4"/>
      <c r="K8" s="4"/>
      <c r="L8" s="4"/>
      <c r="M8" s="4"/>
      <c r="N8" s="4"/>
      <c r="O8" s="4"/>
      <c r="P8" s="4"/>
      <c r="Q8" s="4"/>
      <c r="R8" s="5"/>
    </row>
    <row r="9" spans="1:18" x14ac:dyDescent="0.35">
      <c r="A9" s="6"/>
      <c r="B9" s="4"/>
      <c r="C9" s="4"/>
      <c r="D9" s="4"/>
      <c r="E9" s="4"/>
      <c r="F9" s="4"/>
      <c r="G9" s="4"/>
      <c r="H9" s="4"/>
      <c r="I9" s="4"/>
      <c r="J9" s="4"/>
      <c r="K9" s="4"/>
      <c r="L9" s="4"/>
      <c r="M9" s="4"/>
      <c r="N9" s="4"/>
      <c r="O9" s="4"/>
      <c r="P9" s="4"/>
      <c r="Q9" s="4"/>
      <c r="R9" s="5"/>
    </row>
    <row r="10" spans="1:18" x14ac:dyDescent="0.35">
      <c r="A10" s="6"/>
      <c r="B10" s="4"/>
      <c r="C10" s="4"/>
      <c r="D10" s="4"/>
      <c r="E10" s="4"/>
      <c r="F10" s="4"/>
      <c r="G10" s="4"/>
      <c r="H10" s="4"/>
      <c r="I10" s="4"/>
      <c r="J10" s="4"/>
      <c r="K10" s="4"/>
      <c r="L10" s="4"/>
      <c r="M10" s="4"/>
      <c r="N10" s="4"/>
      <c r="O10" s="4"/>
      <c r="P10" s="4"/>
      <c r="Q10" s="4"/>
      <c r="R10" s="5"/>
    </row>
    <row r="11" spans="1:18" x14ac:dyDescent="0.35">
      <c r="A11" s="6"/>
      <c r="B11" s="4"/>
      <c r="C11" s="4"/>
      <c r="D11" s="4"/>
      <c r="E11" s="4"/>
      <c r="F11" s="4"/>
      <c r="G11" s="4"/>
      <c r="H11" s="4"/>
      <c r="I11" s="4"/>
      <c r="J11" s="4"/>
      <c r="K11" s="4"/>
      <c r="L11" s="4"/>
      <c r="M11" s="4"/>
      <c r="N11" s="4"/>
      <c r="O11" s="4"/>
      <c r="P11" s="4"/>
      <c r="Q11" s="4"/>
      <c r="R11" s="5"/>
    </row>
    <row r="12" spans="1:18" x14ac:dyDescent="0.35">
      <c r="A12" s="6"/>
      <c r="B12" s="4"/>
      <c r="C12" s="4"/>
      <c r="D12" s="4"/>
      <c r="E12" s="4"/>
      <c r="F12" s="4"/>
      <c r="G12" s="4"/>
      <c r="H12" s="4"/>
      <c r="I12" s="4"/>
      <c r="J12" s="4"/>
      <c r="K12" s="4"/>
      <c r="L12" s="4"/>
      <c r="M12" s="4"/>
      <c r="N12" s="4"/>
      <c r="O12" s="4"/>
      <c r="P12" s="4"/>
      <c r="Q12" s="4"/>
      <c r="R12" s="5"/>
    </row>
    <row r="13" spans="1:18" x14ac:dyDescent="0.35">
      <c r="A13" s="6"/>
      <c r="B13" s="4"/>
      <c r="C13" s="4"/>
      <c r="D13" s="4"/>
      <c r="E13" s="4"/>
      <c r="F13" s="4"/>
      <c r="G13" s="4"/>
      <c r="H13" s="4"/>
      <c r="I13" s="4"/>
      <c r="J13" s="4"/>
      <c r="K13" s="4"/>
      <c r="L13" s="4"/>
      <c r="M13" s="4"/>
      <c r="N13" s="4"/>
      <c r="O13" s="4"/>
      <c r="P13" s="4"/>
      <c r="Q13" s="4"/>
      <c r="R13" s="5"/>
    </row>
    <row r="14" spans="1:18" x14ac:dyDescent="0.35">
      <c r="A14" s="6"/>
      <c r="B14" s="4"/>
      <c r="C14" s="4"/>
      <c r="D14" s="4"/>
      <c r="E14" s="4"/>
      <c r="F14" s="4"/>
      <c r="G14" s="4"/>
      <c r="H14" s="4"/>
      <c r="I14" s="4"/>
      <c r="J14" s="4"/>
      <c r="K14" s="4"/>
      <c r="L14" s="4"/>
      <c r="M14" s="4"/>
      <c r="N14" s="4"/>
      <c r="O14" s="4"/>
      <c r="P14" s="4"/>
      <c r="Q14" s="4"/>
      <c r="R14" s="5"/>
    </row>
    <row r="15" spans="1:18" x14ac:dyDescent="0.35">
      <c r="A15" s="6"/>
      <c r="B15" s="4"/>
      <c r="C15" s="4"/>
      <c r="D15" s="4"/>
      <c r="E15" s="4"/>
      <c r="F15" s="4"/>
      <c r="G15" s="4"/>
      <c r="H15" s="4"/>
      <c r="I15" s="4"/>
      <c r="J15" s="4"/>
      <c r="K15" s="4"/>
      <c r="L15" s="4"/>
      <c r="M15" s="4"/>
      <c r="N15" s="4"/>
      <c r="O15" s="4"/>
      <c r="P15" s="4"/>
      <c r="Q15" s="4"/>
      <c r="R15" s="5"/>
    </row>
    <row r="16" spans="1:18" x14ac:dyDescent="0.35">
      <c r="A16" s="6"/>
      <c r="B16" s="4"/>
      <c r="C16" s="4"/>
      <c r="D16" s="4"/>
      <c r="E16" s="4"/>
      <c r="F16" s="4"/>
      <c r="G16" s="4"/>
      <c r="H16" s="4"/>
      <c r="I16" s="4"/>
      <c r="J16" s="4"/>
      <c r="K16" s="4"/>
      <c r="L16" s="4"/>
      <c r="M16" s="4"/>
      <c r="N16" s="4"/>
      <c r="O16" s="4"/>
      <c r="P16" s="4"/>
      <c r="Q16" s="4"/>
      <c r="R16" s="5"/>
    </row>
    <row r="17" spans="1:18" ht="15" thickBot="1" x14ac:dyDescent="0.4">
      <c r="A17" s="7"/>
      <c r="B17" s="8"/>
      <c r="C17" s="8"/>
      <c r="D17" s="8"/>
      <c r="E17" s="8"/>
      <c r="F17" s="8"/>
      <c r="G17" s="8"/>
      <c r="H17" s="8"/>
      <c r="I17" s="8"/>
      <c r="J17" s="8"/>
      <c r="K17" s="8"/>
      <c r="L17" s="8"/>
      <c r="M17" s="8"/>
      <c r="N17" s="8"/>
      <c r="O17" s="8"/>
      <c r="P17" s="8"/>
      <c r="Q17" s="8"/>
      <c r="R17" s="9"/>
    </row>
  </sheetData>
  <mergeCells count="1">
    <mergeCell ref="A1:R1"/>
  </mergeCell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2AB23-1E75-4FEE-A633-1B6B804617EF}">
  <dimension ref="A1:R17"/>
  <sheetViews>
    <sheetView showGridLines="0" workbookViewId="0">
      <selection activeCell="G26" sqref="G26"/>
    </sheetView>
  </sheetViews>
  <sheetFormatPr defaultRowHeight="14.5" x14ac:dyDescent="0.35"/>
  <cols>
    <col min="1" max="1" width="12.90625" bestFit="1" customWidth="1"/>
    <col min="2" max="2" width="21.08984375" bestFit="1" customWidth="1"/>
  </cols>
  <sheetData>
    <row r="1" spans="1:18" ht="28.5" customHeight="1" x14ac:dyDescent="0.35">
      <c r="A1" s="68" t="s">
        <v>1061</v>
      </c>
      <c r="B1" s="69"/>
      <c r="C1" s="69"/>
      <c r="D1" s="69"/>
      <c r="E1" s="69"/>
      <c r="F1" s="69"/>
      <c r="G1" s="69"/>
      <c r="H1" s="69"/>
      <c r="I1" s="69"/>
      <c r="J1" s="69"/>
      <c r="K1" s="69"/>
      <c r="L1" s="69"/>
      <c r="M1" s="69"/>
      <c r="N1" s="69"/>
      <c r="O1" s="69"/>
      <c r="P1" s="69"/>
      <c r="Q1" s="69"/>
      <c r="R1" s="70"/>
    </row>
    <row r="2" spans="1:18" ht="15" thickBot="1" x14ac:dyDescent="0.4">
      <c r="A2" s="6"/>
      <c r="B2" s="4"/>
      <c r="C2" s="4"/>
      <c r="D2" s="4"/>
      <c r="E2" s="4"/>
      <c r="F2" s="4"/>
      <c r="G2" s="4"/>
      <c r="H2" s="4"/>
      <c r="I2" s="4"/>
      <c r="J2" s="4"/>
      <c r="K2" s="4"/>
      <c r="L2" s="4"/>
      <c r="M2" s="4"/>
      <c r="N2" s="4"/>
      <c r="O2" s="4"/>
      <c r="P2" s="4"/>
      <c r="Q2" s="4"/>
      <c r="R2" s="5"/>
    </row>
    <row r="3" spans="1:18" ht="15" thickBot="1" x14ac:dyDescent="0.4">
      <c r="A3" s="21" t="s">
        <v>1051</v>
      </c>
      <c r="B3" s="24" t="s">
        <v>1060</v>
      </c>
      <c r="C3" s="4"/>
      <c r="D3" s="4"/>
      <c r="E3" s="4"/>
      <c r="F3" s="4"/>
      <c r="G3" s="4"/>
      <c r="H3" s="4"/>
      <c r="I3" s="4"/>
      <c r="J3" s="4"/>
      <c r="K3" s="4"/>
      <c r="L3" s="4"/>
      <c r="M3" s="4"/>
      <c r="N3" s="4"/>
      <c r="O3" s="4"/>
      <c r="P3" s="4"/>
      <c r="Q3" s="4"/>
      <c r="R3" s="5"/>
    </row>
    <row r="4" spans="1:18" x14ac:dyDescent="0.35">
      <c r="A4" s="22" t="s">
        <v>46</v>
      </c>
      <c r="B4" s="19">
        <v>0.24226828478217133</v>
      </c>
      <c r="C4" s="4"/>
      <c r="D4" s="4"/>
      <c r="E4" s="4"/>
      <c r="F4" s="4"/>
      <c r="G4" s="4"/>
      <c r="H4" s="4"/>
      <c r="I4" s="4"/>
      <c r="J4" s="4"/>
      <c r="K4" s="4"/>
      <c r="L4" s="4"/>
      <c r="M4" s="4"/>
      <c r="N4" s="4"/>
      <c r="O4" s="4"/>
      <c r="P4" s="4"/>
      <c r="Q4" s="4"/>
      <c r="R4" s="5"/>
    </row>
    <row r="5" spans="1:18" x14ac:dyDescent="0.35">
      <c r="A5" s="26" t="s">
        <v>33</v>
      </c>
      <c r="B5" s="25">
        <v>0.25282387411356794</v>
      </c>
      <c r="C5" s="4"/>
      <c r="D5" s="4"/>
      <c r="E5" s="4"/>
      <c r="F5" s="4"/>
      <c r="G5" s="4"/>
      <c r="H5" s="4"/>
      <c r="I5" s="4"/>
      <c r="J5" s="4"/>
      <c r="K5" s="4"/>
      <c r="L5" s="4"/>
      <c r="M5" s="4"/>
      <c r="N5" s="4"/>
      <c r="O5" s="4"/>
      <c r="P5" s="4"/>
      <c r="Q5" s="4"/>
      <c r="R5" s="5"/>
    </row>
    <row r="6" spans="1:18" x14ac:dyDescent="0.35">
      <c r="A6" s="26" t="s">
        <v>15</v>
      </c>
      <c r="B6" s="25">
        <v>0.27836307995197046</v>
      </c>
      <c r="C6" s="4"/>
      <c r="D6" s="4"/>
      <c r="E6" s="4"/>
      <c r="F6" s="4"/>
      <c r="G6" s="4"/>
      <c r="H6" s="4"/>
      <c r="I6" s="4"/>
      <c r="J6" s="4"/>
      <c r="K6" s="4"/>
      <c r="L6" s="4"/>
      <c r="M6" s="4"/>
      <c r="N6" s="4"/>
      <c r="O6" s="4"/>
      <c r="P6" s="4"/>
      <c r="Q6" s="4"/>
      <c r="R6" s="5"/>
    </row>
    <row r="7" spans="1:18" ht="15" thickBot="1" x14ac:dyDescent="0.4">
      <c r="A7" s="23" t="s">
        <v>36</v>
      </c>
      <c r="B7" s="20">
        <v>0.22654476115229025</v>
      </c>
      <c r="C7" s="4"/>
      <c r="D7" s="4"/>
      <c r="E7" s="4"/>
      <c r="F7" s="4"/>
      <c r="G7" s="4"/>
      <c r="H7" s="4"/>
      <c r="I7" s="4"/>
      <c r="J7" s="4"/>
      <c r="K7" s="4"/>
      <c r="L7" s="4"/>
      <c r="M7" s="4"/>
      <c r="N7" s="4"/>
      <c r="O7" s="4"/>
      <c r="P7" s="4"/>
      <c r="Q7" s="4"/>
      <c r="R7" s="5"/>
    </row>
    <row r="8" spans="1:18" x14ac:dyDescent="0.35">
      <c r="A8" s="6"/>
      <c r="B8" s="4"/>
      <c r="C8" s="4"/>
      <c r="D8" s="4"/>
      <c r="E8" s="4"/>
      <c r="F8" s="4"/>
      <c r="G8" s="4"/>
      <c r="H8" s="4"/>
      <c r="I8" s="4"/>
      <c r="J8" s="4"/>
      <c r="K8" s="4"/>
      <c r="L8" s="4"/>
      <c r="M8" s="4"/>
      <c r="N8" s="4"/>
      <c r="O8" s="4"/>
      <c r="P8" s="4"/>
      <c r="Q8" s="4"/>
      <c r="R8" s="5"/>
    </row>
    <row r="9" spans="1:18" x14ac:dyDescent="0.35">
      <c r="A9" s="6"/>
      <c r="B9" s="4"/>
      <c r="C9" s="4"/>
      <c r="D9" s="4"/>
      <c r="E9" s="4"/>
      <c r="F9" s="4"/>
      <c r="G9" s="4"/>
      <c r="H9" s="4"/>
      <c r="I9" s="4"/>
      <c r="J9" s="4"/>
      <c r="K9" s="4"/>
      <c r="L9" s="4"/>
      <c r="M9" s="4"/>
      <c r="N9" s="4"/>
      <c r="O9" s="4"/>
      <c r="P9" s="4"/>
      <c r="Q9" s="4"/>
      <c r="R9" s="5"/>
    </row>
    <row r="10" spans="1:18" x14ac:dyDescent="0.35">
      <c r="A10" s="6"/>
      <c r="B10" s="4"/>
      <c r="C10" s="4"/>
      <c r="D10" s="4"/>
      <c r="E10" s="4"/>
      <c r="F10" s="4"/>
      <c r="G10" s="4"/>
      <c r="H10" s="4"/>
      <c r="I10" s="4"/>
      <c r="J10" s="4"/>
      <c r="K10" s="4"/>
      <c r="L10" s="4"/>
      <c r="M10" s="4"/>
      <c r="N10" s="4"/>
      <c r="O10" s="4"/>
      <c r="P10" s="4"/>
      <c r="Q10" s="4"/>
      <c r="R10" s="5"/>
    </row>
    <row r="11" spans="1:18" x14ac:dyDescent="0.35">
      <c r="A11" s="6"/>
      <c r="B11" s="4"/>
      <c r="C11" s="4"/>
      <c r="D11" s="4"/>
      <c r="E11" s="4"/>
      <c r="F11" s="4"/>
      <c r="G11" s="4"/>
      <c r="H11" s="4"/>
      <c r="I11" s="4"/>
      <c r="J11" s="4"/>
      <c r="K11" s="4"/>
      <c r="L11" s="4"/>
      <c r="M11" s="4"/>
      <c r="N11" s="4"/>
      <c r="O11" s="4"/>
      <c r="P11" s="4"/>
      <c r="Q11" s="4"/>
      <c r="R11" s="5"/>
    </row>
    <row r="12" spans="1:18" x14ac:dyDescent="0.35">
      <c r="A12" s="6"/>
      <c r="B12" s="4"/>
      <c r="C12" s="4"/>
      <c r="D12" s="4"/>
      <c r="E12" s="4"/>
      <c r="F12" s="4"/>
      <c r="G12" s="4"/>
      <c r="H12" s="4"/>
      <c r="I12" s="4"/>
      <c r="J12" s="4"/>
      <c r="K12" s="4"/>
      <c r="L12" s="4"/>
      <c r="M12" s="4"/>
      <c r="N12" s="4"/>
      <c r="O12" s="4"/>
      <c r="P12" s="4"/>
      <c r="Q12" s="4"/>
      <c r="R12" s="5"/>
    </row>
    <row r="13" spans="1:18" x14ac:dyDescent="0.35">
      <c r="A13" s="6"/>
      <c r="B13" s="4"/>
      <c r="C13" s="4"/>
      <c r="D13" s="4"/>
      <c r="E13" s="4"/>
      <c r="F13" s="4"/>
      <c r="G13" s="4"/>
      <c r="H13" s="4"/>
      <c r="I13" s="4"/>
      <c r="J13" s="4"/>
      <c r="K13" s="4"/>
      <c r="L13" s="4"/>
      <c r="M13" s="4"/>
      <c r="N13" s="4"/>
      <c r="O13" s="4"/>
      <c r="P13" s="4"/>
      <c r="Q13" s="4"/>
      <c r="R13" s="5"/>
    </row>
    <row r="14" spans="1:18" x14ac:dyDescent="0.35">
      <c r="A14" s="6"/>
      <c r="B14" s="4"/>
      <c r="C14" s="4"/>
      <c r="D14" s="4"/>
      <c r="E14" s="4"/>
      <c r="F14" s="4"/>
      <c r="G14" s="4"/>
      <c r="H14" s="4"/>
      <c r="I14" s="4"/>
      <c r="J14" s="4"/>
      <c r="K14" s="4"/>
      <c r="L14" s="4"/>
      <c r="M14" s="4"/>
      <c r="N14" s="4"/>
      <c r="O14" s="4"/>
      <c r="P14" s="4"/>
      <c r="Q14" s="4"/>
      <c r="R14" s="5"/>
    </row>
    <row r="15" spans="1:18" x14ac:dyDescent="0.35">
      <c r="A15" s="6"/>
      <c r="B15" s="4"/>
      <c r="C15" s="4"/>
      <c r="D15" s="4"/>
      <c r="E15" s="4"/>
      <c r="F15" s="4"/>
      <c r="G15" s="4"/>
      <c r="H15" s="4"/>
      <c r="I15" s="4"/>
      <c r="J15" s="4"/>
      <c r="K15" s="4"/>
      <c r="L15" s="4"/>
      <c r="M15" s="4"/>
      <c r="N15" s="4"/>
      <c r="O15" s="4"/>
      <c r="P15" s="4"/>
      <c r="Q15" s="4"/>
      <c r="R15" s="5"/>
    </row>
    <row r="16" spans="1:18" x14ac:dyDescent="0.35">
      <c r="A16" s="6"/>
      <c r="B16" s="4"/>
      <c r="C16" s="4"/>
      <c r="D16" s="4"/>
      <c r="E16" s="4"/>
      <c r="F16" s="4"/>
      <c r="G16" s="4"/>
      <c r="H16" s="4"/>
      <c r="I16" s="4"/>
      <c r="J16" s="4"/>
      <c r="K16" s="4"/>
      <c r="L16" s="4"/>
      <c r="M16" s="4"/>
      <c r="N16" s="4"/>
      <c r="O16" s="4"/>
      <c r="P16" s="4"/>
      <c r="Q16" s="4"/>
      <c r="R16" s="5"/>
    </row>
    <row r="17" spans="1:18" ht="15" thickBot="1" x14ac:dyDescent="0.4">
      <c r="A17" s="7"/>
      <c r="B17" s="8"/>
      <c r="C17" s="8"/>
      <c r="D17" s="8"/>
      <c r="E17" s="8"/>
      <c r="F17" s="8"/>
      <c r="G17" s="8"/>
      <c r="H17" s="8"/>
      <c r="I17" s="8"/>
      <c r="J17" s="8"/>
      <c r="K17" s="8"/>
      <c r="L17" s="8"/>
      <c r="M17" s="8"/>
      <c r="N17" s="8"/>
      <c r="O17" s="8"/>
      <c r="P17" s="8"/>
      <c r="Q17" s="8"/>
      <c r="R17" s="9"/>
    </row>
  </sheetData>
  <mergeCells count="1">
    <mergeCell ref="A1:R1"/>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12</vt:i4>
      </vt:variant>
    </vt:vector>
  </HeadingPairs>
  <TitlesOfParts>
    <vt:vector size="12" baseType="lpstr">
      <vt:lpstr>Documentation</vt:lpstr>
      <vt:lpstr> Healthcare Analytics Data</vt:lpstr>
      <vt:lpstr>Dashboard</vt:lpstr>
      <vt:lpstr>KPIs</vt:lpstr>
      <vt:lpstr>Insights</vt:lpstr>
      <vt:lpstr>Cleaned &amp; Processed Data</vt:lpstr>
      <vt:lpstr>Demographics</vt:lpstr>
      <vt:lpstr>Department Analysis</vt:lpstr>
      <vt:lpstr>Length of Stay</vt:lpstr>
      <vt:lpstr>Treatment Success</vt:lpstr>
      <vt:lpstr>Billing Analysis</vt:lpstr>
      <vt:lpstr>Procedure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LOKHANDE</dc:creator>
  <cp:lastModifiedBy>RAN DEN</cp:lastModifiedBy>
  <dcterms:created xsi:type="dcterms:W3CDTF">2026-01-02T05:33:55Z</dcterms:created>
  <dcterms:modified xsi:type="dcterms:W3CDTF">2026-02-06T06:30:10Z</dcterms:modified>
</cp:coreProperties>
</file>