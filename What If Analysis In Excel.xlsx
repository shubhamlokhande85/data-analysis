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NFOYASHONAND TECH\"/>
    </mc:Choice>
  </mc:AlternateContent>
  <xr:revisionPtr revIDLastSave="0" documentId="13_ncr:1_{46BDD88E-5F41-4A2E-9AC9-D44A7A007779}" xr6:coauthVersionLast="36" xr6:coauthVersionMax="36" xr10:uidLastSave="{00000000-0000-0000-0000-000000000000}"/>
  <bookViews>
    <workbookView xWindow="0" yWindow="0" windowWidth="19200" windowHeight="8130" activeTab="4" xr2:uid="{5E6E03BD-6F39-4CFC-9AD8-C672F6CE65E1}"/>
  </bookViews>
  <sheets>
    <sheet name="Scenario Summary" sheetId="11" r:id="rId1"/>
    <sheet name="Scenarios Manager " sheetId="3" r:id="rId2"/>
    <sheet name="Goal Seek " sheetId="8" r:id="rId3"/>
    <sheet name="1 Var Data Table " sheetId="9" r:id="rId4"/>
    <sheet name="2 Var Data Table " sheetId="10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3" l="1"/>
  <c r="B6" i="3"/>
  <c r="B6" i="10"/>
  <c r="B7" i="10" s="1"/>
  <c r="B6" i="9"/>
  <c r="B7" i="9" s="1"/>
  <c r="B7" i="8"/>
</calcChain>
</file>

<file path=xl/sharedStrings.xml><?xml version="1.0" encoding="utf-8"?>
<sst xmlns="http://schemas.openxmlformats.org/spreadsheetml/2006/main" count="63" uniqueCount="57">
  <si>
    <t>Unit Sold</t>
  </si>
  <si>
    <t>Total Cost</t>
  </si>
  <si>
    <t xml:space="preserve">Profit </t>
  </si>
  <si>
    <t>Per Unit Price</t>
  </si>
  <si>
    <t>$G$1</t>
  </si>
  <si>
    <t>Created by SHUBHAM LOKHANDE on 18-10-2026
Modified by SHUBHAM LOKHANDE on 18-10-2026</t>
  </si>
  <si>
    <t>Created by SHUBHAM LOKHANDE on 18-10-2026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</si>
  <si>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</si>
  <si>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</si>
  <si>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</si>
  <si>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</si>
  <si>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</si>
  <si>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</si>
  <si>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</si>
  <si>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$G$2</t>
  </si>
  <si>
    <t>$G$3</t>
  </si>
  <si>
    <t xml:space="preserve">Pen Units </t>
  </si>
  <si>
    <t xml:space="preserve">per pen units price </t>
  </si>
  <si>
    <t xml:space="preserve">Target Value </t>
  </si>
  <si>
    <t>Changing_Cells_value - For Best- 300, Actual - 500, Worst - 1000</t>
  </si>
  <si>
    <t xml:space="preserve">Scenarios Manager </t>
  </si>
  <si>
    <t xml:space="preserve">Sales </t>
  </si>
  <si>
    <t>Sales Formula - B3*B4</t>
  </si>
  <si>
    <t>Profit Formula - B3*B4-B5</t>
  </si>
  <si>
    <t>Changing_cells - B5</t>
  </si>
  <si>
    <t xml:space="preserve">Goal Seek </t>
  </si>
  <si>
    <t xml:space="preserve">How Much I Have to sold pen Units so I Can get $500 </t>
  </si>
  <si>
    <t>Target Price (Total_ Sales) = B5*B6</t>
  </si>
  <si>
    <t>Target - 500</t>
  </si>
  <si>
    <t xml:space="preserve">Set Cells - Formula cell  </t>
  </si>
  <si>
    <t xml:space="preserve">To Value - Desired Value  </t>
  </si>
  <si>
    <t xml:space="preserve">Changing_Cell - required value to achieve target value or desired value </t>
  </si>
  <si>
    <t xml:space="preserve">Loan Amount </t>
  </si>
  <si>
    <t xml:space="preserve">Interest Rate </t>
  </si>
  <si>
    <t>Loan Term</t>
  </si>
  <si>
    <t>Year</t>
  </si>
  <si>
    <t xml:space="preserve">Returns </t>
  </si>
  <si>
    <t xml:space="preserve">pmt() </t>
  </si>
  <si>
    <t xml:space="preserve">referece of formula cell </t>
  </si>
  <si>
    <t xml:space="preserve">Column Input Cell </t>
  </si>
  <si>
    <t>PMT(B4/12, B5*12,B3)</t>
  </si>
  <si>
    <t xml:space="preserve">Data Table - giving loan on different interest rate </t>
  </si>
  <si>
    <t>Row Input cell</t>
  </si>
  <si>
    <t>Column input Cell</t>
  </si>
  <si>
    <t xml:space="preserve">Reference of formula </t>
  </si>
  <si>
    <t xml:space="preserve">interest rate </t>
  </si>
  <si>
    <t xml:space="preserve">loan amounts </t>
  </si>
  <si>
    <t>1 var</t>
  </si>
  <si>
    <t>Second Var</t>
  </si>
  <si>
    <t xml:space="preserve">1 Var </t>
  </si>
  <si>
    <t xml:space="preserve">Data Table - 2 Var - different interest rate on different loan amount </t>
  </si>
  <si>
    <t xml:space="preserve">Sales = Unit price * Total units sold </t>
  </si>
  <si>
    <t>profit= Total_ Sales - Total_Cost</t>
  </si>
  <si>
    <t>$B$5</t>
  </si>
  <si>
    <t xml:space="preserve">BEST </t>
  </si>
  <si>
    <t>ACTUAL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</si>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</sst>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 x14ac:knownFonts="1">
    <font>
      <sz val="11"/>
      <color theme="1"/>
      <name val="Calibri Light"/>
      <family val="2"/>
    </font>
    <font>
      <b/>
      <sz val="12"/>
      <color indexed="9"/>
      <name val="Calibri Light"/>
      <family val="2"/>
    </font>
    <font>
      <b/>
      <sz val="11"/>
      <color indexed="8"/>
      <name val="Calibri Light"/>
      <family val="2"/>
    </font>
    <font>
      <b/>
      <sz val="11"/>
      <color indexed="18"/>
      <name val="Calibri Light"/>
      <family val="2"/>
    </font>
    <font>
      <sz val="10"/>
      <color indexed="9"/>
      <name val="Calibri Light"/>
      <family val="2"/>
    </font>
    <font>
      <sz val="8"/>
      <color theme="1"/>
      <name val="Calibri Light"/>
      <family val="2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  <xf numFmtId="8" fontId="0" fillId="0" borderId="0" xfId="0" applyNumberFormat="1"/>
    <xf numFmtId="0" fontId="0" fillId="5" borderId="0" xfId="0" applyFill="1"/>
    <xf numFmtId="0" fontId="0" fillId="6" borderId="0" xfId="0" applyFill="1"/>
    <xf numFmtId="9" fontId="0" fillId="7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9" fontId="0" fillId="9" borderId="0" xfId="0" applyNumberFormat="1" applyFill="1"/>
    <xf numFmtId="9" fontId="0" fillId="6" borderId="0" xfId="0" applyNumberFormat="1" applyFill="1"/>
    <xf numFmtId="0" fontId="0" fillId="11" borderId="0" xfId="0" applyFill="1"/>
    <xf numFmtId="8" fontId="0" fillId="12" borderId="0" xfId="0" applyNumberFormat="1" applyFill="1"/>
    <xf numFmtId="0" fontId="0" fillId="12" borderId="0" xfId="0" applyFill="1"/>
    <xf numFmtId="0" fontId="0" fillId="13" borderId="0" xfId="0" applyFill="1"/>
    <xf numFmtId="9" fontId="0" fillId="13" borderId="0" xfId="0" applyNumberFormat="1" applyFill="1"/>
    <xf numFmtId="0" fontId="0" fillId="0" borderId="0" xfId="0" applyFill="1"/>
    <xf numFmtId="0" fontId="0" fillId="7" borderId="0" xfId="0" applyFont="1" applyFill="1"/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6161-3D9D-4D33-8E22-FB6B3744297A}">
  <sheetPr>
    <outlinePr summaryBelow="0"/>
  </sheetPr>
  <dimension ref="B1:G13"/>
  <sheetViews>
    <sheetView showGridLines="0" workbookViewId="0">
      <selection activeCell="J14" sqref="J14"/>
    </sheetView>
  </sheetViews>
  <sheetFormatPr defaultRowHeight="14.5" outlineLevelRow="1" outlineLevelCol="1" x14ac:dyDescent="0.35"/>
  <cols>
    <col min="3" max="3" width="5.453125" bestFit="1" customWidth="1"/>
    <col min="4" max="7" width="12.08984375" bestFit="1" customWidth="1" outlineLevel="1"/>
  </cols>
  <sheetData>
    <row r="1" spans="2:7" ht="15" thickBot="1" x14ac:dyDescent="0.4"/>
    <row r="2" spans="2:7" ht="15.5" x14ac:dyDescent="0.35">
      <c r="B2" s="4" t="s">
        <v>7</v>
      </c>
      <c r="C2" s="4"/>
      <c r="D2" s="9"/>
      <c r="E2" s="9"/>
      <c r="F2" s="9"/>
      <c r="G2" s="9"/>
    </row>
    <row r="3" spans="2:7" ht="15.5" collapsed="1" x14ac:dyDescent="0.35">
      <c r="B3" s="3"/>
      <c r="C3" s="3"/>
      <c r="D3" s="10" t="s">
        <v>9</v>
      </c>
      <c r="E3" s="10" t="s">
        <v>54</v>
      </c>
      <c r="F3" s="10" t="s">
        <v>55</v>
      </c>
      <c r="G3" s="10" t="s">
        <v>56</v>
      </c>
    </row>
    <row r="4" spans="2:7" ht="84" hidden="1" outlineLevel="1" x14ac:dyDescent="0.35">
      <c r="B4" s="6"/>
      <c r="C4" s="6"/>
      <c r="D4" s="1"/>
      <c r="E4" s="12" t="s">
        <v>5</v>
      </c>
      <c r="F4" s="12" t="s">
        <v>5</v>
      </c>
      <c r="G4" s="12" t="s">
        <v>6</v>
      </c>
    </row>
    <row r="5" spans="2:7" x14ac:dyDescent="0.35">
      <c r="B5" s="7" t="s">
        <v>8</v>
      </c>
      <c r="C5" s="7"/>
      <c r="D5" s="5"/>
      <c r="E5" s="5"/>
      <c r="F5" s="5"/>
      <c r="G5" s="5"/>
    </row>
    <row r="6" spans="2:7" outlineLevel="1" x14ac:dyDescent="0.35">
      <c r="B6" s="6"/>
      <c r="C6" s="6" t="s">
        <v>53</v>
      </c>
      <c r="D6" s="1">
        <v>1500</v>
      </c>
      <c r="E6" s="11">
        <v>300</v>
      </c>
      <c r="F6" s="11">
        <v>500</v>
      </c>
      <c r="G6" s="11">
        <v>1500</v>
      </c>
    </row>
    <row r="7" spans="2:7" x14ac:dyDescent="0.35">
      <c r="B7" s="7" t="s">
        <v>10</v>
      </c>
      <c r="C7" s="7"/>
      <c r="D7" s="5"/>
      <c r="E7" s="5"/>
      <c r="F7" s="5"/>
      <c r="G7" s="5"/>
    </row>
    <row r="8" spans="2:7" outlineLevel="1" x14ac:dyDescent="0.35">
      <c r="B8" s="6"/>
      <c r="C8" s="6" t="s">
        <v>4</v>
      </c>
      <c r="D8" s="1"/>
      <c r="E8" s="1"/>
      <c r="F8" s="1"/>
      <c r="G8" s="1"/>
    </row>
    <row r="9" spans="2:7" outlineLevel="1" x14ac:dyDescent="0.35">
      <c r="B9" s="6"/>
      <c r="C9" s="6" t="s">
        <v>14</v>
      </c>
      <c r="D9" s="1"/>
      <c r="E9" s="1"/>
      <c r="F9" s="1"/>
      <c r="G9" s="1"/>
    </row>
    <row r="10" spans="2:7" ht="15" outlineLevel="1" thickBot="1" x14ac:dyDescent="0.4">
      <c r="B10" s="8"/>
      <c r="C10" s="8" t="s">
        <v>15</v>
      </c>
      <c r="D10" s="2"/>
      <c r="E10" s="2"/>
      <c r="F10" s="2"/>
      <c r="G10" s="2"/>
    </row>
    <row r="11" spans="2:7" x14ac:dyDescent="0.35">
      <c r="B11" t="s">
        <v>11</v>
      </c>
    </row>
    <row r="12" spans="2:7" x14ac:dyDescent="0.35">
      <c r="B12" t="s">
        <v>12</v>
      </c>
    </row>
    <row r="13" spans="2:7" x14ac:dyDescent="0.35">
      <c r="B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AC4E-C940-4937-9836-D12F1A531DF4}">
  <dimension ref="A1:D7"/>
  <sheetViews>
    <sheetView workbookViewId="0">
      <selection activeCell="C2" sqref="C2"/>
    </sheetView>
  </sheetViews>
  <sheetFormatPr defaultRowHeight="14.5" x14ac:dyDescent="0.35"/>
  <cols>
    <col min="1" max="2" width="18.36328125" customWidth="1"/>
    <col min="3" max="3" width="23.90625" customWidth="1"/>
    <col min="4" max="4" width="56.7265625" customWidth="1"/>
  </cols>
  <sheetData>
    <row r="1" spans="1:4" ht="30.5" customHeight="1" x14ac:dyDescent="0.35">
      <c r="A1" s="30" t="s">
        <v>20</v>
      </c>
      <c r="B1" s="30"/>
    </row>
    <row r="3" spans="1:4" x14ac:dyDescent="0.35">
      <c r="A3" t="s">
        <v>3</v>
      </c>
      <c r="B3">
        <v>100</v>
      </c>
    </row>
    <row r="4" spans="1:4" x14ac:dyDescent="0.35">
      <c r="A4" t="s">
        <v>0</v>
      </c>
      <c r="B4">
        <v>10</v>
      </c>
    </row>
    <row r="5" spans="1:4" x14ac:dyDescent="0.35">
      <c r="A5" s="25" t="s">
        <v>1</v>
      </c>
      <c r="B5" s="25">
        <v>1500</v>
      </c>
      <c r="C5" s="25" t="s">
        <v>24</v>
      </c>
      <c r="D5" s="25" t="s">
        <v>19</v>
      </c>
    </row>
    <row r="6" spans="1:4" x14ac:dyDescent="0.35">
      <c r="A6" s="15" t="s">
        <v>2</v>
      </c>
      <c r="B6" s="15">
        <f>B3*B4-B5</f>
        <v>-500</v>
      </c>
      <c r="C6" s="15" t="s">
        <v>23</v>
      </c>
      <c r="D6" s="15" t="s">
        <v>52</v>
      </c>
    </row>
    <row r="7" spans="1:4" x14ac:dyDescent="0.35">
      <c r="A7" s="22" t="s">
        <v>21</v>
      </c>
      <c r="B7" s="22">
        <f>B3*B4</f>
        <v>1000</v>
      </c>
      <c r="C7" s="22" t="s">
        <v>22</v>
      </c>
      <c r="D7" s="22" t="s">
        <v>51</v>
      </c>
    </row>
  </sheetData>
  <scenarios current="2" show="2" sqref="G1:G3">
    <scenario name="BEST " locked="1" count="1" user="SHUBHAM LOKHANDE" comment="Created by SHUBHAM LOKHANDE on 18-10-2026_x000a_Modified by SHUBHAM LOKHANDE on 18-10-2026">
      <inputCells r="B5" val="300"/>
    </scenario>
    <scenario name="ACTUAL" locked="1" count="1" user="SHUBHAM LOKHANDE" comment="Created by SHUBHAM LOKHANDE on 18-10-2026_x000a_Modified by SHUBHAM LOKHANDE on 18-10-2026">
      <inputCells r="B5" val="500"/>
    </scenario>
    <scenario name="WORST" locked="1" count="1" user="SHUBHAM LOKHANDE" comment="Created by SHUBHAM LOKHANDE on 18-10-2026">
      <inputCells r="B5" val="1500"/>
    </scenario>
  </scenario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2D3D-4525-4008-BE0C-C2A47FFEDD75}">
  <dimension ref="A1:J13"/>
  <sheetViews>
    <sheetView workbookViewId="0"/>
  </sheetViews>
  <sheetFormatPr defaultRowHeight="14.5" x14ac:dyDescent="0.35"/>
  <cols>
    <col min="1" max="1" width="43.1796875" customWidth="1"/>
    <col min="2" max="2" width="11.6328125" customWidth="1"/>
    <col min="3" max="3" width="41" customWidth="1"/>
    <col min="4" max="4" width="23.6328125" customWidth="1"/>
  </cols>
  <sheetData>
    <row r="1" spans="1:10" ht="30" customHeight="1" x14ac:dyDescent="0.35">
      <c r="A1" s="30" t="s">
        <v>25</v>
      </c>
    </row>
    <row r="3" spans="1:10" x14ac:dyDescent="0.35">
      <c r="A3" t="s">
        <v>26</v>
      </c>
      <c r="B3" s="15" t="s">
        <v>28</v>
      </c>
      <c r="D3" s="15" t="s">
        <v>30</v>
      </c>
    </row>
    <row r="5" spans="1:10" x14ac:dyDescent="0.35">
      <c r="A5" t="s">
        <v>17</v>
      </c>
      <c r="B5">
        <v>5</v>
      </c>
    </row>
    <row r="6" spans="1:10" x14ac:dyDescent="0.35">
      <c r="A6" s="25" t="s">
        <v>16</v>
      </c>
      <c r="B6" s="25">
        <v>40</v>
      </c>
      <c r="C6" s="25"/>
      <c r="D6" s="25" t="s">
        <v>31</v>
      </c>
      <c r="E6" s="25"/>
      <c r="F6" s="25"/>
      <c r="G6" s="25"/>
      <c r="H6" s="25"/>
      <c r="I6" s="25"/>
      <c r="J6" s="25"/>
    </row>
    <row r="7" spans="1:10" x14ac:dyDescent="0.35">
      <c r="A7" s="28" t="s">
        <v>18</v>
      </c>
      <c r="B7" s="28">
        <f>B5*B6</f>
        <v>200</v>
      </c>
      <c r="C7" s="17" t="s">
        <v>27</v>
      </c>
      <c r="D7" s="17" t="s">
        <v>29</v>
      </c>
    </row>
    <row r="13" spans="1:10" x14ac:dyDescent="0.35">
      <c r="C13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D712-49B4-4044-83CC-1C57D101A8D2}">
  <dimension ref="A1:D13"/>
  <sheetViews>
    <sheetView workbookViewId="0">
      <selection activeCell="E17" sqref="E17"/>
    </sheetView>
  </sheetViews>
  <sheetFormatPr defaultRowHeight="14.5" x14ac:dyDescent="0.35"/>
  <cols>
    <col min="1" max="1" width="39.6328125" customWidth="1"/>
    <col min="2" max="2" width="9.7265625" bestFit="1" customWidth="1"/>
    <col min="3" max="3" width="20.36328125" bestFit="1" customWidth="1"/>
    <col min="4" max="4" width="30.6328125" customWidth="1"/>
  </cols>
  <sheetData>
    <row r="1" spans="1:4" ht="32.5" customHeight="1" x14ac:dyDescent="0.35">
      <c r="A1" s="30" t="s">
        <v>41</v>
      </c>
    </row>
    <row r="3" spans="1:4" x14ac:dyDescent="0.35">
      <c r="A3" t="s">
        <v>32</v>
      </c>
      <c r="B3">
        <v>10000</v>
      </c>
    </row>
    <row r="4" spans="1:4" x14ac:dyDescent="0.35">
      <c r="A4" s="25" t="s">
        <v>33</v>
      </c>
      <c r="B4" s="26">
        <v>0.05</v>
      </c>
      <c r="C4" s="25" t="s">
        <v>39</v>
      </c>
      <c r="D4" s="25" t="s">
        <v>49</v>
      </c>
    </row>
    <row r="5" spans="1:4" x14ac:dyDescent="0.35">
      <c r="A5" t="s">
        <v>34</v>
      </c>
      <c r="B5">
        <v>10</v>
      </c>
      <c r="C5" t="s">
        <v>35</v>
      </c>
    </row>
    <row r="6" spans="1:4" x14ac:dyDescent="0.35">
      <c r="A6" t="s">
        <v>36</v>
      </c>
      <c r="B6" s="13">
        <f>PMT(B4/12,B5*12,B3)</f>
        <v>-106.06551523907524</v>
      </c>
      <c r="C6" t="s">
        <v>37</v>
      </c>
      <c r="D6" t="s">
        <v>40</v>
      </c>
    </row>
    <row r="7" spans="1:4" x14ac:dyDescent="0.35">
      <c r="A7" s="21">
        <v>0.06</v>
      </c>
      <c r="B7" s="23">
        <f>B6</f>
        <v>-106.06551523907524</v>
      </c>
      <c r="C7" s="24" t="s">
        <v>38</v>
      </c>
    </row>
    <row r="8" spans="1:4" x14ac:dyDescent="0.35">
      <c r="A8" s="21">
        <v>7.0000000000000007E-2</v>
      </c>
      <c r="B8" s="22">
        <f t="dataTable" ref="B8:B13" dt2D="0" dtr="0" r1="B4"/>
        <v>-116.10847921862405</v>
      </c>
    </row>
    <row r="9" spans="1:4" x14ac:dyDescent="0.35">
      <c r="A9" s="21">
        <v>0.08</v>
      </c>
      <c r="B9" s="22">
        <v>-121.32759435535694</v>
      </c>
    </row>
    <row r="10" spans="1:4" x14ac:dyDescent="0.35">
      <c r="A10" s="21">
        <v>0.09</v>
      </c>
      <c r="B10" s="22">
        <v>-126.67577375024946</v>
      </c>
    </row>
    <row r="11" spans="1:4" x14ac:dyDescent="0.35">
      <c r="A11" s="21">
        <v>0.1</v>
      </c>
      <c r="B11" s="22">
        <v>-132.15073688176165</v>
      </c>
    </row>
    <row r="12" spans="1:4" x14ac:dyDescent="0.35">
      <c r="A12" s="21">
        <v>0.11</v>
      </c>
      <c r="B12" s="22">
        <v>-137.75001129192248</v>
      </c>
      <c r="C12" s="27"/>
    </row>
    <row r="13" spans="1:4" x14ac:dyDescent="0.35">
      <c r="A13" s="21">
        <v>0.12</v>
      </c>
      <c r="B13" s="22">
        <v>-143.47094840258737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6FC1-1136-467F-8D5E-4793678966AC}">
  <dimension ref="A1:H22"/>
  <sheetViews>
    <sheetView tabSelected="1" topLeftCell="A4" workbookViewId="0">
      <selection activeCell="H14" sqref="H14"/>
    </sheetView>
  </sheetViews>
  <sheetFormatPr defaultRowHeight="14.5" x14ac:dyDescent="0.35"/>
  <cols>
    <col min="1" max="1" width="62.90625" customWidth="1"/>
    <col min="2" max="2" width="16.54296875" customWidth="1"/>
    <col min="8" max="8" width="17.81640625" customWidth="1"/>
  </cols>
  <sheetData>
    <row r="1" spans="1:8" ht="27.5" customHeight="1" x14ac:dyDescent="0.35">
      <c r="A1" s="30" t="s">
        <v>50</v>
      </c>
    </row>
    <row r="3" spans="1:8" x14ac:dyDescent="0.35">
      <c r="A3" s="18" t="s">
        <v>32</v>
      </c>
      <c r="B3" s="18">
        <v>10000</v>
      </c>
      <c r="C3" s="18" t="s">
        <v>43</v>
      </c>
      <c r="D3" s="18"/>
      <c r="E3" s="18" t="s">
        <v>47</v>
      </c>
    </row>
    <row r="4" spans="1:8" x14ac:dyDescent="0.35">
      <c r="A4" s="19" t="s">
        <v>33</v>
      </c>
      <c r="B4" s="20">
        <v>0.05</v>
      </c>
      <c r="C4" s="19" t="s">
        <v>42</v>
      </c>
      <c r="D4" s="19"/>
      <c r="E4" s="19" t="s">
        <v>48</v>
      </c>
    </row>
    <row r="5" spans="1:8" x14ac:dyDescent="0.35">
      <c r="A5" s="14" t="s">
        <v>34</v>
      </c>
      <c r="B5" s="14">
        <v>10</v>
      </c>
      <c r="C5" s="14" t="s">
        <v>35</v>
      </c>
      <c r="D5" s="14"/>
      <c r="E5" s="14"/>
    </row>
    <row r="6" spans="1:8" x14ac:dyDescent="0.35">
      <c r="A6" t="s">
        <v>36</v>
      </c>
      <c r="B6" s="13">
        <f>PMT(B4/12,B5*12,B3)</f>
        <v>-106.06551523907524</v>
      </c>
    </row>
    <row r="7" spans="1:8" x14ac:dyDescent="0.35">
      <c r="A7" t="s">
        <v>44</v>
      </c>
      <c r="B7" s="13">
        <f>B6</f>
        <v>-106.06551523907524</v>
      </c>
      <c r="C7" s="16">
        <v>0.06</v>
      </c>
      <c r="D7" s="16">
        <v>7.0000000000000007E-2</v>
      </c>
      <c r="E7" s="16">
        <v>0.08</v>
      </c>
      <c r="F7" s="16">
        <v>0.09</v>
      </c>
      <c r="G7" s="16">
        <v>0.1</v>
      </c>
      <c r="H7" s="17" t="s">
        <v>45</v>
      </c>
    </row>
    <row r="8" spans="1:8" x14ac:dyDescent="0.35">
      <c r="B8" s="15">
        <v>20000</v>
      </c>
      <c r="C8" s="22">
        <f t="dataTable" ref="C8:G21" dt2D="1" dtr="1" r1="B4" r2="B3"/>
        <v>-222.04100388329888</v>
      </c>
      <c r="D8" s="22">
        <v>-232.21695843724811</v>
      </c>
      <c r="E8" s="22">
        <v>-242.65518871071387</v>
      </c>
      <c r="F8" s="22">
        <v>-253.35154750049892</v>
      </c>
      <c r="G8" s="22">
        <v>-264.30147376352329</v>
      </c>
    </row>
    <row r="9" spans="1:8" x14ac:dyDescent="0.35">
      <c r="B9" s="15">
        <v>30000</v>
      </c>
      <c r="C9" s="22">
        <v>-333.06150582494831</v>
      </c>
      <c r="D9" s="22">
        <v>-348.32543765587218</v>
      </c>
      <c r="E9" s="22">
        <v>-363.98278306607079</v>
      </c>
      <c r="F9" s="22">
        <v>-380.02732125074846</v>
      </c>
      <c r="G9" s="22">
        <v>-396.45221064528499</v>
      </c>
    </row>
    <row r="10" spans="1:8" x14ac:dyDescent="0.35">
      <c r="B10" s="15">
        <v>40000</v>
      </c>
      <c r="C10" s="22">
        <v>-444.08200776659777</v>
      </c>
      <c r="D10" s="22">
        <v>-464.43391687449622</v>
      </c>
      <c r="E10" s="22">
        <v>-485.31037742142775</v>
      </c>
      <c r="F10" s="22">
        <v>-506.70309500099785</v>
      </c>
      <c r="G10" s="22">
        <v>-528.60294752704658</v>
      </c>
    </row>
    <row r="11" spans="1:8" x14ac:dyDescent="0.35">
      <c r="B11" s="15">
        <v>50000</v>
      </c>
      <c r="C11" s="22">
        <v>-555.10250970824723</v>
      </c>
      <c r="D11" s="22">
        <v>-580.54239609312037</v>
      </c>
      <c r="E11" s="22">
        <v>-606.63797177678464</v>
      </c>
      <c r="F11" s="22">
        <v>-633.37886875124741</v>
      </c>
      <c r="G11" s="22">
        <v>-660.75368440880823</v>
      </c>
    </row>
    <row r="12" spans="1:8" x14ac:dyDescent="0.35">
      <c r="B12" s="15">
        <v>60000</v>
      </c>
      <c r="C12" s="22">
        <v>-666.12301164989663</v>
      </c>
      <c r="D12" s="22">
        <v>-696.65087531174436</v>
      </c>
      <c r="E12" s="22">
        <v>-727.96556613214159</v>
      </c>
      <c r="F12" s="22">
        <v>-760.05464250149691</v>
      </c>
      <c r="G12" s="22">
        <v>-792.90442129056999</v>
      </c>
    </row>
    <row r="13" spans="1:8" x14ac:dyDescent="0.35">
      <c r="B13" s="15">
        <v>70000</v>
      </c>
      <c r="C13" s="22">
        <v>-777.14351359154614</v>
      </c>
      <c r="D13" s="22">
        <v>-812.75935453036846</v>
      </c>
      <c r="E13" s="22">
        <v>-849.29316048749843</v>
      </c>
      <c r="F13" s="22">
        <v>-886.73041625174631</v>
      </c>
      <c r="G13" s="22">
        <v>-925.05515817233163</v>
      </c>
    </row>
    <row r="14" spans="1:8" x14ac:dyDescent="0.35">
      <c r="B14" s="15">
        <v>80000</v>
      </c>
      <c r="C14" s="22">
        <v>-888.16401553319554</v>
      </c>
      <c r="D14" s="22">
        <v>-928.86783374899244</v>
      </c>
      <c r="E14" s="22">
        <v>-970.62075484285549</v>
      </c>
      <c r="F14" s="22">
        <v>-1013.4061900019957</v>
      </c>
      <c r="G14" s="22">
        <v>-1057.2058950540932</v>
      </c>
    </row>
    <row r="15" spans="1:8" x14ac:dyDescent="0.35">
      <c r="B15" s="15">
        <v>90000</v>
      </c>
      <c r="C15" s="22">
        <v>-999.18451747484494</v>
      </c>
      <c r="D15" s="22">
        <v>-1044.9763129676166</v>
      </c>
      <c r="E15" s="22">
        <v>-1091.9483491982123</v>
      </c>
      <c r="F15" s="22">
        <v>-1140.0819637522452</v>
      </c>
      <c r="G15" s="22">
        <v>-1189.3566319358549</v>
      </c>
    </row>
    <row r="16" spans="1:8" x14ac:dyDescent="0.35">
      <c r="B16" s="15">
        <v>100000</v>
      </c>
      <c r="C16" s="22">
        <v>-1110.2050194164945</v>
      </c>
      <c r="D16" s="22">
        <v>-1161.0847921862407</v>
      </c>
      <c r="E16" s="22">
        <v>-1213.2759435535693</v>
      </c>
      <c r="F16" s="22">
        <v>-1266.7577375024948</v>
      </c>
      <c r="G16" s="22">
        <v>-1321.5073688176165</v>
      </c>
    </row>
    <row r="17" spans="2:7" x14ac:dyDescent="0.35">
      <c r="B17" s="15">
        <v>110000</v>
      </c>
      <c r="C17" s="22">
        <v>-1221.2255213581439</v>
      </c>
      <c r="D17" s="22">
        <v>-1277.1932714048646</v>
      </c>
      <c r="E17" s="22">
        <v>-1334.6035379089262</v>
      </c>
      <c r="F17" s="22">
        <v>-1393.4335112527442</v>
      </c>
      <c r="G17" s="22">
        <v>-1453.6581056993782</v>
      </c>
    </row>
    <row r="18" spans="2:7" x14ac:dyDescent="0.35">
      <c r="B18" s="15">
        <v>120000</v>
      </c>
      <c r="C18" s="22">
        <v>-1332.2460232997933</v>
      </c>
      <c r="D18" s="22">
        <v>-1393.3017506234887</v>
      </c>
      <c r="E18" s="22">
        <v>-1455.9311322642832</v>
      </c>
      <c r="F18" s="22">
        <v>-1520.1092850029938</v>
      </c>
      <c r="G18" s="22">
        <v>-1585.80884258114</v>
      </c>
    </row>
    <row r="19" spans="2:7" x14ac:dyDescent="0.35">
      <c r="B19" s="15">
        <v>130000</v>
      </c>
      <c r="C19" s="22">
        <v>-1443.2665252414427</v>
      </c>
      <c r="D19" s="22">
        <v>-1509.4102298421128</v>
      </c>
      <c r="E19" s="22">
        <v>-1577.2587266196401</v>
      </c>
      <c r="F19" s="22">
        <v>-1646.7850587532432</v>
      </c>
      <c r="G19" s="22">
        <v>-1717.9595794629015</v>
      </c>
    </row>
    <row r="20" spans="2:7" x14ac:dyDescent="0.35">
      <c r="B20" s="15">
        <v>140000</v>
      </c>
      <c r="C20" s="22">
        <v>-1554.2870271830923</v>
      </c>
      <c r="D20" s="22">
        <v>-1625.5187090607369</v>
      </c>
      <c r="E20" s="22">
        <v>-1698.5863209749969</v>
      </c>
      <c r="F20" s="22">
        <v>-1773.4608325034926</v>
      </c>
      <c r="G20" s="22">
        <v>-1850.1103163446633</v>
      </c>
    </row>
    <row r="21" spans="2:7" x14ac:dyDescent="0.35">
      <c r="B21" s="15">
        <v>150000</v>
      </c>
      <c r="C21" s="22">
        <v>-1665.3075291247417</v>
      </c>
      <c r="D21" s="22">
        <v>-1741.6271882793608</v>
      </c>
      <c r="E21" s="22">
        <v>-1819.9139153303538</v>
      </c>
      <c r="F21" s="22">
        <v>-1900.1366062537422</v>
      </c>
      <c r="G21" s="22">
        <v>-1982.261053226425</v>
      </c>
    </row>
    <row r="22" spans="2:7" x14ac:dyDescent="0.35">
      <c r="B22" s="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 Summary</vt:lpstr>
      <vt:lpstr>Scenarios Manager </vt:lpstr>
      <vt:lpstr>Goal Seek </vt:lpstr>
      <vt:lpstr>1 Var Data Table </vt:lpstr>
      <vt:lpstr>2 Var Data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LOKHANDE</dc:creator>
  <cp:lastModifiedBy>SHUBHAM LOKHANDE</cp:lastModifiedBy>
  <dcterms:created xsi:type="dcterms:W3CDTF">2026-10-18T06:42:53Z</dcterms:created>
  <dcterms:modified xsi:type="dcterms:W3CDTF">2026-10-18T10:32:37Z</dcterms:modified>
</cp:coreProperties>
</file>