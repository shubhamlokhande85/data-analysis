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activeTab="1"/>
  </bookViews>
  <sheets>
    <sheet name="Sheet1" sheetId="1" r:id="rId1"/>
    <sheet name="Sheet2" sheetId="2" r:id="rId2"/>
  </sheets>
  <calcPr calcId="144525"/>
  <extLst>
    <ext uri="GoogleSheetsCustomDataVersion2">
      <go:sheetsCustomData xmlns:go="http://customooxmlschemas.google.com/" r:id="" roundtripDataChecksum="GinoX5l+sOlak0Np3UG4xokJiAgIeEJseq9Y1jHTrJw="/>
    </ext>
  </extLst>
</workbook>
</file>

<file path=xl/calcChain.xml><?xml version="1.0" encoding="utf-8"?>
<calcChain xmlns="http://schemas.openxmlformats.org/spreadsheetml/2006/main">
  <c r="E35" i="1" l="1"/>
  <c r="B31" i="1"/>
  <c r="B37" i="1" s="1"/>
  <c r="F68" i="2"/>
  <c r="B25" i="1"/>
  <c r="B27" i="1" s="1"/>
  <c r="B39" i="1" s="1"/>
  <c r="B23" i="1"/>
  <c r="B35" i="1" s="1"/>
  <c r="B21" i="1"/>
  <c r="B19" i="1"/>
  <c r="B17" i="1"/>
  <c r="F56" i="2"/>
  <c r="G56" i="2"/>
  <c r="H56" i="2"/>
  <c r="B41" i="1" l="1"/>
  <c r="G107" i="2"/>
  <c r="F87" i="2"/>
  <c r="F88" i="2" s="1"/>
  <c r="C76" i="2"/>
  <c r="C75" i="2"/>
  <c r="G74" i="2"/>
  <c r="F74" i="2"/>
  <c r="G72" i="2"/>
  <c r="F72" i="2"/>
  <c r="K71" i="2"/>
  <c r="F71" i="2"/>
  <c r="J69" i="2"/>
  <c r="D69" i="2" a="1"/>
  <c r="D69" i="2"/>
  <c r="D68" i="2"/>
  <c r="J67" i="2"/>
  <c r="D67" i="2"/>
  <c r="J66" i="2"/>
  <c r="F65" i="2"/>
  <c r="J64" i="2"/>
  <c r="F64" i="2"/>
  <c r="F62" i="2"/>
  <c r="F61" i="2"/>
  <c r="G61" i="2" s="1"/>
  <c r="G62" i="2" s="1"/>
  <c r="K60" i="2"/>
  <c r="F60" i="2"/>
  <c r="F59" i="2"/>
  <c r="F58" i="2"/>
  <c r="G57" i="2"/>
  <c r="F57" i="2"/>
  <c r="J52" i="2"/>
  <c r="J51" i="2"/>
  <c r="G43" i="2"/>
  <c r="G42" i="2"/>
  <c r="G41" i="2"/>
  <c r="G40" i="2"/>
  <c r="Q32" i="2"/>
  <c r="M32" i="2"/>
  <c r="Q31" i="2"/>
  <c r="Q30" i="2"/>
  <c r="F27" i="2"/>
  <c r="E27" i="2"/>
  <c r="Q19" i="2"/>
  <c r="K19" i="2"/>
  <c r="F19" i="2"/>
  <c r="D19" i="2"/>
  <c r="Q18" i="2"/>
  <c r="M18" i="2"/>
  <c r="K18" i="2"/>
  <c r="F18" i="2"/>
  <c r="D18" i="2"/>
  <c r="F10" i="2"/>
  <c r="E10" i="2"/>
  <c r="F8" i="2"/>
  <c r="I7" i="2"/>
  <c r="H7" i="2"/>
  <c r="F7" i="2"/>
  <c r="F6" i="2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F63" i="2"/>
  <c r="J93" i="2" a="1"/>
  <c r="J96" i="2" l="1"/>
  <c r="J93" i="2"/>
  <c r="J95" i="2"/>
  <c r="J94" i="2"/>
</calcChain>
</file>

<file path=xl/sharedStrings.xml><?xml version="1.0" encoding="utf-8"?>
<sst xmlns="http://schemas.openxmlformats.org/spreadsheetml/2006/main" count="381" uniqueCount="309">
  <si>
    <t>Formula</t>
  </si>
  <si>
    <t>Example</t>
  </si>
  <si>
    <t>Purpose</t>
  </si>
  <si>
    <t>| Formula      | Example               | Purpose               |</t>
  </si>
  <si>
    <t>SUM</t>
  </si>
  <si>
    <t>Adds numbers</t>
  </si>
  <si>
    <t>| ------------ | --------------------- | --------------------- |</t>
  </si>
  <si>
    <t>AVERAGE</t>
  </si>
  <si>
    <t>Average value</t>
  </si>
  <si>
    <t>| `SUM`        | `=SUM(A1:A10)`        | Adds numbers          |</t>
  </si>
  <si>
    <t>COUNT</t>
  </si>
  <si>
    <t>Count numbers</t>
  </si>
  <si>
    <t>| `AVERAGE`    | `=AVERAGE(A1:A10)`    | Average value         |</t>
  </si>
  <si>
    <t>COUNTA</t>
  </si>
  <si>
    <t>Count non-empty cells</t>
  </si>
  <si>
    <t>| `COUNT`      | `=COUNT(A1:A10)`      | Count numbers         |</t>
  </si>
  <si>
    <t>COUNTBLANK</t>
  </si>
  <si>
    <t>Count blank cells</t>
  </si>
  <si>
    <t>| `COUNTA`     | `=COUNTA(A1:A10)`     | Count non-empty cells |</t>
  </si>
  <si>
    <t>MAX</t>
  </si>
  <si>
    <t>Largest number</t>
  </si>
  <si>
    <t>| `COUNTBLANK` | `=COUNTBLANK(A1:A10)` | Count blank cells     |</t>
  </si>
  <si>
    <t>MIN</t>
  </si>
  <si>
    <t>Smallest number</t>
  </si>
  <si>
    <t>| `MAX`        | `=MAX(A1:A10)`        | Largest number        |</t>
  </si>
  <si>
    <t>ROUND</t>
  </si>
  <si>
    <t>Round number</t>
  </si>
  <si>
    <t>| `MIN`        | `=MIN(A1:A10)`        | Smallest number       |</t>
  </si>
  <si>
    <t>ROUNDUP</t>
  </si>
  <si>
    <t>Round up</t>
  </si>
  <si>
    <t>| `ROUND`      | `=ROUND(A1,2)`        | Round number          |</t>
  </si>
  <si>
    <t>ROUNDDOWN</t>
  </si>
  <si>
    <t>Round down</t>
  </si>
  <si>
    <t>| `ROUNDUP`    | `=ROUNDUP(A1,2)`      | Round up              |</t>
  </si>
  <si>
    <t>ABS</t>
  </si>
  <si>
    <t>Absolute value</t>
  </si>
  <si>
    <t>| `ROUNDDOWN`  | `=ROUNDDOWN(A1,2)`    | Round down            |</t>
  </si>
  <si>
    <t>MOD</t>
  </si>
  <si>
    <t>Remainder</t>
  </si>
  <si>
    <t>| `ABS`        | `=ABS(A1)`            | Absolute value        |</t>
  </si>
  <si>
    <t>POWER</t>
  </si>
  <si>
    <t>Power</t>
  </si>
  <si>
    <t>| `MOD`        | `=MOD(A1,B1)`         | Remainder             |</t>
  </si>
  <si>
    <t>SQRT</t>
  </si>
  <si>
    <t>Square root</t>
  </si>
  <si>
    <t>| `POWER`      | `=POWER(A1,2)`        | Power                 |</t>
  </si>
  <si>
    <t>| `SQRT`       | `=SQRT(A1)`           | Square root           |</t>
  </si>
  <si>
    <t>1️⃣ Math &amp; Basic Calculation Formulas</t>
  </si>
  <si>
    <t>round</t>
  </si>
  <si>
    <r>
      <rPr>
        <b/>
        <sz val="11"/>
        <color theme="1"/>
        <rFont val="Calibri"/>
      </rPr>
      <t>number</t>
    </r>
    <r>
      <rPr>
        <sz val="11"/>
        <color theme="1"/>
        <rFont val="Calibri"/>
      </rPr>
      <t xml:space="preserve"> → The value you want to round.</t>
    </r>
  </si>
  <si>
    <t>SUM(A1:A10)</t>
  </si>
  <si>
    <r>
      <rPr>
        <b/>
        <sz val="11"/>
        <color theme="1"/>
        <rFont val="Calibri"/>
      </rPr>
      <t>num_digits</t>
    </r>
    <r>
      <rPr>
        <sz val="11"/>
        <color theme="1"/>
        <rFont val="Calibri"/>
      </rPr>
      <t xml:space="preserve"> → The number of digits you want after the decimal.</t>
    </r>
  </si>
  <si>
    <t>AVERAGE(A1:A10)</t>
  </si>
  <si>
    <t>COUNT(A1:A10)</t>
  </si>
  <si>
    <t>Round to Tens</t>
  </si>
  <si>
    <t>COUNTA(A1:A10)</t>
  </si>
  <si>
    <t>COUNTBLANK(A1:A10)</t>
  </si>
  <si>
    <r>
      <rPr>
        <sz val="10"/>
        <color theme="1"/>
        <rFont val="Arimo"/>
      </rPr>
      <t>-1</t>
    </r>
    <r>
      <rPr>
        <sz val="11"/>
        <color theme="1"/>
        <rFont val="Calibri"/>
      </rPr>
      <t xml:space="preserve"> rounds the number to the nearest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>.</t>
    </r>
  </si>
  <si>
    <t>MAX(A1:A10)</t>
  </si>
  <si>
    <t>MIN(A1:A10)</t>
  </si>
  <si>
    <t>ROUND(A1,2)</t>
  </si>
  <si>
    <t>1. ROUND Function</t>
  </si>
  <si>
    <t>🔼 2. ROUNDUP Function</t>
  </si>
  <si>
    <t>3. ROUNDDOWN Function</t>
  </si>
  <si>
    <t>ROUNDUP(A1,2)</t>
  </si>
  <si>
    <t>ROUNDDOWN(A1,2)</t>
  </si>
  <si>
    <r>
      <rPr>
        <sz val="11"/>
        <color theme="1"/>
        <rFont val="Calibri"/>
      </rPr>
      <t xml:space="preserve">👉 </t>
    </r>
    <r>
      <rPr>
        <b/>
        <sz val="11"/>
        <color theme="1"/>
        <rFont val="Calibri"/>
      </rPr>
      <t>Rounds a number normally (based on value)</t>
    </r>
  </si>
  <si>
    <r>
      <rPr>
        <sz val="11"/>
        <color theme="1"/>
        <rFont val="Calibri"/>
      </rPr>
      <t xml:space="preserve">👉 </t>
    </r>
    <r>
      <rPr>
        <b/>
        <sz val="11"/>
        <color theme="1"/>
        <rFont val="Calibri"/>
      </rPr>
      <t>Always rounds UP (towards bigger number)</t>
    </r>
  </si>
  <si>
    <r>
      <rPr>
        <sz val="11"/>
        <color theme="1"/>
        <rFont val="Calibri"/>
      </rPr>
      <t xml:space="preserve">👉 </t>
    </r>
    <r>
      <rPr>
        <b/>
        <sz val="11"/>
        <color theme="1"/>
        <rFont val="Calibri"/>
      </rPr>
      <t>Always rounds DOWN (towards smaller number)</t>
    </r>
  </si>
  <si>
    <t>ABS(A1)</t>
  </si>
  <si>
    <t>MOD(A1,B1)</t>
  </si>
  <si>
    <t>✅ Example:</t>
  </si>
  <si>
    <t>Example:</t>
  </si>
  <si>
    <t>POWER(A1,2)</t>
  </si>
  <si>
    <t>SQRT(A1)</t>
  </si>
  <si>
    <t>Value</t>
  </si>
  <si>
    <t>Result</t>
  </si>
  <si>
    <t>2️⃣ Logical Formulas</t>
  </si>
  <si>
    <t>👉 Rule:</t>
  </si>
  <si>
    <t>IF</t>
  </si>
  <si>
    <t>IF(A1&gt;50,"Pass","Fail")</t>
  </si>
  <si>
    <t>Condition check</t>
  </si>
  <si>
    <t>IFS</t>
  </si>
  <si>
    <t>IFS(A1&gt;90,"A",A1&gt;75,"B")</t>
  </si>
  <si>
    <t>Multiple conditions</t>
  </si>
  <si>
    <r>
      <rPr>
        <sz val="11"/>
        <color theme="1"/>
        <rFont val="Calibri"/>
      </rPr>
      <t xml:space="preserve">If decimal </t>
    </r>
    <r>
      <rPr>
        <b/>
        <sz val="11"/>
        <color theme="1"/>
        <rFont val="Calibri"/>
      </rPr>
      <t>≥ 5 → round UP</t>
    </r>
  </si>
  <si>
    <t>Always goes UP, no matter what</t>
  </si>
  <si>
    <t>Always goes DOWN, no matter what</t>
  </si>
  <si>
    <t>AND</t>
  </si>
  <si>
    <t>AND(A1&gt;10,B1&lt;20)</t>
  </si>
  <si>
    <t>Multiple conditions true</t>
  </si>
  <si>
    <r>
      <rPr>
        <sz val="11"/>
        <color theme="1"/>
        <rFont val="Calibri"/>
      </rPr>
      <t xml:space="preserve">If decimal </t>
    </r>
    <r>
      <rPr>
        <b/>
        <sz val="11"/>
        <color theme="1"/>
        <rFont val="Calibri"/>
      </rPr>
      <t>&lt; 5 → round DOWN</t>
    </r>
  </si>
  <si>
    <t>OR</t>
  </si>
  <si>
    <t>OR(A1&gt;10,B1&gt;10)</t>
  </si>
  <si>
    <t>Any condition true</t>
  </si>
  <si>
    <t>“ROUND depends on the value, ROUNDUP always increases, and ROUNDDOWN always decreases the number regardless of decimal value.”</t>
  </si>
  <si>
    <t>NOT</t>
  </si>
  <si>
    <t>NOT(A1&gt;10)</t>
  </si>
  <si>
    <t>Reverse logic</t>
  </si>
  <si>
    <t>SWITCH</t>
  </si>
  <si>
    <t>SWITCH(A1,1,"Low",2,"Medium")</t>
  </si>
  <si>
    <t>Replace nested IF</t>
  </si>
  <si>
    <t>Round to 1 decimal</t>
  </si>
  <si>
    <t>Round to nearest 10</t>
  </si>
  <si>
    <t>💰 Salary Calculation</t>
  </si>
  <si>
    <t>3️⃣ Lookup &amp; Reference Formulas</t>
  </si>
  <si>
    <t>=ROUND(5.678,1) → 5.7</t>
  </si>
  <si>
    <t>=ROUND(123, -1) → 120</t>
  </si>
  <si>
    <t>Salary</t>
  </si>
  <si>
    <t>=ROUNDUP(5.678,1) → 5.7</t>
  </si>
  <si>
    <t>=ROUNDUP(123, -1) → 130</t>
  </si>
  <si>
    <t>=ROUNDDOWN(5.678,1) → 5.6</t>
  </si>
  <si>
    <t>=ROUNDDOWN(123, -1) → 120</t>
  </si>
  <si>
    <t>VLOOKUP</t>
  </si>
  <si>
    <t>VLOOKUP(A2,A1:D10,2,FALSE)</t>
  </si>
  <si>
    <t>Vertical lookup</t>
  </si>
  <si>
    <t>HLOOKUP</t>
  </si>
  <si>
    <t>HLOOKUP(A1,A1:D5,2,FALSE)</t>
  </si>
  <si>
    <t>Horizontal lookup</t>
  </si>
  <si>
    <t>ABS (Absolute) function returns the positive value of a number.</t>
  </si>
  <si>
    <t>XLOOKUP</t>
  </si>
  <si>
    <t>XLOOKUP(A2,A:A,B:B)</t>
  </si>
  <si>
    <t>Modern lookup</t>
  </si>
  <si>
    <t>LOOKUP</t>
  </si>
  <si>
    <t>LOOKUP(A2,A1:A10,B1:B10)</t>
  </si>
  <si>
    <t>Approx lookup</t>
  </si>
  <si>
    <r>
      <rPr>
        <sz val="11"/>
        <color theme="1"/>
        <rFont val="Calibri"/>
      </rPr>
      <t xml:space="preserve">👉 It removes the negative sign and gives the </t>
    </r>
    <r>
      <rPr>
        <b/>
        <sz val="11"/>
        <color theme="1"/>
        <rFont val="Calibri"/>
      </rPr>
      <t>absolute (positive) value</t>
    </r>
    <r>
      <rPr>
        <sz val="11"/>
        <color theme="1"/>
        <rFont val="Calibri"/>
      </rPr>
      <t>.</t>
    </r>
  </si>
  <si>
    <t>INDEX</t>
  </si>
  <si>
    <t>INDEX(A1:C10,5,2)</t>
  </si>
  <si>
    <t>Return cell value</t>
  </si>
  <si>
    <r>
      <rPr>
        <sz val="11"/>
        <color theme="1"/>
        <rFont val="Calibri"/>
      </rPr>
      <t xml:space="preserve">Always returns a </t>
    </r>
    <r>
      <rPr>
        <b/>
        <sz val="11"/>
        <color theme="1"/>
        <rFont val="Calibri"/>
      </rPr>
      <t>positive number</t>
    </r>
  </si>
  <si>
    <t>MATCH</t>
  </si>
  <si>
    <t>MATCH(A2,A1:A10,0)</t>
  </si>
  <si>
    <t>Find position</t>
  </si>
  <si>
    <t>Simple Examples</t>
  </si>
  <si>
    <t>Why Use ABS?</t>
  </si>
  <si>
    <t>XMATCH</t>
  </si>
  <si>
    <t>XMATCH(A2,A1:A10)</t>
  </si>
  <si>
    <t>Improved MATCH</t>
  </si>
  <si>
    <t>OFFSET</t>
  </si>
  <si>
    <t>OFFSET(A1,1,2)</t>
  </si>
  <si>
    <t>Dynamic reference</t>
  </si>
  <si>
    <t>👉 Without ABS:</t>
  </si>
  <si>
    <t>INDIRECT</t>
  </si>
  <si>
    <t>INDIRECT("A1")</t>
  </si>
  <si>
    <t>Text to reference</t>
  </si>
  <si>
    <r>
      <rPr>
        <sz val="11"/>
        <color theme="1"/>
        <rFont val="Calibri"/>
      </rPr>
      <t xml:space="preserve">You may get </t>
    </r>
    <r>
      <rPr>
        <b/>
        <sz val="11"/>
        <color theme="1"/>
        <rFont val="Calibri"/>
      </rPr>
      <t>negative values</t>
    </r>
  </si>
  <si>
    <t>4️⃣ Conditional Calculation Formulas</t>
  </si>
  <si>
    <t>👉 With ABS:</t>
  </si>
  <si>
    <r>
      <rPr>
        <sz val="11"/>
        <color theme="1"/>
        <rFont val="Calibri"/>
      </rPr>
      <t xml:space="preserve">You always get </t>
    </r>
    <r>
      <rPr>
        <b/>
        <sz val="11"/>
        <color theme="1"/>
        <rFont val="Calibri"/>
      </rPr>
      <t>positive difference</t>
    </r>
  </si>
  <si>
    <t>SUMIF</t>
  </si>
  <si>
    <t>SUMIF(A1:A10,"Sales",B1:B10)</t>
  </si>
  <si>
    <t>SUMIFS</t>
  </si>
  <si>
    <t>SUMIFS(C:C,A:A,"Laptop",B:B,"West")</t>
  </si>
  <si>
    <t>COUNTIF</t>
  </si>
  <si>
    <t>COUNTIF(A1:A10,"Yes")</t>
  </si>
  <si>
    <t>COUNTIFS</t>
  </si>
  <si>
    <t>COUNTIFS(A:A,"Sales",B:B,"Done")</t>
  </si>
  <si>
    <t>AVERAGEIF</t>
  </si>
  <si>
    <t>AVERAGEIF(A:A,"Sales",B:B)</t>
  </si>
  <si>
    <t>AVERAGEIFS</t>
  </si>
  <si>
    <t>AVERAGEIFS(B:B,A:A,"Sales")</t>
  </si>
  <si>
    <t>5️⃣ Text Formulas</t>
  </si>
  <si>
    <t>name</t>
  </si>
  <si>
    <t>LEFT</t>
  </si>
  <si>
    <t>LEFT(A1,4)</t>
  </si>
  <si>
    <t>ankita</t>
  </si>
  <si>
    <t>RIGHT</t>
  </si>
  <si>
    <t>RIGHT(A1,3)</t>
  </si>
  <si>
    <t>Amruta</t>
  </si>
  <si>
    <t>MID</t>
  </si>
  <si>
    <t>MID(A1,2,5)</t>
  </si>
  <si>
    <t>Ankita</t>
  </si>
  <si>
    <t>LEN</t>
  </si>
  <si>
    <t>LEN(A1)</t>
  </si>
  <si>
    <t>aditi</t>
  </si>
  <si>
    <t>TRIM</t>
  </si>
  <si>
    <t>TRIM(A1)</t>
  </si>
  <si>
    <t xml:space="preserve">     Komal</t>
  </si>
  <si>
    <t>hi</t>
  </si>
  <si>
    <t>UPPER</t>
  </si>
  <si>
    <t>UPPER(A1)</t>
  </si>
  <si>
    <t xml:space="preserve">kshitija     </t>
  </si>
  <si>
    <t>LOWER</t>
  </si>
  <si>
    <t>LOWER(A1)</t>
  </si>
  <si>
    <t>Mrunali</t>
  </si>
  <si>
    <t>replacest</t>
  </si>
  <si>
    <t>PROPER</t>
  </si>
  <si>
    <t>PROPER(A1)</t>
  </si>
  <si>
    <t>Prachi</t>
  </si>
  <si>
    <t>pranav bhosale</t>
  </si>
  <si>
    <t>CONCAT</t>
  </si>
  <si>
    <t>CONCAT(A1,B1)</t>
  </si>
  <si>
    <t>Rutuja</t>
  </si>
  <si>
    <t>CONCATENATE</t>
  </si>
  <si>
    <t>CONCATENATE(A1,B1)</t>
  </si>
  <si>
    <t>sakshi</t>
  </si>
  <si>
    <t>TEXTJOIN</t>
  </si>
  <si>
    <t>TEXTJOIN(",",TRUE,A1:A5)</t>
  </si>
  <si>
    <t>Samiksha</t>
  </si>
  <si>
    <t>FIND</t>
  </si>
  <si>
    <t>FIND("A",A1)</t>
  </si>
  <si>
    <t>Shreya</t>
  </si>
  <si>
    <t>SEARCH</t>
  </si>
  <si>
    <t>SEARCH("A",A1)</t>
  </si>
  <si>
    <t>SUBSTITUTE</t>
  </si>
  <si>
    <t>SUBSTITUTE(A1,"A","B")</t>
  </si>
  <si>
    <t>REPLACE</t>
  </si>
  <si>
    <t>REPLACE(A1,1,3,"XYZ")</t>
  </si>
  <si>
    <t>pooja</t>
  </si>
  <si>
    <t>sh ra dd ha</t>
  </si>
  <si>
    <t>6️⃣ Date &amp; Time Formulas</t>
  </si>
  <si>
    <t>TODAY</t>
  </si>
  <si>
    <t>NOW</t>
  </si>
  <si>
    <t>DATE</t>
  </si>
  <si>
    <t>DATE(2026,3,16)</t>
  </si>
  <si>
    <t>YEAR</t>
  </si>
  <si>
    <t>YEAR(A1)</t>
  </si>
  <si>
    <t>SWITCH(A1, 90, "A", 75, "B", 50, "C", "Fail")</t>
  </si>
  <si>
    <t>MONTH</t>
  </si>
  <si>
    <t>MONTH(A1)</t>
  </si>
  <si>
    <t>DAY</t>
  </si>
  <si>
    <t>DAY(A1)</t>
  </si>
  <si>
    <t>HOUR</t>
  </si>
  <si>
    <t>HOUR(A1)</t>
  </si>
  <si>
    <t>MINUTE</t>
  </si>
  <si>
    <t>MINUTE(A1)</t>
  </si>
  <si>
    <t>SECOND</t>
  </si>
  <si>
    <t>SECOND(A1)</t>
  </si>
  <si>
    <t>DATEDIF</t>
  </si>
  <si>
    <t>DATEDIF(A1,B1,"Y")</t>
  </si>
  <si>
    <t>EOMONTH</t>
  </si>
  <si>
    <t>EOMONTH(A1,1)</t>
  </si>
  <si>
    <t>WORKDAY</t>
  </si>
  <si>
    <t>WORKDAY(A1,5)</t>
  </si>
  <si>
    <t>7️⃣ Error Handling Formulas</t>
  </si>
  <si>
    <t>IFERROR</t>
  </si>
  <si>
    <t>IFERROR(A1/B1,"Error")</t>
  </si>
  <si>
    <t>IFNA</t>
  </si>
  <si>
    <t>IFNA(VLOOKUP(A1,B1:C10,2,0),"Not Found")</t>
  </si>
  <si>
    <t>Type of category</t>
  </si>
  <si>
    <t>Amount</t>
  </si>
  <si>
    <t>Payment Mode</t>
  </si>
  <si>
    <t>ISERROR</t>
  </si>
  <si>
    <t>ISERROR(A1)</t>
  </si>
  <si>
    <t>Expenses</t>
  </si>
  <si>
    <t>UPI</t>
  </si>
  <si>
    <t>ISNA</t>
  </si>
  <si>
    <t>ISNA(A1)</t>
  </si>
  <si>
    <t xml:space="preserve">   </t>
  </si>
  <si>
    <t>Bank Trf</t>
  </si>
  <si>
    <t>ISBLANK</t>
  </si>
  <si>
    <t>ISBLANK(A1)</t>
  </si>
  <si>
    <t>CASH</t>
  </si>
  <si>
    <t>ISNUMBER</t>
  </si>
  <si>
    <t>ISNUMBER(A1)</t>
  </si>
  <si>
    <t>ISTEXT</t>
  </si>
  <si>
    <t>ISTEXT(A1)</t>
  </si>
  <si>
    <t>Income</t>
  </si>
  <si>
    <t>8️⃣ Dynamic Array Formulas (Excel 365)</t>
  </si>
  <si>
    <t>FILTER</t>
  </si>
  <si>
    <t>FILTER(A1:C100,B1:B100="Sales")</t>
  </si>
  <si>
    <t>UNIQUE</t>
  </si>
  <si>
    <t>UNIQUE(A1:A100)</t>
  </si>
  <si>
    <t>SORT</t>
  </si>
  <si>
    <t>SORT(A1:B100)</t>
  </si>
  <si>
    <t>SORTBY</t>
  </si>
  <si>
    <t>SORTBY(A1:B100,B1:B100,-1)</t>
  </si>
  <si>
    <t>SEQUENCE</t>
  </si>
  <si>
    <t>SEQUENCE(10)</t>
  </si>
  <si>
    <t>RANDARRAY</t>
  </si>
  <si>
    <t>RANDARRAY(5,3,1,100)</t>
  </si>
  <si>
    <t>9️⃣ Advanced Data Analysis Formulas</t>
  </si>
  <si>
    <t>SUMPRODUCT</t>
  </si>
  <si>
    <t>SUMPRODUCT(A1:A10,B1:B10)</t>
  </si>
  <si>
    <t>AGGREGATE</t>
  </si>
  <si>
    <t>AGGREGATE(9,3,A1:A10)</t>
  </si>
  <si>
    <t>SUBTOTAL</t>
  </si>
  <si>
    <t>SUBTOTAL(9,A1:A10)</t>
  </si>
  <si>
    <t>LET</t>
  </si>
  <si>
    <t>LET(x,A1*2,x+10)</t>
  </si>
  <si>
    <t>LAMBDA</t>
  </si>
  <si>
    <t>LAMBDA(x,x*2)(A1)</t>
  </si>
  <si>
    <t>Length</t>
  </si>
  <si>
    <t>trim</t>
  </si>
  <si>
    <t>shubhangi</t>
  </si>
  <si>
    <t>Lower</t>
  </si>
  <si>
    <t>I am shubha patil , I have done beit ,I lean data analytics</t>
  </si>
  <si>
    <t>concat</t>
  </si>
  <si>
    <t>shubha</t>
  </si>
  <si>
    <t>patil</t>
  </si>
  <si>
    <t>textjoin</t>
  </si>
  <si>
    <t>find</t>
  </si>
  <si>
    <t>Search</t>
  </si>
  <si>
    <t>find postion of that letter</t>
  </si>
  <si>
    <t>find position</t>
  </si>
  <si>
    <t>replace</t>
  </si>
  <si>
    <t>use for replace  old to new text</t>
  </si>
  <si>
    <t>extra space remove</t>
  </si>
  <si>
    <t>all in small letter</t>
  </si>
  <si>
    <t xml:space="preserve"> want to give start number and how much letter (number) want to change , then new text</t>
  </si>
  <si>
    <t xml:space="preserve">use for replace old text  to new text but </t>
  </si>
  <si>
    <t>want to give letter not number</t>
  </si>
  <si>
    <t>join two text</t>
  </si>
  <si>
    <t>give proper format, give all first letter captital</t>
  </si>
  <si>
    <t>all in capital letter</t>
  </si>
  <si>
    <t xml:space="preserve">give only left side letter </t>
  </si>
  <si>
    <t>give right side letter</t>
  </si>
  <si>
    <t>give lenth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</si>
</sst>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Arimo"/>
    </font>
    <font>
      <sz val="11"/>
      <color theme="1"/>
      <name val="Calibri"/>
    </font>
    <font>
      <b/>
      <sz val="24"/>
      <color theme="1"/>
      <name val="Calibri"/>
    </font>
    <font>
      <b/>
      <sz val="13"/>
      <color theme="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Black"/>
      <family val="2"/>
    </font>
    <font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vertical="center" wrapText="1"/>
    </xf>
    <xf numFmtId="22" fontId="4" fillId="0" borderId="0" xfId="0" applyNumberFormat="1" applyFont="1" applyAlignment="1">
      <alignment vertical="center" wrapText="1"/>
    </xf>
    <xf numFmtId="164" fontId="5" fillId="0" borderId="0" xfId="0" applyNumberFormat="1" applyFont="1"/>
    <xf numFmtId="0" fontId="10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vertical="center" wrapText="1"/>
    </xf>
    <xf numFmtId="0" fontId="0" fillId="4" borderId="0" xfId="0" applyFont="1" applyFill="1" applyAlignment="1"/>
    <xf numFmtId="0" fontId="9" fillId="4" borderId="0" xfId="0" applyFont="1" applyFill="1" applyAlignment="1">
      <alignment vertical="center" wrapText="1"/>
    </xf>
    <xf numFmtId="0" fontId="10" fillId="4" borderId="0" xfId="0" applyFont="1" applyFill="1" applyAlignment="1"/>
    <xf numFmtId="0" fontId="12" fillId="0" borderId="0" xfId="0" applyFont="1" applyAlignment="1"/>
    <xf numFmtId="0" fontId="8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zoomScale="85" zoomScaleNormal="85" workbookViewId="0">
      <selection activeCell="A43" sqref="A43"/>
    </sheetView>
  </sheetViews>
  <sheetFormatPr defaultColWidth="14.42578125" defaultRowHeight="15" customHeight="1"/>
  <cols>
    <col min="1" max="1" width="16.5703125" style="21" customWidth="1"/>
    <col min="2" max="2" width="16.7109375" customWidth="1"/>
    <col min="3" max="3" width="27.85546875" customWidth="1"/>
    <col min="4" max="5" width="8.7109375" customWidth="1"/>
    <col min="6" max="6" width="61.140625" customWidth="1"/>
    <col min="7" max="25" width="8.7109375" customWidth="1"/>
  </cols>
  <sheetData>
    <row r="1" spans="1:6">
      <c r="A1" s="19" t="s">
        <v>0</v>
      </c>
      <c r="B1" s="1" t="s">
        <v>1</v>
      </c>
      <c r="F1" s="2" t="s">
        <v>3</v>
      </c>
    </row>
    <row r="2" spans="1:6">
      <c r="A2" s="20" t="s">
        <v>4</v>
      </c>
      <c r="B2" s="3">
        <f>SUM(A1:A10)</f>
        <v>0</v>
      </c>
      <c r="F2" s="2" t="s">
        <v>6</v>
      </c>
    </row>
    <row r="3" spans="1:6">
      <c r="A3" s="20" t="s">
        <v>7</v>
      </c>
      <c r="B3" s="3" t="e">
        <f>AVERAGE(A1:A10)</f>
        <v>#DIV/0!</v>
      </c>
      <c r="F3" s="2" t="s">
        <v>9</v>
      </c>
    </row>
    <row r="4" spans="1:6">
      <c r="A4" s="20" t="s">
        <v>10</v>
      </c>
      <c r="B4" s="3">
        <f>COUNT(A1:A10)</f>
        <v>0</v>
      </c>
      <c r="F4" s="2" t="s">
        <v>12</v>
      </c>
    </row>
    <row r="5" spans="1:6">
      <c r="A5" s="20" t="s">
        <v>13</v>
      </c>
      <c r="B5" s="3">
        <f>COUNTA(A1:A10)</f>
        <v>10</v>
      </c>
      <c r="F5" s="2" t="s">
        <v>15</v>
      </c>
    </row>
    <row r="6" spans="1:6">
      <c r="A6" s="20" t="s">
        <v>16</v>
      </c>
      <c r="B6" s="3">
        <f>COUNTBLANK(A1:A10)</f>
        <v>0</v>
      </c>
      <c r="F6" s="2" t="s">
        <v>18</v>
      </c>
    </row>
    <row r="7" spans="1:6">
      <c r="A7" s="20" t="s">
        <v>19</v>
      </c>
      <c r="B7" s="3">
        <f>MAX(A1:A10)</f>
        <v>0</v>
      </c>
      <c r="F7" s="2" t="s">
        <v>21</v>
      </c>
    </row>
    <row r="8" spans="1:6">
      <c r="A8" s="20" t="s">
        <v>22</v>
      </c>
      <c r="B8" s="3">
        <f>MIN(A1:A10)</f>
        <v>0</v>
      </c>
      <c r="F8" s="2" t="s">
        <v>24</v>
      </c>
    </row>
    <row r="9" spans="1:6">
      <c r="A9" s="20" t="s">
        <v>25</v>
      </c>
      <c r="B9" s="3" t="e">
        <f>ROUND(A1,2)</f>
        <v>#VALUE!</v>
      </c>
      <c r="F9" s="2" t="s">
        <v>27</v>
      </c>
    </row>
    <row r="10" spans="1:6">
      <c r="A10" s="20" t="s">
        <v>28</v>
      </c>
      <c r="B10" s="3" t="e">
        <f>ROUNDUP(A1,2)</f>
        <v>#VALUE!</v>
      </c>
      <c r="F10" s="2" t="s">
        <v>30</v>
      </c>
    </row>
    <row r="11" spans="1:6">
      <c r="A11" s="20" t="s">
        <v>31</v>
      </c>
      <c r="B11" s="3" t="e">
        <f>ROUNDDOWN(A1,2)</f>
        <v>#VALUE!</v>
      </c>
      <c r="F11" s="2" t="s">
        <v>33</v>
      </c>
    </row>
    <row r="12" spans="1:6">
      <c r="A12" s="20" t="s">
        <v>34</v>
      </c>
      <c r="B12" s="3" t="e">
        <f>ABS(A1)</f>
        <v>#VALUE!</v>
      </c>
      <c r="F12" s="2" t="s">
        <v>36</v>
      </c>
    </row>
    <row r="13" spans="1:6">
      <c r="A13" s="20" t="s">
        <v>37</v>
      </c>
      <c r="B13" s="3" t="e">
        <f>MOD(A1,B1)</f>
        <v>#VALUE!</v>
      </c>
      <c r="F13" s="2" t="s">
        <v>39</v>
      </c>
    </row>
    <row r="14" spans="1:6">
      <c r="A14" s="20" t="s">
        <v>40</v>
      </c>
      <c r="B14" s="3" t="e">
        <f>POWER(A1,2)</f>
        <v>#VALUE!</v>
      </c>
      <c r="F14" s="2" t="s">
        <v>42</v>
      </c>
    </row>
    <row r="15" spans="1:6">
      <c r="A15" s="20" t="s">
        <v>43</v>
      </c>
      <c r="B15" s="3" t="e">
        <f>SQRT(A1)</f>
        <v>#VALUE!</v>
      </c>
      <c r="F15" s="2" t="s">
        <v>45</v>
      </c>
    </row>
    <row r="16" spans="1:6">
      <c r="F16" s="2" t="s">
        <v>46</v>
      </c>
    </row>
    <row r="17" spans="1:8" ht="15" customHeight="1">
      <c r="A17" s="22" t="s">
        <v>164</v>
      </c>
      <c r="B17" s="18" t="str">
        <f>LEFT(F18,2)</f>
        <v>sh</v>
      </c>
      <c r="C17" s="18" t="s">
        <v>306</v>
      </c>
      <c r="D17" s="18"/>
      <c r="E17" s="18"/>
      <c r="F17" s="18"/>
      <c r="G17" s="18"/>
    </row>
    <row r="18" spans="1:8" ht="15" customHeight="1">
      <c r="A18" s="23"/>
      <c r="B18" s="18"/>
      <c r="C18" s="18"/>
      <c r="D18" s="18"/>
      <c r="E18" s="18"/>
      <c r="F18" s="18" t="s">
        <v>285</v>
      </c>
      <c r="G18" s="18"/>
    </row>
    <row r="19" spans="1:8" ht="15" customHeight="1">
      <c r="A19" s="22" t="s">
        <v>167</v>
      </c>
      <c r="B19" s="18" t="str">
        <f>RIGHT(F18,3)</f>
        <v>ngi</v>
      </c>
      <c r="C19" s="18" t="s">
        <v>307</v>
      </c>
      <c r="D19" s="18"/>
      <c r="E19" s="18"/>
      <c r="F19" s="18"/>
      <c r="G19" s="18"/>
    </row>
    <row r="20" spans="1:8" ht="15" customHeight="1">
      <c r="A20" s="23"/>
      <c r="B20" s="18"/>
      <c r="C20" s="18"/>
      <c r="D20" s="18"/>
      <c r="E20" s="18"/>
      <c r="F20" s="18"/>
      <c r="G20" s="18"/>
    </row>
    <row r="21" spans="1:8" ht="15.75" customHeight="1">
      <c r="A21" s="23" t="s">
        <v>283</v>
      </c>
      <c r="B21" s="18">
        <f>LEN(F18)</f>
        <v>9</v>
      </c>
      <c r="C21" s="18" t="s">
        <v>308</v>
      </c>
      <c r="D21" s="18"/>
      <c r="E21" s="18"/>
      <c r="F21" s="18"/>
      <c r="G21" s="18"/>
    </row>
    <row r="22" spans="1:8" ht="15.75" customHeight="1">
      <c r="A22" s="23"/>
      <c r="B22" s="18"/>
      <c r="C22" s="18"/>
      <c r="D22" s="18"/>
      <c r="E22" s="18"/>
      <c r="F22" s="18" t="s">
        <v>287</v>
      </c>
      <c r="G22" s="18"/>
    </row>
    <row r="23" spans="1:8" ht="15.75" customHeight="1">
      <c r="A23" s="23" t="s">
        <v>284</v>
      </c>
      <c r="B23" s="18" t="str">
        <f>TRIM(F18)</f>
        <v>shubhangi</v>
      </c>
      <c r="C23" s="18" t="s">
        <v>298</v>
      </c>
      <c r="D23" s="18"/>
      <c r="E23" s="18"/>
      <c r="F23" s="18"/>
      <c r="G23" s="18"/>
    </row>
    <row r="24" spans="1:8" ht="15.75" customHeight="1">
      <c r="A24" s="23"/>
      <c r="B24" s="18"/>
      <c r="C24" s="18"/>
      <c r="D24" s="18"/>
      <c r="E24" s="18"/>
      <c r="F24" s="18"/>
      <c r="G24" s="18" t="s">
        <v>289</v>
      </c>
      <c r="H24" t="s">
        <v>290</v>
      </c>
    </row>
    <row r="25" spans="1:8" ht="15.75" customHeight="1">
      <c r="A25" s="23" t="s">
        <v>180</v>
      </c>
      <c r="B25" s="18" t="str">
        <f>UPPER(F18)</f>
        <v>SHUBHANGI</v>
      </c>
      <c r="C25" s="18" t="s">
        <v>305</v>
      </c>
      <c r="D25" s="18"/>
      <c r="E25" s="18"/>
      <c r="F25" s="18"/>
      <c r="G25" s="18"/>
    </row>
    <row r="26" spans="1:8" ht="15.75" customHeight="1">
      <c r="A26" s="23"/>
      <c r="B26" s="18"/>
      <c r="C26" s="18"/>
      <c r="D26" s="18"/>
      <c r="E26" s="18"/>
      <c r="F26" s="18"/>
      <c r="G26" s="18"/>
    </row>
    <row r="27" spans="1:8" ht="15.75" customHeight="1">
      <c r="A27" s="23" t="s">
        <v>286</v>
      </c>
      <c r="B27" s="18" t="str">
        <f>LOWER(B25)</f>
        <v>shubhangi</v>
      </c>
      <c r="C27" s="18" t="s">
        <v>299</v>
      </c>
      <c r="D27" s="18"/>
      <c r="E27" s="18"/>
      <c r="F27" s="18"/>
      <c r="G27" s="18"/>
    </row>
    <row r="28" spans="1:8" ht="15.75" customHeight="1">
      <c r="A28" s="23"/>
      <c r="B28" s="18"/>
      <c r="C28" s="18"/>
      <c r="D28" s="18"/>
      <c r="E28" s="18"/>
      <c r="F28" s="18"/>
      <c r="G28" s="18"/>
    </row>
    <row r="29" spans="1:8" ht="15.75" customHeight="1">
      <c r="A29" s="23" t="s">
        <v>187</v>
      </c>
      <c r="B29" s="18"/>
      <c r="C29" s="18" t="s">
        <v>304</v>
      </c>
      <c r="D29" s="18"/>
      <c r="E29" s="18"/>
      <c r="F29" s="18"/>
      <c r="G29" s="18"/>
    </row>
    <row r="30" spans="1:8" ht="15.75" customHeight="1">
      <c r="A30" s="23"/>
      <c r="B30" s="18"/>
      <c r="C30" s="18"/>
      <c r="D30" s="18"/>
      <c r="E30" s="18"/>
      <c r="F30" s="18"/>
      <c r="G30" s="18"/>
    </row>
    <row r="31" spans="1:8" ht="15.75" customHeight="1">
      <c r="A31" s="23" t="s">
        <v>288</v>
      </c>
      <c r="B31" s="18" t="str">
        <f>CONCATENATE(G24,H24)</f>
        <v>shubhapatil</v>
      </c>
      <c r="C31" s="18" t="s">
        <v>303</v>
      </c>
      <c r="D31" s="18"/>
      <c r="E31" s="18"/>
      <c r="F31" s="18"/>
      <c r="G31" s="18"/>
    </row>
    <row r="32" spans="1:8" ht="15.75" customHeight="1">
      <c r="A32" s="23"/>
      <c r="B32" s="18"/>
      <c r="C32" s="18"/>
      <c r="D32" s="18"/>
      <c r="E32" s="18"/>
      <c r="F32" s="18"/>
      <c r="G32" s="18"/>
    </row>
    <row r="33" spans="1:10" ht="15.75" customHeight="1">
      <c r="A33" s="23" t="s">
        <v>291</v>
      </c>
      <c r="B33" s="18"/>
      <c r="C33" s="18" t="s">
        <v>303</v>
      </c>
      <c r="D33" s="18"/>
      <c r="E33" s="18"/>
      <c r="F33" s="18"/>
      <c r="G33" s="18"/>
    </row>
    <row r="34" spans="1:10" ht="15.75" customHeight="1">
      <c r="A34" s="23"/>
      <c r="B34" s="18"/>
      <c r="C34" s="18"/>
      <c r="D34" s="18"/>
      <c r="E34" s="18"/>
      <c r="F34" s="18"/>
      <c r="G34" s="18"/>
    </row>
    <row r="35" spans="1:10" ht="15.75" customHeight="1">
      <c r="A35" s="23" t="s">
        <v>292</v>
      </c>
      <c r="B35" s="18">
        <f>FIND("b",B23)</f>
        <v>4</v>
      </c>
      <c r="C35" s="18" t="s">
        <v>294</v>
      </c>
      <c r="D35" s="18"/>
      <c r="E35" s="18">
        <f>FIND("h",B31)</f>
        <v>2</v>
      </c>
      <c r="F35" s="18"/>
      <c r="G35" s="18"/>
    </row>
    <row r="36" spans="1:10" ht="15.75" customHeight="1">
      <c r="A36" s="23"/>
      <c r="B36" s="18"/>
      <c r="C36" s="18"/>
      <c r="D36" s="18"/>
      <c r="E36" s="18"/>
      <c r="F36" s="18"/>
      <c r="G36" s="18"/>
    </row>
    <row r="37" spans="1:10" ht="15.75" customHeight="1">
      <c r="A37" s="23" t="s">
        <v>293</v>
      </c>
      <c r="B37" s="18">
        <f>SEARCH("a",B31)</f>
        <v>6</v>
      </c>
      <c r="C37" s="18" t="s">
        <v>295</v>
      </c>
      <c r="D37" s="18"/>
      <c r="E37" s="18"/>
      <c r="F37" s="18"/>
      <c r="G37" s="18"/>
    </row>
    <row r="38" spans="1:10" ht="15.75" customHeight="1">
      <c r="A38" s="23"/>
      <c r="B38" s="18"/>
      <c r="C38" s="18"/>
      <c r="D38" s="18"/>
      <c r="E38" s="18"/>
      <c r="F38" s="18"/>
      <c r="G38" s="18"/>
    </row>
    <row r="39" spans="1:10" ht="15.75" customHeight="1">
      <c r="A39" s="23" t="s">
        <v>205</v>
      </c>
      <c r="B39" s="18" t="str">
        <f>SUBSTITUTE(B27,"bh","ne")</f>
        <v>shuneangi</v>
      </c>
      <c r="C39" s="18" t="s">
        <v>301</v>
      </c>
      <c r="D39" s="18"/>
      <c r="E39" s="18" t="s">
        <v>302</v>
      </c>
      <c r="F39" s="18"/>
      <c r="G39" s="18"/>
      <c r="H39" s="26"/>
      <c r="I39" s="26"/>
      <c r="J39" s="25"/>
    </row>
    <row r="40" spans="1:10" ht="15.75" customHeight="1">
      <c r="A40" s="23"/>
      <c r="B40" s="18"/>
      <c r="C40" s="18"/>
      <c r="D40" s="18"/>
      <c r="E40" s="18"/>
      <c r="F40" s="18"/>
      <c r="G40" s="18"/>
      <c r="H40" s="26"/>
      <c r="I40" s="26"/>
      <c r="J40" s="25"/>
    </row>
    <row r="41" spans="1:10" ht="15.75" customHeight="1">
      <c r="A41" s="23" t="s">
        <v>296</v>
      </c>
      <c r="B41" s="18" t="str">
        <f>REPLACE(B31,7,5,"babar")</f>
        <v>shubhababar</v>
      </c>
      <c r="C41" s="24" t="s">
        <v>297</v>
      </c>
      <c r="D41" s="18" t="s">
        <v>300</v>
      </c>
      <c r="E41" s="24"/>
      <c r="F41" s="24"/>
      <c r="G41" s="24"/>
      <c r="H41" s="25"/>
      <c r="I41" s="25"/>
      <c r="J41" s="25"/>
    </row>
    <row r="42" spans="1:10" ht="15.75" customHeight="1">
      <c r="A42" s="23"/>
      <c r="B42" s="18"/>
      <c r="C42" s="18"/>
      <c r="D42" s="18"/>
      <c r="E42" s="18"/>
      <c r="F42" s="18"/>
      <c r="G42" s="18"/>
      <c r="H42" s="26"/>
      <c r="I42" s="26"/>
      <c r="J42" s="25"/>
    </row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000"/>
  <sheetViews>
    <sheetView showFormulas="1" tabSelected="1" zoomScale="86" zoomScaleNormal="86" workbookViewId="0">
      <selection activeCell="F132" sqref="F132"/>
    </sheetView>
  </sheetViews>
  <sheetFormatPr defaultColWidth="14.42578125" defaultRowHeight="15" customHeight="1"/>
  <cols>
    <col min="1" max="1" width="8.7109375" customWidth="1"/>
    <col min="2" max="2" width="20.42578125" customWidth="1"/>
    <col min="3" max="3" width="27.5703125" customWidth="1"/>
    <col min="4" max="4" width="29.85546875" customWidth="1"/>
    <col min="5" max="5" width="9.28515625" customWidth="1"/>
    <col min="6" max="6" width="8.7109375" customWidth="1"/>
    <col min="7" max="7" width="10" customWidth="1"/>
    <col min="8" max="8" width="36.7109375" customWidth="1"/>
    <col min="9" max="9" width="8.7109375" customWidth="1"/>
    <col min="10" max="10" width="14.5703125" customWidth="1"/>
    <col min="11" max="26" width="8.7109375" customWidth="1"/>
  </cols>
  <sheetData>
    <row r="1" spans="2:24" ht="31.5">
      <c r="B1" s="5" t="s">
        <v>47</v>
      </c>
    </row>
    <row r="2" spans="2:24">
      <c r="E2" s="2" t="s">
        <v>48</v>
      </c>
      <c r="F2" s="6" t="s">
        <v>49</v>
      </c>
    </row>
    <row r="3" spans="2:24">
      <c r="B3" s="1" t="s">
        <v>0</v>
      </c>
      <c r="C3" s="1" t="s">
        <v>1</v>
      </c>
      <c r="D3" s="1" t="s">
        <v>2</v>
      </c>
      <c r="F3" s="7"/>
    </row>
    <row r="4" spans="2:24">
      <c r="B4" s="8" t="s">
        <v>4</v>
      </c>
      <c r="C4" s="3" t="s">
        <v>50</v>
      </c>
      <c r="D4" s="4" t="s">
        <v>5</v>
      </c>
      <c r="F4" s="6" t="s">
        <v>51</v>
      </c>
    </row>
    <row r="5" spans="2:24">
      <c r="B5" s="8" t="s">
        <v>7</v>
      </c>
      <c r="C5" s="3" t="s">
        <v>52</v>
      </c>
      <c r="D5" s="4" t="s">
        <v>8</v>
      </c>
    </row>
    <row r="6" spans="2:24">
      <c r="B6" s="8" t="s">
        <v>10</v>
      </c>
      <c r="C6" s="3" t="s">
        <v>53</v>
      </c>
      <c r="D6" s="4" t="s">
        <v>11</v>
      </c>
      <c r="E6" s="2">
        <v>12.577999999999999</v>
      </c>
      <c r="F6" s="2">
        <f>ROUND(E6,2)</f>
        <v>12.58</v>
      </c>
      <c r="H6" s="2" t="s">
        <v>54</v>
      </c>
    </row>
    <row r="7" spans="2:24">
      <c r="B7" s="8" t="s">
        <v>13</v>
      </c>
      <c r="C7" s="3" t="s">
        <v>55</v>
      </c>
      <c r="D7" s="4" t="s">
        <v>14</v>
      </c>
      <c r="F7" s="2">
        <f>ROUND(E6,0)</f>
        <v>13</v>
      </c>
      <c r="G7" s="2">
        <v>347</v>
      </c>
      <c r="H7" s="2">
        <f>ROUND(G7,-1)</f>
        <v>350</v>
      </c>
      <c r="I7" s="2">
        <f>ROUND(G7,1)</f>
        <v>347</v>
      </c>
    </row>
    <row r="8" spans="2:24">
      <c r="B8" s="8" t="s">
        <v>16</v>
      </c>
      <c r="C8" s="3" t="s">
        <v>56</v>
      </c>
      <c r="D8" s="4" t="s">
        <v>17</v>
      </c>
      <c r="F8" s="2">
        <f>ROUNDUP(E6,0)</f>
        <v>13</v>
      </c>
      <c r="H8" s="9" t="s">
        <v>57</v>
      </c>
    </row>
    <row r="9" spans="2:24">
      <c r="B9" s="8" t="s">
        <v>19</v>
      </c>
      <c r="C9" s="3" t="s">
        <v>58</v>
      </c>
      <c r="D9" s="4" t="s">
        <v>20</v>
      </c>
    </row>
    <row r="10" spans="2:24">
      <c r="B10" s="8" t="s">
        <v>22</v>
      </c>
      <c r="C10" s="3" t="s">
        <v>59</v>
      </c>
      <c r="D10" s="4" t="s">
        <v>23</v>
      </c>
      <c r="E10" s="2">
        <f>MOD(4,2)</f>
        <v>0</v>
      </c>
      <c r="F10" s="2">
        <f>MOD(5,2)</f>
        <v>1</v>
      </c>
    </row>
    <row r="11" spans="2:24" ht="31.5">
      <c r="B11" s="8" t="s">
        <v>25</v>
      </c>
      <c r="C11" s="3" t="s">
        <v>60</v>
      </c>
      <c r="D11" s="4" t="s">
        <v>26</v>
      </c>
      <c r="E11" s="5" t="s">
        <v>61</v>
      </c>
      <c r="J11" s="5" t="s">
        <v>62</v>
      </c>
      <c r="P11" s="5" t="s">
        <v>63</v>
      </c>
    </row>
    <row r="12" spans="2:24">
      <c r="B12" s="8" t="s">
        <v>28</v>
      </c>
      <c r="C12" s="3" t="s">
        <v>64</v>
      </c>
      <c r="D12" s="4" t="s">
        <v>29</v>
      </c>
    </row>
    <row r="13" spans="2:24">
      <c r="B13" s="8" t="s">
        <v>31</v>
      </c>
      <c r="C13" s="3" t="s">
        <v>65</v>
      </c>
      <c r="D13" s="4" t="s">
        <v>32</v>
      </c>
      <c r="E13" s="2" t="s">
        <v>66</v>
      </c>
      <c r="J13" s="2" t="s">
        <v>67</v>
      </c>
      <c r="P13" s="2" t="s">
        <v>68</v>
      </c>
      <c r="X13" s="2">
        <v>13.79</v>
      </c>
    </row>
    <row r="14" spans="2:24">
      <c r="B14" s="8" t="s">
        <v>34</v>
      </c>
      <c r="C14" s="3" t="s">
        <v>69</v>
      </c>
      <c r="D14" s="4" t="s">
        <v>35</v>
      </c>
    </row>
    <row r="15" spans="2:24" ht="17.25">
      <c r="B15" s="8" t="s">
        <v>37</v>
      </c>
      <c r="C15" s="3" t="s">
        <v>70</v>
      </c>
      <c r="D15" s="4" t="s">
        <v>38</v>
      </c>
      <c r="E15" s="10" t="s">
        <v>71</v>
      </c>
      <c r="J15" s="10" t="s">
        <v>72</v>
      </c>
      <c r="P15" s="10" t="s">
        <v>71</v>
      </c>
    </row>
    <row r="16" spans="2:24">
      <c r="B16" s="8" t="s">
        <v>40</v>
      </c>
      <c r="C16" s="3" t="s">
        <v>73</v>
      </c>
      <c r="D16" s="4" t="s">
        <v>41</v>
      </c>
      <c r="X16" s="2">
        <v>0.34</v>
      </c>
    </row>
    <row r="17" spans="2:18">
      <c r="B17" s="8" t="s">
        <v>43</v>
      </c>
      <c r="C17" s="3" t="s">
        <v>74</v>
      </c>
      <c r="D17" s="4" t="s">
        <v>44</v>
      </c>
      <c r="E17" s="1" t="s">
        <v>75</v>
      </c>
      <c r="F17" s="1" t="s">
        <v>0</v>
      </c>
      <c r="G17" s="1" t="s">
        <v>76</v>
      </c>
      <c r="J17" s="1" t="s">
        <v>75</v>
      </c>
      <c r="K17" s="1" t="s">
        <v>0</v>
      </c>
      <c r="L17" s="1" t="s">
        <v>76</v>
      </c>
      <c r="P17" s="1" t="s">
        <v>75</v>
      </c>
      <c r="Q17" s="1" t="s">
        <v>0</v>
      </c>
      <c r="R17" s="1" t="s">
        <v>76</v>
      </c>
    </row>
    <row r="18" spans="2:18">
      <c r="D18" s="2">
        <f>POWER(2,2)</f>
        <v>4</v>
      </c>
      <c r="E18" s="4">
        <v>5.4</v>
      </c>
      <c r="F18" s="3">
        <f>ROUND(5.4,1)</f>
        <v>5.4</v>
      </c>
      <c r="G18" s="4">
        <v>5</v>
      </c>
      <c r="J18" s="4">
        <v>5.0999999999999996</v>
      </c>
      <c r="K18" s="3">
        <f>ROUNDUP(5.1,0)</f>
        <v>6</v>
      </c>
      <c r="L18" s="4">
        <v>6</v>
      </c>
      <c r="M18" s="2">
        <f>ROUNDUP(J18,1)</f>
        <v>5.0999999999999996</v>
      </c>
      <c r="P18" s="4">
        <v>5.9</v>
      </c>
      <c r="Q18" s="3">
        <f>ROUNDDOWN(5.9,0)</f>
        <v>5</v>
      </c>
      <c r="R18" s="4">
        <v>5</v>
      </c>
    </row>
    <row r="19" spans="2:18" ht="31.5">
      <c r="B19" s="5" t="s">
        <v>77</v>
      </c>
      <c r="D19" s="2">
        <f>SQRT(16)</f>
        <v>4</v>
      </c>
      <c r="E19" s="4">
        <v>5.5</v>
      </c>
      <c r="F19" s="3">
        <f>ROUND(5.5,0)</f>
        <v>6</v>
      </c>
      <c r="G19" s="4">
        <v>6</v>
      </c>
      <c r="J19" s="4">
        <v>5.9</v>
      </c>
      <c r="K19" s="3">
        <f>ROUNDUP(5.9,0)</f>
        <v>6</v>
      </c>
      <c r="L19" s="4">
        <v>6</v>
      </c>
      <c r="P19" s="4">
        <v>5.0999999999999996</v>
      </c>
      <c r="Q19" s="3">
        <f>ROUNDDOWN(5.1,0)</f>
        <v>5</v>
      </c>
      <c r="R19" s="4">
        <v>5</v>
      </c>
    </row>
    <row r="21" spans="2:18" ht="15.75" customHeight="1">
      <c r="B21" s="1" t="s">
        <v>0</v>
      </c>
      <c r="C21" s="1" t="s">
        <v>1</v>
      </c>
      <c r="D21" s="1" t="s">
        <v>2</v>
      </c>
      <c r="E21" s="2" t="s">
        <v>78</v>
      </c>
      <c r="J21" s="2" t="s">
        <v>78</v>
      </c>
      <c r="P21" s="2" t="s">
        <v>78</v>
      </c>
    </row>
    <row r="22" spans="2:18" ht="15.75" customHeight="1">
      <c r="B22" s="8" t="s">
        <v>79</v>
      </c>
      <c r="C22" s="3" t="s">
        <v>80</v>
      </c>
      <c r="D22" s="4" t="s">
        <v>81</v>
      </c>
      <c r="E22" s="7"/>
      <c r="J22" s="7"/>
      <c r="P22" s="7"/>
    </row>
    <row r="23" spans="2:18" ht="15.75" customHeight="1">
      <c r="B23" s="8" t="s">
        <v>82</v>
      </c>
      <c r="C23" s="3" t="s">
        <v>83</v>
      </c>
      <c r="D23" s="4" t="s">
        <v>84</v>
      </c>
      <c r="E23" s="7" t="s">
        <v>85</v>
      </c>
      <c r="J23" s="7" t="s">
        <v>86</v>
      </c>
      <c r="P23" s="7" t="s">
        <v>87</v>
      </c>
    </row>
    <row r="24" spans="2:18" ht="15.75" customHeight="1">
      <c r="B24" s="8" t="s">
        <v>88</v>
      </c>
      <c r="C24" s="3" t="s">
        <v>89</v>
      </c>
      <c r="D24" s="4" t="s">
        <v>90</v>
      </c>
      <c r="E24" s="7" t="s">
        <v>91</v>
      </c>
    </row>
    <row r="25" spans="2:18" ht="15.75" customHeight="1">
      <c r="B25" s="8" t="s">
        <v>92</v>
      </c>
      <c r="C25" s="3" t="s">
        <v>93</v>
      </c>
      <c r="D25" s="4" t="s">
        <v>94</v>
      </c>
      <c r="J25" s="2" t="s">
        <v>95</v>
      </c>
    </row>
    <row r="26" spans="2:18" ht="15.75" customHeight="1">
      <c r="B26" s="8" t="s">
        <v>96</v>
      </c>
      <c r="C26" s="3" t="s">
        <v>97</v>
      </c>
      <c r="D26" s="4" t="s">
        <v>98</v>
      </c>
    </row>
    <row r="27" spans="2:18" ht="23.25" customHeight="1">
      <c r="B27" s="8" t="s">
        <v>99</v>
      </c>
      <c r="C27" s="3" t="s">
        <v>100</v>
      </c>
      <c r="D27" s="4" t="s">
        <v>101</v>
      </c>
      <c r="E27" s="2" t="b">
        <f>NOT(100&lt;101)</f>
        <v>0</v>
      </c>
      <c r="F27" s="2" t="str">
        <f>IF(NOT(100&lt;101),"a","b")</f>
        <v>b</v>
      </c>
      <c r="J27" s="10" t="s">
        <v>102</v>
      </c>
      <c r="M27" s="10" t="s">
        <v>103</v>
      </c>
      <c r="P27" s="10" t="s">
        <v>104</v>
      </c>
    </row>
    <row r="28" spans="2:18" ht="15.75" customHeight="1">
      <c r="J28" s="11"/>
      <c r="M28" s="11"/>
    </row>
    <row r="29" spans="2:18" ht="15.75" customHeight="1">
      <c r="B29" s="5" t="s">
        <v>105</v>
      </c>
      <c r="J29" s="12" t="s">
        <v>106</v>
      </c>
      <c r="M29" s="12" t="s">
        <v>107</v>
      </c>
      <c r="P29" s="1" t="s">
        <v>108</v>
      </c>
      <c r="Q29" s="1" t="s">
        <v>0</v>
      </c>
      <c r="R29" s="1" t="s">
        <v>76</v>
      </c>
    </row>
    <row r="30" spans="2:18" ht="15.75" customHeight="1">
      <c r="J30" s="12" t="s">
        <v>109</v>
      </c>
      <c r="M30" s="12" t="s">
        <v>110</v>
      </c>
      <c r="P30" s="4">
        <v>12500.45</v>
      </c>
      <c r="Q30" s="3">
        <f>ROUND(A1,0)</f>
        <v>0</v>
      </c>
      <c r="R30" s="4">
        <v>12500</v>
      </c>
    </row>
    <row r="31" spans="2:18" ht="14.25" customHeight="1">
      <c r="B31" s="1" t="s">
        <v>0</v>
      </c>
      <c r="C31" s="1" t="s">
        <v>1</v>
      </c>
      <c r="D31" s="1" t="s">
        <v>2</v>
      </c>
      <c r="J31" s="12" t="s">
        <v>111</v>
      </c>
      <c r="M31" s="12" t="s">
        <v>112</v>
      </c>
      <c r="P31" s="4">
        <v>12500.45</v>
      </c>
      <c r="Q31" s="3">
        <f>ROUNDUP(A1,0)</f>
        <v>0</v>
      </c>
      <c r="R31" s="4">
        <v>12501</v>
      </c>
    </row>
    <row r="32" spans="2:18" ht="24.75" customHeight="1">
      <c r="B32" s="8" t="s">
        <v>113</v>
      </c>
      <c r="C32" s="3" t="s">
        <v>114</v>
      </c>
      <c r="D32" s="4" t="s">
        <v>115</v>
      </c>
      <c r="M32" s="2">
        <f>ROUND(15,-1)</f>
        <v>20</v>
      </c>
      <c r="P32" s="4">
        <v>12500.45</v>
      </c>
      <c r="Q32" s="3">
        <f>ROUNDDOWN(A1,0)</f>
        <v>0</v>
      </c>
      <c r="R32" s="4">
        <v>12500</v>
      </c>
    </row>
    <row r="33" spans="2:10" ht="15.75" customHeight="1">
      <c r="B33" s="8" t="s">
        <v>116</v>
      </c>
      <c r="C33" s="3" t="s">
        <v>117</v>
      </c>
      <c r="D33" s="4" t="s">
        <v>118</v>
      </c>
      <c r="F33" s="6" t="s">
        <v>119</v>
      </c>
    </row>
    <row r="34" spans="2:10" ht="15.75" customHeight="1">
      <c r="B34" s="8" t="s">
        <v>120</v>
      </c>
      <c r="C34" s="3" t="s">
        <v>121</v>
      </c>
      <c r="D34" s="4" t="s">
        <v>122</v>
      </c>
    </row>
    <row r="35" spans="2:10" ht="15.75" customHeight="1">
      <c r="B35" s="8" t="s">
        <v>123</v>
      </c>
      <c r="C35" s="3" t="s">
        <v>124</v>
      </c>
      <c r="D35" s="4" t="s">
        <v>125</v>
      </c>
      <c r="F35" s="2" t="s">
        <v>126</v>
      </c>
    </row>
    <row r="36" spans="2:10" ht="15.75" customHeight="1">
      <c r="B36" s="3" t="s">
        <v>127</v>
      </c>
      <c r="C36" s="3" t="s">
        <v>128</v>
      </c>
      <c r="D36" s="4" t="s">
        <v>129</v>
      </c>
      <c r="F36" s="2" t="s">
        <v>130</v>
      </c>
    </row>
    <row r="37" spans="2:10" ht="15.75" customHeight="1">
      <c r="B37" s="3" t="s">
        <v>131</v>
      </c>
      <c r="C37" s="3" t="s">
        <v>132</v>
      </c>
      <c r="D37" s="4" t="s">
        <v>133</v>
      </c>
      <c r="F37" s="5" t="s">
        <v>134</v>
      </c>
      <c r="J37" s="5" t="s">
        <v>135</v>
      </c>
    </row>
    <row r="38" spans="2:10" ht="15.75" customHeight="1">
      <c r="B38" s="3" t="s">
        <v>136</v>
      </c>
      <c r="C38" s="3" t="s">
        <v>137</v>
      </c>
      <c r="D38" s="4" t="s">
        <v>138</v>
      </c>
    </row>
    <row r="39" spans="2:10" ht="15.75" customHeight="1">
      <c r="B39" s="3" t="s">
        <v>139</v>
      </c>
      <c r="C39" s="3" t="s">
        <v>140</v>
      </c>
      <c r="D39" s="4" t="s">
        <v>141</v>
      </c>
      <c r="F39" s="1" t="s">
        <v>75</v>
      </c>
      <c r="G39" s="1" t="s">
        <v>0</v>
      </c>
      <c r="H39" s="1" t="s">
        <v>76</v>
      </c>
      <c r="J39" s="2" t="s">
        <v>142</v>
      </c>
    </row>
    <row r="40" spans="2:10" ht="15.75" customHeight="1">
      <c r="B40" s="3" t="s">
        <v>143</v>
      </c>
      <c r="C40" s="3" t="s">
        <v>144</v>
      </c>
      <c r="D40" s="4" t="s">
        <v>145</v>
      </c>
      <c r="F40" s="4">
        <v>10</v>
      </c>
      <c r="G40" s="3">
        <f>ABS(10)</f>
        <v>10</v>
      </c>
      <c r="H40" s="4">
        <v>10</v>
      </c>
      <c r="J40" s="7"/>
    </row>
    <row r="41" spans="2:10" ht="15.75" customHeight="1">
      <c r="F41" s="4">
        <v>-10</v>
      </c>
      <c r="G41" s="3">
        <f>ABS(-10)</f>
        <v>10</v>
      </c>
      <c r="H41" s="4">
        <v>10</v>
      </c>
      <c r="J41" s="7" t="s">
        <v>146</v>
      </c>
    </row>
    <row r="42" spans="2:10" ht="15.75" customHeight="1">
      <c r="F42" s="4">
        <v>5.5</v>
      </c>
      <c r="G42" s="3">
        <f>ABS(5.5)</f>
        <v>5.5</v>
      </c>
      <c r="H42" s="4">
        <v>5.5</v>
      </c>
    </row>
    <row r="43" spans="2:10" ht="15.75" customHeight="1">
      <c r="B43" s="5" t="s">
        <v>147</v>
      </c>
      <c r="F43" s="4">
        <v>-7.2</v>
      </c>
      <c r="G43" s="3">
        <f>ABS(-7.2)</f>
        <v>7.2</v>
      </c>
      <c r="H43" s="4">
        <v>7.2</v>
      </c>
      <c r="J43" s="2" t="s">
        <v>148</v>
      </c>
    </row>
    <row r="44" spans="2:10" ht="15.75" customHeight="1">
      <c r="J44" s="7"/>
    </row>
    <row r="45" spans="2:10" ht="15.75" customHeight="1">
      <c r="B45" s="1" t="s">
        <v>0</v>
      </c>
      <c r="C45" s="1" t="s">
        <v>1</v>
      </c>
      <c r="J45" s="7" t="s">
        <v>149</v>
      </c>
    </row>
    <row r="46" spans="2:10" ht="11.25" customHeight="1">
      <c r="B46" s="3" t="s">
        <v>150</v>
      </c>
      <c r="C46" s="3" t="s">
        <v>151</v>
      </c>
    </row>
    <row r="47" spans="2:10" ht="29.25" customHeight="1">
      <c r="B47" s="3" t="s">
        <v>152</v>
      </c>
      <c r="C47" s="3" t="s">
        <v>153</v>
      </c>
    </row>
    <row r="48" spans="2:10" ht="15.75" customHeight="1">
      <c r="B48" s="3" t="s">
        <v>154</v>
      </c>
      <c r="C48" s="3" t="s">
        <v>155</v>
      </c>
    </row>
    <row r="49" spans="2:11" ht="21.75" customHeight="1">
      <c r="B49" s="3" t="s">
        <v>156</v>
      </c>
      <c r="C49" s="3" t="s">
        <v>157</v>
      </c>
    </row>
    <row r="50" spans="2:11" ht="15.75" customHeight="1">
      <c r="B50" s="3" t="s">
        <v>158</v>
      </c>
      <c r="C50" s="3" t="s">
        <v>159</v>
      </c>
    </row>
    <row r="51" spans="2:11" ht="15.75" customHeight="1">
      <c r="B51" s="3" t="s">
        <v>160</v>
      </c>
      <c r="C51" s="3" t="s">
        <v>161</v>
      </c>
      <c r="J51" s="2" t="e">
        <f>1/0</f>
        <v>#DIV/0!</v>
      </c>
    </row>
    <row r="52" spans="2:11" ht="15.75" customHeight="1">
      <c r="J52" s="2">
        <f>0/1</f>
        <v>0</v>
      </c>
    </row>
    <row r="53" spans="2:11" ht="15.75" customHeight="1">
      <c r="B53" s="5" t="s">
        <v>162</v>
      </c>
    </row>
    <row r="54" spans="2:11" ht="15.75" customHeight="1"/>
    <row r="55" spans="2:11" ht="15.75" customHeight="1">
      <c r="B55" s="1" t="s">
        <v>0</v>
      </c>
      <c r="C55" s="1" t="s">
        <v>1</v>
      </c>
      <c r="E55" s="13" t="s">
        <v>163</v>
      </c>
    </row>
    <row r="56" spans="2:11" ht="15.75" customHeight="1">
      <c r="B56" s="8" t="s">
        <v>164</v>
      </c>
      <c r="C56" s="3" t="s">
        <v>165</v>
      </c>
      <c r="E56" s="14" t="s">
        <v>166</v>
      </c>
      <c r="F56" s="2" t="str">
        <f>LEFT(E56,4)</f>
        <v>anki</v>
      </c>
      <c r="G56" s="2" t="str">
        <f>LEFT(E56,1)</f>
        <v>a</v>
      </c>
      <c r="H56" s="2" t="str">
        <f>LEFT(E56,2)</f>
        <v>an</v>
      </c>
    </row>
    <row r="57" spans="2:11" ht="15.75" customHeight="1">
      <c r="B57" s="8" t="s">
        <v>167</v>
      </c>
      <c r="C57" s="3" t="s">
        <v>168</v>
      </c>
      <c r="E57" s="14" t="s">
        <v>169</v>
      </c>
      <c r="F57" s="2" t="str">
        <f>RIGHT(E57,2)</f>
        <v>ta</v>
      </c>
      <c r="G57" s="2" t="str">
        <f>RIGHT(E57,4)</f>
        <v>ruta</v>
      </c>
    </row>
    <row r="58" spans="2:11" ht="15.75" customHeight="1">
      <c r="B58" s="8" t="s">
        <v>170</v>
      </c>
      <c r="C58" s="3" t="s">
        <v>171</v>
      </c>
      <c r="E58" s="14" t="s">
        <v>172</v>
      </c>
      <c r="F58" s="2" t="str">
        <f>MID(E58,3,4)</f>
        <v>kita</v>
      </c>
    </row>
    <row r="59" spans="2:11" ht="15.75" customHeight="1">
      <c r="B59" s="8" t="s">
        <v>173</v>
      </c>
      <c r="C59" s="3" t="s">
        <v>174</v>
      </c>
      <c r="E59" s="14" t="s">
        <v>175</v>
      </c>
      <c r="F59" s="2">
        <f>LEN(E59)</f>
        <v>5</v>
      </c>
    </row>
    <row r="60" spans="2:11" ht="15.75" customHeight="1">
      <c r="B60" s="8" t="s">
        <v>176</v>
      </c>
      <c r="C60" s="3" t="s">
        <v>177</v>
      </c>
      <c r="E60" s="14" t="s">
        <v>178</v>
      </c>
      <c r="F60" s="2" t="str">
        <f>TRIM(E60)</f>
        <v>Komal</v>
      </c>
      <c r="J60" s="2" t="s">
        <v>179</v>
      </c>
      <c r="K60" s="2" t="str">
        <f>REPLACE(J60,2,1,"ello")</f>
        <v>hello</v>
      </c>
    </row>
    <row r="61" spans="2:11" ht="15.75" customHeight="1">
      <c r="B61" s="8" t="s">
        <v>180</v>
      </c>
      <c r="C61" s="3" t="s">
        <v>181</v>
      </c>
      <c r="E61" s="14" t="s">
        <v>182</v>
      </c>
      <c r="F61" s="2" t="str">
        <f>UPPER(E61)</f>
        <v xml:space="preserve">KSHITIJA     </v>
      </c>
      <c r="G61" s="2" t="str">
        <f>LOWER(F61)</f>
        <v xml:space="preserve">kshitija     </v>
      </c>
    </row>
    <row r="62" spans="2:11" ht="15.75" customHeight="1">
      <c r="B62" s="8" t="s">
        <v>183</v>
      </c>
      <c r="C62" s="3" t="s">
        <v>184</v>
      </c>
      <c r="E62" s="14" t="s">
        <v>185</v>
      </c>
      <c r="F62" s="2" t="str">
        <f>PROPER(E62)</f>
        <v>Mrunali</v>
      </c>
      <c r="G62" s="2" t="str">
        <f>PROPER(G61)</f>
        <v xml:space="preserve">Kshitija     </v>
      </c>
      <c r="J62" s="2" t="s">
        <v>186</v>
      </c>
    </row>
    <row r="63" spans="2:11" ht="15.75" customHeight="1">
      <c r="B63" s="8" t="s">
        <v>187</v>
      </c>
      <c r="C63" s="3" t="s">
        <v>188</v>
      </c>
      <c r="E63" s="14" t="s">
        <v>189</v>
      </c>
      <c r="F63" s="2" t="e">
        <f ca="1">CONCAT(E63,E64)</f>
        <v>#NAME?</v>
      </c>
      <c r="J63" s="2" t="s">
        <v>190</v>
      </c>
    </row>
    <row r="64" spans="2:11" ht="15.75" customHeight="1">
      <c r="B64" s="8" t="s">
        <v>191</v>
      </c>
      <c r="C64" s="3" t="s">
        <v>192</v>
      </c>
      <c r="E64" s="14" t="s">
        <v>193</v>
      </c>
      <c r="F64" s="2" t="str">
        <f>CONCATENATE(E65,E66,E67)</f>
        <v>sakshiSamikshaShreya</v>
      </c>
      <c r="J64" s="2" t="str">
        <f>SUBSTITUTE("genuis",J63,"mesh")</f>
        <v>genuis</v>
      </c>
    </row>
    <row r="65" spans="2:11" ht="15.75" customHeight="1">
      <c r="B65" s="8" t="s">
        <v>194</v>
      </c>
      <c r="C65" s="3" t="s">
        <v>195</v>
      </c>
      <c r="E65" s="14" t="s">
        <v>196</v>
      </c>
      <c r="F65" s="2" t="e">
        <f>FIND("K",E65)</f>
        <v>#VALUE!</v>
      </c>
    </row>
    <row r="66" spans="2:11" ht="15.75" customHeight="1">
      <c r="B66" s="8" t="s">
        <v>197</v>
      </c>
      <c r="C66" s="3" t="s">
        <v>198</v>
      </c>
      <c r="E66" s="14" t="s">
        <v>199</v>
      </c>
      <c r="J66" s="2">
        <f>LEN(J63)</f>
        <v>14</v>
      </c>
    </row>
    <row r="67" spans="2:11" ht="15.75" customHeight="1">
      <c r="B67" s="8" t="s">
        <v>200</v>
      </c>
      <c r="C67" s="3" t="s">
        <v>201</v>
      </c>
      <c r="D67" s="2">
        <f>FIND("A",B68)</f>
        <v>3</v>
      </c>
      <c r="E67" s="14" t="s">
        <v>202</v>
      </c>
      <c r="J67" s="2" t="str">
        <f>SUBSTITUTE("hello","ello","I")</f>
        <v>hI</v>
      </c>
    </row>
    <row r="68" spans="2:11" ht="15.75" customHeight="1">
      <c r="B68" s="8" t="s">
        <v>203</v>
      </c>
      <c r="C68" s="3" t="s">
        <v>204</v>
      </c>
      <c r="D68" s="2">
        <f>SEARCH("A",B68)</f>
        <v>3</v>
      </c>
      <c r="F68" s="2" t="str">
        <f>SUBSTITUTE(B69,"t","q")</f>
        <v>SUBSTITUTE</v>
      </c>
    </row>
    <row r="69" spans="2:11" ht="15.75" customHeight="1">
      <c r="B69" s="8" t="s">
        <v>205</v>
      </c>
      <c r="C69" s="3" t="s">
        <v>206</v>
      </c>
      <c r="D69" s="2" t="e">
        <f t="array" ref="D69">CONCATENATE</f>
        <v>#NAME?</v>
      </c>
      <c r="J69" s="2">
        <f>FIND("bhosale",J63)</f>
        <v>8</v>
      </c>
    </row>
    <row r="70" spans="2:11" ht="15.75" customHeight="1">
      <c r="B70" s="8" t="s">
        <v>207</v>
      </c>
      <c r="C70" s="3" t="s">
        <v>208</v>
      </c>
    </row>
    <row r="71" spans="2:11" ht="15.75" customHeight="1">
      <c r="E71" s="2" t="s">
        <v>209</v>
      </c>
      <c r="F71" s="2">
        <f>FIND("j",E71)</f>
        <v>4</v>
      </c>
      <c r="I71" s="2" t="s">
        <v>210</v>
      </c>
      <c r="K71" s="2">
        <f>FIND(" ",I71)</f>
        <v>3</v>
      </c>
    </row>
    <row r="72" spans="2:11" ht="15.75" customHeight="1">
      <c r="B72" s="5" t="s">
        <v>211</v>
      </c>
      <c r="F72" s="2" t="e">
        <f>FIND("J",E71)</f>
        <v>#VALUE!</v>
      </c>
      <c r="G72" s="2">
        <f>SEARCH("J",E71)</f>
        <v>4</v>
      </c>
    </row>
    <row r="73" spans="2:11" ht="15.75" customHeight="1"/>
    <row r="74" spans="2:11" ht="15.75" customHeight="1">
      <c r="B74" s="1" t="s">
        <v>0</v>
      </c>
      <c r="C74" s="1" t="s">
        <v>1</v>
      </c>
      <c r="F74" s="2">
        <f>FIND("o",E71)</f>
        <v>2</v>
      </c>
      <c r="G74" s="2">
        <f>SEARCH("o",E71)</f>
        <v>2</v>
      </c>
    </row>
    <row r="75" spans="2:11" ht="15.75" customHeight="1">
      <c r="B75" s="8" t="s">
        <v>212</v>
      </c>
      <c r="C75" s="15">
        <f ca="1">TODAY()</f>
        <v>46308</v>
      </c>
    </row>
    <row r="76" spans="2:11" ht="15.75" customHeight="1">
      <c r="B76" s="8" t="s">
        <v>213</v>
      </c>
      <c r="C76" s="16">
        <f ca="1">NOW()</f>
        <v>46308.640443518518</v>
      </c>
    </row>
    <row r="77" spans="2:11" ht="15.75" customHeight="1">
      <c r="B77" s="8" t="s">
        <v>214</v>
      </c>
      <c r="C77" s="15" t="s">
        <v>215</v>
      </c>
    </row>
    <row r="78" spans="2:11" ht="15.75" customHeight="1">
      <c r="B78" s="8" t="s">
        <v>216</v>
      </c>
      <c r="C78" s="3" t="s">
        <v>217</v>
      </c>
      <c r="E78" s="2">
        <v>90</v>
      </c>
      <c r="F78" s="2" t="s">
        <v>218</v>
      </c>
    </row>
    <row r="79" spans="2:11" ht="15.75" customHeight="1">
      <c r="B79" s="8" t="s">
        <v>219</v>
      </c>
      <c r="C79" s="3" t="s">
        <v>220</v>
      </c>
      <c r="E79" s="2">
        <v>80</v>
      </c>
    </row>
    <row r="80" spans="2:11" ht="15.75" customHeight="1">
      <c r="B80" s="8" t="s">
        <v>221</v>
      </c>
      <c r="C80" s="3" t="s">
        <v>222</v>
      </c>
      <c r="E80" s="2">
        <v>70</v>
      </c>
    </row>
    <row r="81" spans="2:10" ht="15.75" customHeight="1">
      <c r="B81" s="8" t="s">
        <v>223</v>
      </c>
      <c r="C81" s="3" t="s">
        <v>224</v>
      </c>
      <c r="E81" s="2">
        <v>60</v>
      </c>
    </row>
    <row r="82" spans="2:10" ht="15.75" customHeight="1">
      <c r="B82" s="8" t="s">
        <v>225</v>
      </c>
      <c r="C82" s="3" t="s">
        <v>226</v>
      </c>
    </row>
    <row r="83" spans="2:10" ht="15.75" customHeight="1">
      <c r="B83" s="8" t="s">
        <v>227</v>
      </c>
      <c r="C83" s="3" t="s">
        <v>228</v>
      </c>
    </row>
    <row r="84" spans="2:10" ht="15.75" customHeight="1">
      <c r="B84" s="8" t="s">
        <v>229</v>
      </c>
      <c r="C84" s="3" t="s">
        <v>230</v>
      </c>
    </row>
    <row r="85" spans="2:10" ht="15.75" customHeight="1">
      <c r="B85" s="8" t="s">
        <v>231</v>
      </c>
      <c r="C85" s="3" t="s">
        <v>232</v>
      </c>
    </row>
    <row r="86" spans="2:10" ht="15.75" customHeight="1">
      <c r="B86" s="8" t="s">
        <v>233</v>
      </c>
      <c r="C86" s="3" t="s">
        <v>234</v>
      </c>
    </row>
    <row r="87" spans="2:10" ht="15.75" customHeight="1">
      <c r="F87" s="2" t="e">
        <f>1/0</f>
        <v>#DIV/0!</v>
      </c>
    </row>
    <row r="88" spans="2:10" ht="15.75" customHeight="1">
      <c r="F88" s="2" t="e">
        <f>VALUE(F87)</f>
        <v>#DIV/0!</v>
      </c>
    </row>
    <row r="89" spans="2:10" ht="15.75" customHeight="1">
      <c r="B89" s="5" t="s">
        <v>235</v>
      </c>
    </row>
    <row r="90" spans="2:10" ht="15.75" customHeight="1"/>
    <row r="91" spans="2:10" ht="15.75" customHeight="1">
      <c r="B91" s="1" t="s">
        <v>0</v>
      </c>
      <c r="C91" s="1" t="s">
        <v>1</v>
      </c>
    </row>
    <row r="92" spans="2:10" ht="15.75" customHeight="1">
      <c r="B92" s="3" t="s">
        <v>236</v>
      </c>
      <c r="C92" s="3" t="s">
        <v>237</v>
      </c>
    </row>
    <row r="93" spans="2:10" ht="15.75" customHeight="1">
      <c r="B93" s="3" t="s">
        <v>238</v>
      </c>
      <c r="C93" s="3" t="s">
        <v>239</v>
      </c>
      <c r="F93" s="13" t="s">
        <v>240</v>
      </c>
      <c r="G93" s="13" t="s">
        <v>241</v>
      </c>
      <c r="H93" s="2" t="s">
        <v>242</v>
      </c>
      <c r="J93" s="2" t="e">
        <f t="array" aca="1" ref="J93:J96" ca="1">UNIQUE(H93:H104,FALSE)</f>
        <v>#NAME?</v>
      </c>
    </row>
    <row r="94" spans="2:10" ht="15.75" customHeight="1">
      <c r="B94" s="3" t="s">
        <v>243</v>
      </c>
      <c r="C94" s="3" t="s">
        <v>244</v>
      </c>
      <c r="F94" s="2" t="s">
        <v>245</v>
      </c>
      <c r="G94" s="17">
        <v>2750</v>
      </c>
      <c r="H94" s="2" t="s">
        <v>246</v>
      </c>
      <c r="J94" s="2" t="e">
        <f ca="1"/>
        <v>#NAME?</v>
      </c>
    </row>
    <row r="95" spans="2:10" ht="15.75" customHeight="1">
      <c r="B95" s="3" t="s">
        <v>247</v>
      </c>
      <c r="C95" s="3" t="s">
        <v>248</v>
      </c>
      <c r="D95" s="2" t="s">
        <v>249</v>
      </c>
      <c r="F95" s="2" t="s">
        <v>245</v>
      </c>
      <c r="G95" s="17">
        <v>12150</v>
      </c>
      <c r="H95" s="2" t="s">
        <v>250</v>
      </c>
      <c r="J95" s="2" t="e">
        <f ca="1"/>
        <v>#NAME?</v>
      </c>
    </row>
    <row r="96" spans="2:10" ht="15.75" customHeight="1">
      <c r="B96" s="3" t="s">
        <v>251</v>
      </c>
      <c r="C96" s="3" t="s">
        <v>252</v>
      </c>
      <c r="F96" s="2" t="s">
        <v>245</v>
      </c>
      <c r="G96" s="17">
        <v>2350</v>
      </c>
      <c r="H96" s="2" t="s">
        <v>253</v>
      </c>
      <c r="J96" s="2" t="e">
        <f ca="1"/>
        <v>#NAME?</v>
      </c>
    </row>
    <row r="97" spans="2:8" ht="15.75" customHeight="1">
      <c r="B97" s="3" t="s">
        <v>254</v>
      </c>
      <c r="C97" s="3" t="s">
        <v>255</v>
      </c>
      <c r="F97" s="2" t="s">
        <v>245</v>
      </c>
      <c r="G97" s="17">
        <v>8000</v>
      </c>
      <c r="H97" s="2" t="s">
        <v>253</v>
      </c>
    </row>
    <row r="98" spans="2:8" ht="15.75" customHeight="1">
      <c r="B98" s="3" t="s">
        <v>256</v>
      </c>
      <c r="C98" s="3" t="s">
        <v>257</v>
      </c>
      <c r="F98" s="2" t="s">
        <v>258</v>
      </c>
      <c r="G98" s="17">
        <v>2450</v>
      </c>
      <c r="H98" s="2" t="s">
        <v>250</v>
      </c>
    </row>
    <row r="99" spans="2:8" ht="15.75" customHeight="1">
      <c r="F99" s="2" t="s">
        <v>245</v>
      </c>
      <c r="G99" s="17">
        <v>1520</v>
      </c>
      <c r="H99" s="2" t="s">
        <v>246</v>
      </c>
    </row>
    <row r="100" spans="2:8" ht="15.75" customHeight="1">
      <c r="B100" s="5" t="s">
        <v>259</v>
      </c>
      <c r="F100" s="2" t="s">
        <v>258</v>
      </c>
      <c r="G100" s="17">
        <v>5000</v>
      </c>
      <c r="H100" s="2" t="s">
        <v>253</v>
      </c>
    </row>
    <row r="101" spans="2:8" ht="15.75" customHeight="1">
      <c r="F101" s="2" t="s">
        <v>258</v>
      </c>
      <c r="G101" s="17">
        <v>25000</v>
      </c>
      <c r="H101" s="2" t="s">
        <v>250</v>
      </c>
    </row>
    <row r="102" spans="2:8" ht="15.75" customHeight="1">
      <c r="B102" s="1" t="s">
        <v>0</v>
      </c>
      <c r="C102" s="1" t="s">
        <v>1</v>
      </c>
      <c r="F102" s="2" t="s">
        <v>245</v>
      </c>
      <c r="G102" s="17">
        <v>1500</v>
      </c>
      <c r="H102" s="2" t="s">
        <v>253</v>
      </c>
    </row>
    <row r="103" spans="2:8" ht="15.75" customHeight="1">
      <c r="B103" s="3" t="s">
        <v>260</v>
      </c>
      <c r="C103" s="3" t="s">
        <v>261</v>
      </c>
      <c r="F103" s="2" t="s">
        <v>245</v>
      </c>
      <c r="G103" s="17">
        <v>1850</v>
      </c>
      <c r="H103" s="2" t="s">
        <v>246</v>
      </c>
    </row>
    <row r="104" spans="2:8" ht="15.75" customHeight="1">
      <c r="B104" s="3" t="s">
        <v>262</v>
      </c>
      <c r="C104" s="3" t="s">
        <v>263</v>
      </c>
      <c r="F104" s="2" t="s">
        <v>245</v>
      </c>
      <c r="G104" s="17">
        <v>12250</v>
      </c>
      <c r="H104" s="2" t="s">
        <v>250</v>
      </c>
    </row>
    <row r="105" spans="2:8" ht="15.75" customHeight="1">
      <c r="B105" s="3" t="s">
        <v>264</v>
      </c>
      <c r="C105" s="3" t="s">
        <v>265</v>
      </c>
    </row>
    <row r="106" spans="2:8" ht="15.75" customHeight="1">
      <c r="B106" s="3" t="s">
        <v>266</v>
      </c>
      <c r="C106" s="3" t="s">
        <v>267</v>
      </c>
      <c r="G106" s="2">
        <v>350.55</v>
      </c>
    </row>
    <row r="107" spans="2:8" ht="15.75" customHeight="1">
      <c r="B107" s="3" t="s">
        <v>268</v>
      </c>
      <c r="C107" s="3" t="s">
        <v>269</v>
      </c>
      <c r="G107" s="2">
        <f>ROUNDDOWN(G106,-2)</f>
        <v>300</v>
      </c>
    </row>
    <row r="108" spans="2:8" ht="15.75" customHeight="1">
      <c r="B108" s="3" t="s">
        <v>270</v>
      </c>
      <c r="C108" s="3" t="s">
        <v>271</v>
      </c>
    </row>
    <row r="109" spans="2:8" ht="15.75" customHeight="1"/>
    <row r="110" spans="2:8" ht="15.75" customHeight="1"/>
    <row r="111" spans="2:8" ht="15.75" customHeight="1">
      <c r="B111" s="5" t="s">
        <v>272</v>
      </c>
    </row>
    <row r="112" spans="2:8" ht="15.75" customHeight="1"/>
    <row r="113" spans="2:3" ht="15.75" customHeight="1">
      <c r="B113" s="1" t="s">
        <v>0</v>
      </c>
      <c r="C113" s="1" t="s">
        <v>1</v>
      </c>
    </row>
    <row r="114" spans="2:3" ht="15.75" customHeight="1">
      <c r="B114" s="3" t="s">
        <v>273</v>
      </c>
      <c r="C114" s="3" t="s">
        <v>274</v>
      </c>
    </row>
    <row r="115" spans="2:3" ht="15.75" customHeight="1">
      <c r="B115" s="3" t="s">
        <v>275</v>
      </c>
      <c r="C115" s="3" t="s">
        <v>276</v>
      </c>
    </row>
    <row r="116" spans="2:3" ht="15.75" customHeight="1">
      <c r="B116" s="3" t="s">
        <v>277</v>
      </c>
      <c r="C116" s="3" t="s">
        <v>278</v>
      </c>
    </row>
    <row r="117" spans="2:3" ht="15.75" customHeight="1">
      <c r="B117" s="3" t="s">
        <v>279</v>
      </c>
      <c r="C117" s="3" t="s">
        <v>280</v>
      </c>
    </row>
    <row r="118" spans="2:3" ht="15.75" customHeight="1">
      <c r="B118" s="3" t="s">
        <v>281</v>
      </c>
      <c r="C118" s="3" t="s">
        <v>282</v>
      </c>
    </row>
    <row r="119" spans="2:3" ht="15.75" customHeight="1"/>
    <row r="120" spans="2:3" ht="15.75" customHeight="1"/>
    <row r="121" spans="2:3" ht="15.75" customHeight="1"/>
    <row r="122" spans="2:3" ht="15.75" customHeight="1"/>
    <row r="123" spans="2:3" ht="15.75" customHeight="1"/>
    <row r="124" spans="2:3" ht="15.75" customHeight="1"/>
    <row r="125" spans="2:3" ht="15.75" customHeight="1"/>
    <row r="126" spans="2:3" ht="15.75" customHeight="1"/>
    <row r="127" spans="2:3" ht="15.75" customHeight="1"/>
    <row r="128" spans="2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2026-03-16T09:21:47Z</dcterms:created>
  <dcterms:modified xsi:type="dcterms:W3CDTF">2026-10-13T09:52:19Z</dcterms:modified>
</cp:coreProperties>
</file>